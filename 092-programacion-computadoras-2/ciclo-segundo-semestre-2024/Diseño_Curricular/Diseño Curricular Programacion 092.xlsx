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hidden" name="SEMANAS" sheetId="3" r:id="rId6"/>
    <sheet state="visible" name="Planificacion Semanas" sheetId="4" r:id="rId7"/>
    <sheet state="visible" name="S1" sheetId="5" r:id="rId8"/>
    <sheet state="visible" name="Semana 1-5" sheetId="6" r:id="rId9"/>
    <sheet state="visible" name="Semana 6-10" sheetId="7" r:id="rId10"/>
    <sheet state="visible" name="Semana 11-14" sheetId="8" r:id="rId11"/>
  </sheets>
  <definedNames/>
  <calcPr/>
  <extLst>
    <ext uri="GoogleSheetsCustomDataVersion2">
      <go:sheetsCustomData xmlns:go="http://customooxmlschemas.google.com/" r:id="rId12" roundtripDataChecksum="cFyZDz0c+bu2nzPU8omHNEKgW9pTFVoXje0q6zLrsJE="/>
    </ext>
  </extLst>
</workbook>
</file>

<file path=xl/sharedStrings.xml><?xml version="1.0" encoding="utf-8"?>
<sst xmlns="http://schemas.openxmlformats.org/spreadsheetml/2006/main" count="1130" uniqueCount="177">
  <si>
    <t>Numero</t>
  </si>
  <si>
    <t>Nombre de la Meta</t>
  </si>
  <si>
    <t>Descripcion de la Meta</t>
  </si>
  <si>
    <t>Introducción Visual Basic .NET</t>
  </si>
  <si>
    <t xml:space="preserve">Introducir al estudiante en conocimientos básicos </t>
  </si>
  <si>
    <t>Introducción de controles básicos</t>
  </si>
  <si>
    <t xml:space="preserve">Enseñar al estudiante el entorno de programación y como configurar proyectos </t>
  </si>
  <si>
    <t>Codigó limpio</t>
  </si>
  <si>
    <t>Enseñar al estudiante el uso de funciones y modulos, priorizando las buenas prácticas en el código</t>
  </si>
  <si>
    <t>Manejo de Estructuras de Datos</t>
  </si>
  <si>
    <t>Aprender a utilizar vectores y matrices para almacenar y manipular datos de manera eficiente en aplicaciones de Visual Basic .NET.</t>
  </si>
  <si>
    <t>Integración de Bases de Datos</t>
  </si>
  <si>
    <t>Desarrollar la capacidad de conectar una base de datos y realizar operaciones CRUD (Crear, Leer, Actualizar, Eliminar) dentro de una aplicación para asegurar el almacenamiento persistente de información.</t>
  </si>
  <si>
    <t>Controlar Flujos de
Ejecución con Ciclos
en VB .NET</t>
  </si>
  <si>
    <t>Aprender a utilizar ciclos como For, While
y Do Until para repetir bloques de código de 
manera eficiente.</t>
  </si>
  <si>
    <t>Aplicar Condicionales
para Toma de Decisiones
en el código</t>
  </si>
  <si>
    <t>Entender y utilizar estructuras condicionales
como If, ElseIf y Select Case para implementar
lógica de decisión en los programas.</t>
  </si>
  <si>
    <t>Desarrollar Interfaces
Gráficas de Usuario en
Windows Forms</t>
  </si>
  <si>
    <t>Proporcionar a los estudiantes las herramientas
necesarias para diseñar y crear interfaces
gráficas de usuario utilizando windows forms en
visual basic.</t>
  </si>
  <si>
    <t>Implementar Eventos
y Controladores en 
Aplicaciones Forms</t>
  </si>
  <si>
    <t>Enseñar a los estudiantes cómo manejar eventos
y programar controladores para responder a 
interacciones del usuario dentro de una aplicación
Forms.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</si>
  <si>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</si>
  <si>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</si>
  <si>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</si>
  <si>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</si>
  <si>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</si>
  <si>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</si>
  <si>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</si>
  <si>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 xml:space="preserve">Introducción a herramientas de Visual Studio .Net </t>
  </si>
  <si>
    <t>Introducción a Visual Basic .NET</t>
  </si>
  <si>
    <t>Características generales de Visual Basic .NET</t>
  </si>
  <si>
    <t>PROYECTO FASE 1</t>
  </si>
  <si>
    <t>Andy</t>
  </si>
  <si>
    <t>Historia y evolución</t>
  </si>
  <si>
    <t>Estructura básica de un proyecto</t>
  </si>
  <si>
    <t>Concepto de eventos y controles</t>
  </si>
  <si>
    <t>Instalación Visual Basic .Net</t>
  </si>
  <si>
    <t>Variables y tipos de datos</t>
  </si>
  <si>
    <t>Definición de variables</t>
  </si>
  <si>
    <t>Reglas de nombramiento</t>
  </si>
  <si>
    <t>Tipos de variables</t>
  </si>
  <si>
    <t>Alcance de las variables</t>
  </si>
  <si>
    <t>d</t>
  </si>
  <si>
    <t>Declaración y asignación de valores</t>
  </si>
  <si>
    <t>Sentencias condicionales</t>
  </si>
  <si>
    <t>Sentencia If</t>
  </si>
  <si>
    <t>If anidado</t>
  </si>
  <si>
    <t>Select Case</t>
  </si>
  <si>
    <t>Buenas prácticas en sentencias condicionales</t>
  </si>
  <si>
    <t xml:space="preserve"> Controles básicos (Parte 1)</t>
  </si>
  <si>
    <t>Button y Label</t>
  </si>
  <si>
    <t>TextBox y GroupBox</t>
  </si>
  <si>
    <t>CheckButton y RadioButton</t>
  </si>
  <si>
    <t>ListBox y ComboBox</t>
  </si>
  <si>
    <t>Funciones, procedimientos y Condicionales</t>
  </si>
  <si>
    <t>Módulos y Formularios</t>
  </si>
  <si>
    <t>Uso de Módulos</t>
  </si>
  <si>
    <t>Crear y gestionar Módulos</t>
  </si>
  <si>
    <t>Formularios múltiples</t>
  </si>
  <si>
    <t>Navegación entre formularios</t>
  </si>
  <si>
    <t>Libni</t>
  </si>
  <si>
    <t>Controles básicos (Parte 2)</t>
  </si>
  <si>
    <t>InputBox</t>
  </si>
  <si>
    <t>DataGridView</t>
  </si>
  <si>
    <t>Barra de menú</t>
  </si>
  <si>
    <t>Otros controles comunes (TrackBar, ProgressBar)</t>
  </si>
  <si>
    <t>Funciones numéricas, de cadena y de fecha</t>
  </si>
  <si>
    <t>Funciones numéricas (Math, Abs, Round)</t>
  </si>
  <si>
    <t>Funciones de cadena (Len, Substring)</t>
  </si>
  <si>
    <t>Funciones de fecha y hora</t>
  </si>
  <si>
    <t>Casos prácticos con funciones</t>
  </si>
  <si>
    <t>Procedimientos 
y funciones (Parte 1)</t>
  </si>
  <si>
    <t>Procedimientos y funciones: Definición</t>
  </si>
  <si>
    <t>PROYECTO FASE 2</t>
  </si>
  <si>
    <t>Llamar a un procedimiento</t>
  </si>
  <si>
    <t>Parámetros y argumentos</t>
  </si>
  <si>
    <t>Procedimiento Sub</t>
  </si>
  <si>
    <t>Ejemplos prácticos</t>
  </si>
  <si>
    <t>Ciclos, vectores y matrices</t>
  </si>
  <si>
    <t>Procedimientos y funciones (Parte 2)</t>
  </si>
  <si>
    <t>Funciones: Definición y sintaxis</t>
  </si>
  <si>
    <t>Tipos de datos en función</t>
  </si>
  <si>
    <t>Valores de retorno</t>
  </si>
  <si>
    <t>Ciclos o Bucles</t>
  </si>
  <si>
    <t>For ... Next</t>
  </si>
  <si>
    <t>Do ... Loop</t>
  </si>
  <si>
    <t>While ... End While</t>
  </si>
  <si>
    <t>Ejercicios prácticos con bucles</t>
  </si>
  <si>
    <t>Randall</t>
  </si>
  <si>
    <t>Vectores y matrices (Parte 1)</t>
  </si>
  <si>
    <t>Definición de vectores y matrices</t>
  </si>
  <si>
    <t>Procesos básicos entre vectores y matrices</t>
  </si>
  <si>
    <t>Guardar y mostrar datos</t>
  </si>
  <si>
    <t>Consultar, modificar y eliminar elementos</t>
  </si>
  <si>
    <t>Vectores y matrices (Parte 2)</t>
  </si>
  <si>
    <t>Ordenamiento de Burbuja</t>
  </si>
  <si>
    <t>Ordenamiento Quick Sort</t>
  </si>
  <si>
    <t>Ejercicios de ordenamiento</t>
  </si>
  <si>
    <t>Optimización del uso de matrices</t>
  </si>
  <si>
    <t>Casos prácticos de matrices</t>
  </si>
  <si>
    <t>Introduccion a Base de Datos</t>
  </si>
  <si>
    <t>Bases de Datos (Parte 1)</t>
  </si>
  <si>
    <t>Definición de base de datos</t>
  </si>
  <si>
    <t>Creación de una base de datos en Visual Basic .NET</t>
  </si>
  <si>
    <t>Conexión a una base de datos</t>
  </si>
  <si>
    <t>Ejemplos prácticos de conexión</t>
  </si>
  <si>
    <t>Bases de Datos (Parte 2)</t>
  </si>
  <si>
    <t>Guardar, consultar, modificar y eliminar registros</t>
  </si>
  <si>
    <t>Creación de reportes</t>
  </si>
  <si>
    <t>Casos prácticos con base de datos</t>
  </si>
  <si>
    <t>Cierre y resumen del curso</t>
  </si>
  <si>
    <t>Semana 1: Introducción a Visual Basic .NET</t>
  </si>
  <si>
    <t>Entorno de desarrollo (IDE)</t>
  </si>
  <si>
    <t>Semana 2: Variables y tipos de datos</t>
  </si>
  <si>
    <t>Semana 3: Controles básicos (Parte 1)</t>
  </si>
  <si>
    <t>Semana 4: Controles básicos (Parte 2)</t>
  </si>
  <si>
    <t>Semana 5: Módulos y Formularios</t>
  </si>
  <si>
    <t>Semana 6: Sentencias condicionales</t>
  </si>
  <si>
    <t>Semana 7: Funciones numéricas, de cadena y de fecha</t>
  </si>
  <si>
    <t>Semana 8: Procedimientos y funciones (Parte 1)</t>
  </si>
  <si>
    <t>Semana 9: Procedimientos y funciones (Parte 2)</t>
  </si>
  <si>
    <t>Semana 10: Ciclos o Bucles</t>
  </si>
  <si>
    <t>Semana 11: Vectores y matrices (Parte 1)</t>
  </si>
  <si>
    <t>Semana 12: Vectores y matrices (Parte 2)</t>
  </si>
  <si>
    <t>Semana 13: Bases de Datos (Parte 1)</t>
  </si>
  <si>
    <t>Semana 14: Bases de Datos (Parte 2)</t>
  </si>
  <si>
    <t>Mes</t>
  </si>
  <si>
    <t>Enero</t>
  </si>
  <si>
    <t>Semana</t>
  </si>
  <si>
    <t>Introducción y relacionándonos con Visual Basic .Net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</si>
  <si>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</si>
  <si>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</si>
  <si>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</si>
  <si>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</si>
  <si>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</si>
  <si>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</si>
  <si>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</si>
  <si>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</t>
  </si>
  <si>
    <t>X</t>
  </si>
  <si>
    <t>Tiempo Total</t>
  </si>
  <si>
    <t>Tipos de datos</t>
  </si>
  <si>
    <t>x</t>
  </si>
  <si>
    <t>Habilidades de Resolución de Problemas y Lógicas</t>
  </si>
  <si>
    <t>Fundamentos de Algoritmos y Pensamiento Computacional</t>
  </si>
  <si>
    <t>Pensamiento Algorítmico para la Resolución de Problemas Complejos</t>
  </si>
  <si>
    <t>Algoritmos Aplicados en Ciencias: Biología, Criptografía, Finanzas y Más</t>
  </si>
  <si>
    <t>Comprendiendo los Sistemas Numéricos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</si>
  <si>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</si>
  <si>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</si>
  <si>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</si>
  <si>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Febrero</t>
  </si>
  <si>
    <t>Sentencia IF</t>
  </si>
  <si>
    <t>IF anidado</t>
  </si>
  <si>
    <t>Buenas Practicas en sentencias condicionales</t>
  </si>
  <si>
    <t>Funciones numericas (Math, Abs, Round)</t>
  </si>
  <si>
    <t>Casos practicos con funciones</t>
  </si>
  <si>
    <t>Procedimientos y funciones (Parte 1)</t>
  </si>
  <si>
    <t>Procedimientos y funciones: Definicion</t>
  </si>
  <si>
    <t>Parametros y argumentos</t>
  </si>
  <si>
    <t>Ejemplos practicos</t>
  </si>
  <si>
    <t>Marzo</t>
  </si>
  <si>
    <t>Funcion: Definicion y Sintaxis</t>
  </si>
  <si>
    <t>Tipos de datos en funcion</t>
  </si>
  <si>
    <t>Ejercicios practicos con bucles</t>
  </si>
  <si>
    <t>Total Ponderación</t>
  </si>
  <si>
    <t>Tiempo aproximado en minutos</t>
  </si>
  <si>
    <t>Ponderación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</si>
  <si>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</si>
  <si>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</si>
  <si>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</si>
  <si>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</si>
  <si>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</si>
  <si>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Controles básicos (Parte1)</t>
  </si>
  <si>
    <t>Controles basicos</t>
  </si>
  <si>
    <t>Controles básicos (Parte2)</t>
  </si>
  <si>
    <t>Gestion de formularios</t>
  </si>
  <si>
    <t>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</si>
</sst>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0D0D0D"/>
      <name val="Arial"/>
    </font>
    <font>
      <b/>
      <sz val="16.0"/>
      <color theme="1"/>
      <name val="Arial"/>
    </font>
    <font>
      <sz val="19.0"/>
      <color theme="1"/>
      <name val="Arial"/>
    </font>
    <font/>
    <font>
      <sz val="16.0"/>
      <color theme="1"/>
      <name val="Arial"/>
    </font>
    <font>
      <sz val="10.0"/>
      <color rgb="FF1F1F1F"/>
      <name val="Arial"/>
    </font>
    <font>
      <sz val="18.0"/>
      <color theme="1"/>
      <name val="Arial"/>
    </font>
    <font>
      <b/>
      <sz val="14.0"/>
      <color theme="1"/>
      <name val="Arial"/>
    </font>
    <font>
      <sz val="12.0"/>
      <color rgb="FFFFFFFF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rgb="FF1F1F1F"/>
      <name val="Arial"/>
    </font>
    <font>
      <color rgb="FF000000"/>
      <name val="Arial"/>
    </font>
    <font>
      <b/>
      <sz val="12.0"/>
      <color rgb="FFFFFFFF"/>
      <name val="Arial"/>
    </font>
    <font>
      <color rgb="FFFFFFFF"/>
      <name val="Arial"/>
    </font>
    <font>
      <sz val="10.0"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  <font>
      <sz val="11.0"/>
      <color rgb="FFFFFFFF"/>
      <name val="Arial"/>
    </font>
    <font>
      <sz val="11.0"/>
      <color rgb="FF000000"/>
      <name val="Arial"/>
    </font>
    <font>
      <sz val="11.0"/>
      <color rgb="FF1F1F1F"/>
      <name val="Arial"/>
    </font>
    <font>
      <sz val="10.0"/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0" fillId="4" fontId="5" numFmtId="0" xfId="0" applyAlignment="1" applyFill="1" applyFont="1">
      <alignment vertical="center"/>
    </xf>
    <xf borderId="3" fillId="0" fontId="6" numFmtId="0" xfId="0" applyBorder="1" applyFont="1"/>
    <xf borderId="1" fillId="5" fontId="2" numFmtId="0" xfId="0" applyBorder="1" applyFill="1" applyFont="1"/>
    <xf borderId="1" fillId="2" fontId="2" numFmtId="0" xfId="0" applyBorder="1" applyFont="1"/>
    <xf borderId="1" fillId="6" fontId="2" numFmtId="0" xfId="0" applyBorder="1" applyFill="1" applyFont="1"/>
    <xf borderId="4" fillId="0" fontId="6" numFmtId="0" xfId="0" applyBorder="1" applyFont="1"/>
    <xf borderId="0" fillId="0" fontId="2" numFmtId="0" xfId="0" applyFont="1"/>
    <xf borderId="2" fillId="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Font="1"/>
    <xf borderId="2" fillId="0" fontId="7" numFmtId="0" xfId="0" applyAlignment="1" applyBorder="1" applyFont="1">
      <alignment horizontal="center" shrinkToFit="0" vertical="center" wrapText="1"/>
    </xf>
    <xf borderId="0" fillId="7" fontId="5" numFmtId="0" xfId="0" applyAlignment="1" applyFill="1" applyFont="1">
      <alignment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2" fillId="8" fontId="4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0" fillId="9" fontId="9" numFmtId="0" xfId="0" applyAlignment="1" applyFill="1" applyFont="1">
      <alignment shrinkToFit="0" vertical="center" wrapText="1"/>
    </xf>
    <xf borderId="2" fillId="0" fontId="7" numFmtId="0" xfId="0" applyAlignment="1" applyBorder="1" applyFont="1">
      <alignment horizontal="center" vertical="center"/>
    </xf>
    <xf borderId="0" fillId="10" fontId="10" numFmtId="0" xfId="0" applyFill="1" applyFont="1"/>
    <xf borderId="0" fillId="10" fontId="2" numFmtId="0" xfId="0" applyFont="1"/>
    <xf borderId="0" fillId="11" fontId="10" numFmtId="0" xfId="0" applyFill="1" applyFont="1"/>
    <xf borderId="0" fillId="11" fontId="2" numFmtId="0" xfId="0" applyFont="1"/>
    <xf borderId="0" fillId="9" fontId="10" numFmtId="0" xfId="0" applyFont="1"/>
    <xf borderId="0" fillId="9" fontId="2" numFmtId="0" xfId="0" applyFont="1"/>
    <xf borderId="0" fillId="12" fontId="10" numFmtId="0" xfId="0" applyFill="1" applyFont="1"/>
    <xf borderId="0" fillId="12" fontId="2" numFmtId="0" xfId="0" applyFont="1"/>
    <xf borderId="0" fillId="13" fontId="10" numFmtId="0" xfId="0" applyFill="1" applyFont="1"/>
    <xf borderId="0" fillId="13" fontId="2" numFmtId="0" xfId="0" applyFont="1"/>
    <xf borderId="0" fillId="7" fontId="10" numFmtId="0" xfId="0" applyFont="1"/>
    <xf borderId="0" fillId="7" fontId="2" numFmtId="0" xfId="0" applyFont="1"/>
    <xf borderId="0" fillId="14" fontId="10" numFmtId="0" xfId="0" applyFill="1" applyFont="1"/>
    <xf borderId="0" fillId="14" fontId="2" numFmtId="0" xfId="0" applyFont="1"/>
    <xf borderId="0" fillId="15" fontId="10" numFmtId="0" xfId="0" applyFill="1" applyFont="1"/>
    <xf borderId="0" fillId="15" fontId="2" numFmtId="0" xfId="0" applyFont="1"/>
    <xf borderId="0" fillId="16" fontId="10" numFmtId="0" xfId="0" applyFill="1" applyFont="1"/>
    <xf borderId="0" fillId="16" fontId="2" numFmtId="0" xfId="0" applyFont="1"/>
    <xf borderId="0" fillId="17" fontId="10" numFmtId="0" xfId="0" applyFill="1" applyFont="1"/>
    <xf borderId="0" fillId="17" fontId="2" numFmtId="0" xfId="0" applyFont="1"/>
    <xf borderId="0" fillId="18" fontId="10" numFmtId="0" xfId="0" applyFill="1" applyFont="1"/>
    <xf borderId="0" fillId="18" fontId="2" numFmtId="0" xfId="0" applyFont="1"/>
    <xf borderId="0" fillId="19" fontId="10" numFmtId="0" xfId="0" applyFill="1" applyFont="1"/>
    <xf borderId="0" fillId="19" fontId="2" numFmtId="0" xfId="0" applyFont="1"/>
    <xf borderId="0" fillId="20" fontId="10" numFmtId="0" xfId="0" applyFill="1" applyFont="1"/>
    <xf borderId="0" fillId="20" fontId="2" numFmtId="0" xfId="0" applyFont="1"/>
    <xf borderId="7" fillId="6" fontId="11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13" numFmtId="0" xfId="0" applyFont="1"/>
    <xf borderId="9" fillId="6" fontId="11" numFmtId="0" xfId="0" applyAlignment="1" applyBorder="1" applyFont="1">
      <alignment shrinkToFit="0" vertical="bottom" wrapText="0"/>
    </xf>
    <xf borderId="10" fillId="2" fontId="14" numFmtId="0" xfId="0" applyAlignment="1" applyBorder="1" applyFont="1">
      <alignment horizontal="left" vertical="bottom"/>
    </xf>
    <xf borderId="10" fillId="2" fontId="14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1" fillId="21" fontId="11" numFmtId="0" xfId="0" applyAlignment="1" applyBorder="1" applyFill="1" applyFont="1">
      <alignment shrinkToFit="0" vertical="bottom" wrapText="0"/>
    </xf>
    <xf borderId="8" fillId="21" fontId="11" numFmtId="0" xfId="0" applyAlignment="1" applyBorder="1" applyFont="1">
      <alignment vertical="bottom"/>
    </xf>
    <xf borderId="12" fillId="21" fontId="11" numFmtId="0" xfId="0" applyAlignment="1" applyBorder="1" applyFont="1">
      <alignment horizontal="center" vertical="bottom"/>
    </xf>
    <xf borderId="8" fillId="21" fontId="11" numFmtId="0" xfId="0" applyAlignment="1" applyBorder="1" applyFont="1">
      <alignment horizontal="center" shrinkToFit="0" vertical="bottom" wrapText="0"/>
    </xf>
    <xf borderId="13" fillId="21" fontId="11" numFmtId="0" xfId="0" applyAlignment="1" applyBorder="1" applyFont="1">
      <alignment horizontal="center" shrinkToFit="0" vertical="bottom" wrapText="0"/>
    </xf>
    <xf borderId="8" fillId="0" fontId="6" numFmtId="0" xfId="0" applyBorder="1" applyFont="1"/>
    <xf borderId="11" fillId="21" fontId="11" numFmtId="0" xfId="0" applyAlignment="1" applyBorder="1" applyFont="1">
      <alignment horizontal="center" vertical="bottom"/>
    </xf>
    <xf borderId="14" fillId="0" fontId="6" numFmtId="0" xfId="0" applyBorder="1" applyFont="1"/>
    <xf borderId="10" fillId="21" fontId="11" numFmtId="0" xfId="0" applyAlignment="1" applyBorder="1" applyFont="1">
      <alignment vertical="bottom"/>
    </xf>
    <xf borderId="14" fillId="21" fontId="11" numFmtId="0" xfId="0" applyAlignment="1" applyBorder="1" applyFont="1">
      <alignment horizontal="center" vertical="bottom"/>
    </xf>
    <xf borderId="14" fillId="21" fontId="11" numFmtId="0" xfId="0" applyAlignment="1" applyBorder="1" applyFont="1">
      <alignment horizontal="center" shrinkToFit="0" vertical="bottom" wrapText="0"/>
    </xf>
    <xf borderId="9" fillId="0" fontId="6" numFmtId="0" xfId="0" applyBorder="1" applyFont="1"/>
    <xf borderId="4" fillId="0" fontId="12" numFmtId="0" xfId="0" applyAlignment="1" applyBorder="1" applyFont="1">
      <alignment horizontal="right" shrinkToFit="0" vertical="bottom" wrapText="0"/>
    </xf>
    <xf borderId="1" fillId="0" fontId="15" numFmtId="0" xfId="0" applyAlignment="1" applyBorder="1" applyFont="1">
      <alignment vertical="bottom"/>
    </xf>
    <xf borderId="4" fillId="0" fontId="12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horizontal="right" shrinkToFit="0" vertical="bottom" wrapText="0"/>
    </xf>
    <xf borderId="4" fillId="0" fontId="15" numFmtId="0" xfId="0" applyAlignment="1" applyBorder="1" applyFont="1">
      <alignment vertical="bottom"/>
    </xf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wrapText="1"/>
    </xf>
    <xf borderId="4" fillId="0" fontId="12" numFmtId="0" xfId="0" applyAlignment="1" applyBorder="1" applyFont="1">
      <alignment vertical="bottom"/>
    </xf>
    <xf borderId="0" fillId="6" fontId="16" numFmtId="0" xfId="0" applyAlignment="1" applyFont="1">
      <alignment shrinkToFit="0" vertical="bottom" wrapText="0"/>
    </xf>
    <xf borderId="0" fillId="6" fontId="16" numFmtId="0" xfId="0" applyAlignment="1" applyFont="1">
      <alignment horizontal="right" shrinkToFit="0" vertical="bottom" wrapText="0"/>
    </xf>
    <xf borderId="0" fillId="2" fontId="12" numFmtId="0" xfId="0" applyAlignment="1" applyFont="1">
      <alignment shrinkToFit="0" vertical="bottom" wrapText="0"/>
    </xf>
    <xf borderId="0" fillId="2" fontId="12" numFmtId="0" xfId="0" applyAlignment="1" applyFont="1">
      <alignment vertical="bottom"/>
    </xf>
    <xf borderId="1" fillId="0" fontId="15" numFmtId="0" xfId="0" applyAlignment="1" applyBorder="1" applyFont="1">
      <alignment horizontal="left" vertical="top"/>
    </xf>
    <xf borderId="4" fillId="0" fontId="15" numFmtId="0" xfId="0" applyAlignment="1" applyBorder="1" applyFont="1">
      <alignment horizontal="left" vertical="top"/>
    </xf>
    <xf borderId="7" fillId="6" fontId="11" numFmtId="0" xfId="0" applyAlignment="1" applyBorder="1" applyFont="1">
      <alignment vertical="bottom"/>
    </xf>
    <xf borderId="7" fillId="0" fontId="13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7" fillId="2" fontId="14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11" fillId="21" fontId="11" numFmtId="0" xfId="0" applyAlignment="1" applyBorder="1" applyFont="1">
      <alignment vertical="bottom"/>
    </xf>
    <xf borderId="7" fillId="21" fontId="11" numFmtId="0" xfId="0" applyAlignment="1" applyBorder="1" applyFont="1">
      <alignment shrinkToFit="0" vertical="bottom" wrapText="1"/>
    </xf>
    <xf borderId="11" fillId="21" fontId="11" numFmtId="0" xfId="0" applyAlignment="1" applyBorder="1" applyFont="1">
      <alignment horizontal="center" shrinkToFit="0" vertical="bottom" wrapText="1"/>
    </xf>
    <xf borderId="7" fillId="21" fontId="11" numFmtId="0" xfId="0" applyAlignment="1" applyBorder="1" applyFont="1">
      <alignment horizontal="center" vertical="bottom"/>
    </xf>
    <xf borderId="15" fillId="21" fontId="11" numFmtId="0" xfId="0" applyAlignment="1" applyBorder="1" applyFont="1">
      <alignment horizontal="center" vertical="bottom"/>
    </xf>
    <xf borderId="14" fillId="21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right" vertical="bottom"/>
    </xf>
    <xf borderId="4" fillId="0" fontId="1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0" fontId="13" numFmtId="0" xfId="0" applyAlignment="1" applyBorder="1" applyFont="1">
      <alignment horizontal="right" vertical="bottom"/>
    </xf>
    <xf borderId="1" fillId="0" fontId="1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0" fillId="6" fontId="16" numFmtId="0" xfId="0" applyAlignment="1" applyFont="1">
      <alignment vertical="bottom"/>
    </xf>
    <xf borderId="0" fillId="6" fontId="16" numFmtId="0" xfId="0" applyAlignment="1" applyFont="1">
      <alignment horizontal="right" vertical="bottom"/>
    </xf>
    <xf borderId="11" fillId="21" fontId="11" numFmtId="0" xfId="0" applyAlignment="1" applyBorder="1" applyFont="1">
      <alignment shrinkToFit="0" vertical="bottom" wrapText="1"/>
    </xf>
    <xf borderId="7" fillId="6" fontId="11" numFmtId="0" xfId="0" applyBorder="1" applyFont="1"/>
    <xf borderId="7" fillId="0" fontId="13" numFmtId="0" xfId="0" applyAlignment="1" applyBorder="1" applyFont="1">
      <alignment shrinkToFit="0" wrapText="1"/>
    </xf>
    <xf borderId="7" fillId="2" fontId="14" numFmtId="0" xfId="0" applyAlignment="1" applyBorder="1" applyFont="1">
      <alignment horizontal="left" shrinkToFit="0" wrapText="1"/>
    </xf>
    <xf borderId="7" fillId="2" fontId="14" numFmtId="0" xfId="0" applyAlignment="1" applyBorder="1" applyFont="1">
      <alignment shrinkToFit="0" wrapText="1"/>
    </xf>
    <xf borderId="11" fillId="21" fontId="11" numFmtId="0" xfId="0" applyBorder="1" applyFont="1"/>
    <xf borderId="7" fillId="21" fontId="11" numFmtId="0" xfId="0" applyBorder="1" applyFont="1"/>
    <xf borderId="7" fillId="21" fontId="11" numFmtId="0" xfId="0" applyAlignment="1" applyBorder="1" applyFont="1">
      <alignment horizontal="center"/>
    </xf>
    <xf borderId="15" fillId="21" fontId="11" numFmtId="0" xfId="0" applyAlignment="1" applyBorder="1" applyFont="1">
      <alignment horizontal="center"/>
    </xf>
    <xf borderId="11" fillId="21" fontId="11" numFmtId="0" xfId="0" applyAlignment="1" applyBorder="1" applyFont="1">
      <alignment horizontal="center" shrinkToFit="0" wrapText="1"/>
    </xf>
    <xf borderId="1" fillId="22" fontId="15" numFmtId="0" xfId="0" applyBorder="1" applyFill="1" applyFont="1"/>
    <xf borderId="1" fillId="22" fontId="12" numFmtId="0" xfId="0" applyBorder="1" applyFont="1"/>
    <xf borderId="2" fillId="22" fontId="12" numFmtId="0" xfId="0" applyBorder="1" applyFont="1"/>
    <xf borderId="11" fillId="21" fontId="11" numFmtId="0" xfId="0" applyAlignment="1" applyBorder="1" applyFont="1">
      <alignment horizontal="center"/>
    </xf>
    <xf borderId="11" fillId="21" fontId="17" numFmtId="0" xfId="0" applyAlignment="1" applyBorder="1" applyFont="1">
      <alignment horizontal="center"/>
    </xf>
    <xf borderId="2" fillId="22" fontId="15" numFmtId="0" xfId="0" applyBorder="1" applyFont="1"/>
    <xf borderId="4" fillId="0" fontId="13" numFmtId="0" xfId="0" applyBorder="1" applyFont="1"/>
    <xf borderId="4" fillId="0" fontId="2" numFmtId="0" xfId="0" applyAlignment="1" applyBorder="1" applyFont="1">
      <alignment shrinkToFit="0" wrapText="1"/>
    </xf>
    <xf borderId="4" fillId="0" fontId="2" numFmtId="0" xfId="0" applyBorder="1" applyFont="1"/>
    <xf borderId="1" fillId="0" fontId="13" numFmtId="0" xfId="0" applyBorder="1" applyFont="1"/>
    <xf borderId="1" fillId="0" fontId="18" numFmtId="0" xfId="0" applyAlignment="1" applyBorder="1" applyFont="1">
      <alignment shrinkToFit="0" wrapText="1"/>
    </xf>
    <xf borderId="1" fillId="0" fontId="18" numFmtId="0" xfId="0" applyBorder="1" applyFont="1"/>
    <xf borderId="0" fillId="0" fontId="1" numFmtId="0" xfId="0" applyAlignment="1" applyFont="1">
      <alignment shrinkToFit="0" wrapText="1"/>
    </xf>
    <xf borderId="0" fillId="0" fontId="19" numFmtId="0" xfId="0" applyFont="1"/>
    <xf borderId="0" fillId="0" fontId="20" numFmtId="0" xfId="0" applyFont="1"/>
    <xf borderId="10" fillId="2" fontId="14" numFmtId="0" xfId="0" applyAlignment="1" applyBorder="1" applyFont="1">
      <alignment vertical="top"/>
    </xf>
    <xf borderId="8" fillId="0" fontId="12" numFmtId="0" xfId="0" applyAlignment="1" applyBorder="1" applyFont="1">
      <alignment readingOrder="0" vertical="bottom"/>
    </xf>
    <xf borderId="10" fillId="2" fontId="14" numFmtId="0" xfId="0" applyAlignment="1" applyBorder="1" applyFont="1">
      <alignment horizontal="left" readingOrder="0" vertical="bottom"/>
    </xf>
    <xf borderId="4" fillId="0" fontId="12" numFmtId="0" xfId="0" applyAlignment="1" applyBorder="1" applyFont="1">
      <alignment horizontal="left" vertical="top"/>
    </xf>
    <xf borderId="0" fillId="2" fontId="15" numFmtId="0" xfId="0" applyAlignment="1" applyFont="1">
      <alignment shrinkToFit="0" vertical="bottom" wrapText="0"/>
    </xf>
    <xf borderId="7" fillId="0" fontId="13" numFmtId="0" xfId="0" applyAlignment="1" applyBorder="1" applyFont="1">
      <alignment readingOrder="0" shrinkToFit="0" vertical="bottom" wrapText="1"/>
    </xf>
    <xf borderId="7" fillId="2" fontId="1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vertical="bottom"/>
    </xf>
    <xf borderId="4" fillId="0" fontId="13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7" fillId="6" fontId="21" numFmtId="0" xfId="0" applyAlignment="1" applyBorder="1" applyFont="1">
      <alignment shrinkToFit="0" vertical="bottom" wrapText="0"/>
    </xf>
    <xf borderId="8" fillId="0" fontId="22" numFmtId="0" xfId="0" applyAlignment="1" applyBorder="1" applyFont="1">
      <alignment vertical="bottom"/>
    </xf>
    <xf borderId="9" fillId="6" fontId="21" numFmtId="0" xfId="0" applyAlignment="1" applyBorder="1" applyFont="1">
      <alignment shrinkToFit="0" vertical="bottom" wrapText="0"/>
    </xf>
    <xf borderId="10" fillId="2" fontId="23" numFmtId="0" xfId="0" applyAlignment="1" applyBorder="1" applyFont="1">
      <alignment horizontal="left" vertical="bottom"/>
    </xf>
    <xf borderId="10" fillId="2" fontId="23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11" fillId="21" fontId="24" numFmtId="0" xfId="0" applyAlignment="1" applyBorder="1" applyFont="1">
      <alignment shrinkToFit="0" vertical="bottom" wrapText="0"/>
    </xf>
    <xf borderId="8" fillId="21" fontId="24" numFmtId="0" xfId="0" applyAlignment="1" applyBorder="1" applyFont="1">
      <alignment vertical="bottom"/>
    </xf>
    <xf borderId="12" fillId="21" fontId="24" numFmtId="0" xfId="0" applyAlignment="1" applyBorder="1" applyFont="1">
      <alignment horizontal="center" vertical="bottom"/>
    </xf>
    <xf borderId="8" fillId="21" fontId="24" numFmtId="0" xfId="0" applyAlignment="1" applyBorder="1" applyFont="1">
      <alignment horizontal="center" shrinkToFit="0" vertical="bottom" wrapText="0"/>
    </xf>
    <xf borderId="13" fillId="21" fontId="24" numFmtId="0" xfId="0" applyAlignment="1" applyBorder="1" applyFont="1">
      <alignment horizontal="center" shrinkToFit="0" vertical="bottom" wrapText="0"/>
    </xf>
    <xf borderId="11" fillId="21" fontId="24" numFmtId="0" xfId="0" applyAlignment="1" applyBorder="1" applyFont="1">
      <alignment horizontal="center" shrinkToFit="0" vertical="bottom" wrapText="1"/>
    </xf>
    <xf borderId="10" fillId="21" fontId="24" numFmtId="0" xfId="0" applyAlignment="1" applyBorder="1" applyFont="1">
      <alignment vertical="bottom"/>
    </xf>
    <xf borderId="14" fillId="21" fontId="24" numFmtId="0" xfId="0" applyAlignment="1" applyBorder="1" applyFont="1">
      <alignment horizontal="center" vertical="bottom"/>
    </xf>
    <xf borderId="14" fillId="21" fontId="24" numFmtId="0" xfId="0" applyAlignment="1" applyBorder="1" applyFont="1">
      <alignment horizontal="center" shrinkToFit="0" vertical="bottom" wrapText="0"/>
    </xf>
    <xf borderId="10" fillId="2" fontId="23" numFmtId="0" xfId="0" applyAlignment="1" applyBorder="1" applyFont="1">
      <alignment vertical="top"/>
    </xf>
    <xf borderId="11" fillId="21" fontId="2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6.88"/>
    <col customWidth="1" min="3" max="3" width="35.75"/>
  </cols>
  <sheetData>
    <row r="1" ht="30.75" customHeight="1">
      <c r="A1" s="1" t="s">
        <v>0</v>
      </c>
      <c r="B1" s="1" t="s">
        <v>1</v>
      </c>
      <c r="C1" s="1" t="s">
        <v>2</v>
      </c>
    </row>
    <row r="2" ht="43.5" customHeight="1">
      <c r="A2" s="2">
        <v>1.0</v>
      </c>
      <c r="B2" s="3" t="s">
        <v>3</v>
      </c>
      <c r="C2" s="2" t="s">
        <v>4</v>
      </c>
    </row>
    <row r="3" ht="43.5" customHeight="1">
      <c r="A3" s="2">
        <v>2.0</v>
      </c>
      <c r="B3" s="3" t="s">
        <v>5</v>
      </c>
      <c r="C3" s="2" t="s">
        <v>6</v>
      </c>
    </row>
    <row r="4" ht="43.5" customHeight="1">
      <c r="A4" s="2">
        <v>3.0</v>
      </c>
      <c r="B4" s="3" t="s">
        <v>7</v>
      </c>
      <c r="C4" s="2" t="s">
        <v>8</v>
      </c>
    </row>
    <row r="5" ht="42.0" customHeight="1">
      <c r="A5" s="2">
        <v>4.0</v>
      </c>
      <c r="B5" s="4" t="s">
        <v>9</v>
      </c>
      <c r="C5" s="4" t="s">
        <v>10</v>
      </c>
    </row>
    <row r="6" ht="65.25" customHeight="1">
      <c r="A6" s="2">
        <v>5.0</v>
      </c>
      <c r="B6" s="2" t="s">
        <v>11</v>
      </c>
      <c r="C6" s="2" t="s">
        <v>12</v>
      </c>
    </row>
    <row r="7" ht="36.0" customHeight="1">
      <c r="A7" s="2">
        <v>6.0</v>
      </c>
      <c r="B7" s="2" t="s">
        <v>13</v>
      </c>
      <c r="C7" s="2" t="s">
        <v>14</v>
      </c>
    </row>
    <row r="8" ht="49.5" customHeight="1">
      <c r="A8" s="2">
        <v>7.0</v>
      </c>
      <c r="B8" s="2" t="s">
        <v>15</v>
      </c>
      <c r="C8" s="2" t="s">
        <v>16</v>
      </c>
    </row>
    <row r="9" ht="48.75" customHeight="1">
      <c r="A9" s="2">
        <v>8.0</v>
      </c>
      <c r="B9" s="2" t="s">
        <v>17</v>
      </c>
      <c r="C9" s="2" t="s">
        <v>18</v>
      </c>
    </row>
    <row r="10" ht="72.75" customHeight="1">
      <c r="A10" s="2">
        <v>9.0</v>
      </c>
      <c r="B10" s="2" t="s">
        <v>19</v>
      </c>
      <c r="C10" s="2" t="s">
        <v>20</v>
      </c>
    </row>
    <row r="11" ht="15.75" customHeight="1">
      <c r="A11" s="4"/>
      <c r="B11" s="4"/>
      <c r="C11" s="4"/>
    </row>
    <row r="12" ht="15.75" customHeight="1">
      <c r="A12" s="4"/>
      <c r="B12" s="4"/>
      <c r="C12" s="4"/>
    </row>
    <row r="13" ht="15.75" customHeight="1">
      <c r="A13" s="4"/>
      <c r="B13" s="4"/>
      <c r="C13" s="4"/>
    </row>
    <row r="14" ht="15.75" customHeight="1">
      <c r="A14" s="4"/>
      <c r="B14" s="4"/>
      <c r="C14" s="4"/>
    </row>
    <row r="15" ht="15.75" customHeight="1">
      <c r="A15" s="4"/>
      <c r="B15" s="4"/>
      <c r="C15" s="4"/>
    </row>
    <row r="16" ht="15.75" customHeight="1">
      <c r="A16" s="4"/>
      <c r="B16" s="4"/>
      <c r="C16" s="4"/>
    </row>
    <row r="17" ht="15.75" customHeight="1">
      <c r="A17" s="4"/>
      <c r="B17" s="4"/>
      <c r="C17" s="4"/>
    </row>
    <row r="18" ht="15.75" customHeight="1">
      <c r="A18" s="4"/>
      <c r="B18" s="4"/>
      <c r="C18" s="4"/>
    </row>
    <row r="19" ht="15.75" customHeight="1">
      <c r="A19" s="4"/>
      <c r="B19" s="4"/>
      <c r="C19" s="4"/>
    </row>
    <row r="20" ht="15.75" customHeight="1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43.63"/>
    <col customWidth="1" min="3" max="3" width="9.0"/>
    <col customWidth="1" min="4" max="4" width="14.63"/>
    <col customWidth="1" min="5" max="5" width="7.63"/>
    <col customWidth="1" min="6" max="6" width="37.75"/>
    <col customWidth="1" min="7" max="7" width="48.38"/>
  </cols>
  <sheetData>
    <row r="1" ht="15.75" customHeight="1">
      <c r="A1" s="5" t="s">
        <v>21</v>
      </c>
      <c r="B1" s="6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</row>
    <row r="2" ht="15.75" customHeight="1">
      <c r="A2" s="7">
        <v>1.0</v>
      </c>
      <c r="B2" s="8" t="s">
        <v>28</v>
      </c>
      <c r="C2" s="9">
        <v>1.0</v>
      </c>
      <c r="D2" s="10" t="s">
        <v>29</v>
      </c>
      <c r="E2" s="11">
        <v>1.0</v>
      </c>
      <c r="F2" s="11" t="s">
        <v>30</v>
      </c>
      <c r="G2" s="12" t="s">
        <v>31</v>
      </c>
      <c r="H2" s="13" t="s">
        <v>32</v>
      </c>
    </row>
    <row r="3" ht="15.75" customHeight="1">
      <c r="A3" s="14"/>
      <c r="B3" s="14"/>
      <c r="C3" s="14"/>
      <c r="D3" s="14"/>
      <c r="E3" s="11">
        <v>2.0</v>
      </c>
      <c r="F3" s="11" t="s">
        <v>33</v>
      </c>
      <c r="G3" s="14"/>
    </row>
    <row r="4" ht="15.75" customHeight="1">
      <c r="A4" s="14"/>
      <c r="B4" s="14"/>
      <c r="C4" s="14"/>
      <c r="D4" s="14"/>
      <c r="E4" s="11">
        <v>3.0</v>
      </c>
      <c r="F4" s="11" t="s">
        <v>34</v>
      </c>
      <c r="G4" s="14"/>
    </row>
    <row r="5" ht="15.75" customHeight="1">
      <c r="A5" s="14"/>
      <c r="B5" s="14"/>
      <c r="C5" s="14"/>
      <c r="D5" s="14"/>
      <c r="E5" s="11">
        <v>4.0</v>
      </c>
      <c r="F5" s="11" t="s">
        <v>35</v>
      </c>
      <c r="G5" s="14"/>
    </row>
    <row r="6" ht="15.75" customHeight="1">
      <c r="A6" s="14"/>
      <c r="B6" s="14"/>
      <c r="C6" s="14"/>
      <c r="D6" s="14"/>
      <c r="E6" s="11">
        <v>5.0</v>
      </c>
      <c r="F6" s="15" t="s">
        <v>36</v>
      </c>
      <c r="G6" s="14"/>
    </row>
    <row r="7" ht="15.75" customHeight="1">
      <c r="A7" s="14"/>
      <c r="B7" s="14"/>
      <c r="C7" s="14"/>
      <c r="D7" s="14"/>
      <c r="E7" s="16">
        <v>6.0</v>
      </c>
      <c r="F7" s="17"/>
      <c r="G7" s="14"/>
    </row>
    <row r="8" ht="15.75" customHeight="1">
      <c r="A8" s="14"/>
      <c r="B8" s="14"/>
      <c r="C8" s="18"/>
      <c r="D8" s="18"/>
      <c r="E8" s="16">
        <v>7.0</v>
      </c>
      <c r="F8" s="17"/>
      <c r="G8" s="14"/>
    </row>
    <row r="9" ht="15.75" customHeight="1">
      <c r="A9" s="14"/>
      <c r="B9" s="14"/>
      <c r="C9" s="9">
        <v>2.0</v>
      </c>
      <c r="D9" s="10" t="s">
        <v>37</v>
      </c>
      <c r="E9" s="11">
        <v>1.0</v>
      </c>
      <c r="F9" s="11" t="s">
        <v>38</v>
      </c>
      <c r="G9" s="14"/>
    </row>
    <row r="10" ht="15.75" customHeight="1">
      <c r="A10" s="14"/>
      <c r="B10" s="14"/>
      <c r="C10" s="14"/>
      <c r="D10" s="14"/>
      <c r="E10" s="11">
        <v>2.0</v>
      </c>
      <c r="F10" s="11" t="s">
        <v>39</v>
      </c>
      <c r="G10" s="14"/>
    </row>
    <row r="11" ht="15.75" customHeight="1">
      <c r="A11" s="14"/>
      <c r="B11" s="14"/>
      <c r="C11" s="14"/>
      <c r="D11" s="14"/>
      <c r="E11" s="11">
        <v>3.0</v>
      </c>
      <c r="F11" s="11" t="s">
        <v>40</v>
      </c>
      <c r="G11" s="14"/>
    </row>
    <row r="12" ht="15.75" customHeight="1">
      <c r="A12" s="14"/>
      <c r="B12" s="14"/>
      <c r="C12" s="14"/>
      <c r="D12" s="14"/>
      <c r="E12" s="11">
        <v>4.0</v>
      </c>
      <c r="F12" s="11" t="s">
        <v>41</v>
      </c>
      <c r="G12" s="14"/>
      <c r="L12" s="19" t="s">
        <v>42</v>
      </c>
    </row>
    <row r="13" ht="15.75" customHeight="1">
      <c r="A13" s="14"/>
      <c r="B13" s="14"/>
      <c r="C13" s="14"/>
      <c r="D13" s="14"/>
      <c r="E13" s="11">
        <v>5.0</v>
      </c>
      <c r="F13" s="11" t="s">
        <v>43</v>
      </c>
      <c r="G13" s="14"/>
    </row>
    <row r="14" ht="15.75" customHeight="1">
      <c r="A14" s="14"/>
      <c r="B14" s="14"/>
      <c r="C14" s="14"/>
      <c r="D14" s="14"/>
      <c r="E14" s="16">
        <v>6.0</v>
      </c>
      <c r="F14" s="17"/>
      <c r="G14" s="14"/>
    </row>
    <row r="15" ht="15.75" customHeight="1">
      <c r="A15" s="14"/>
      <c r="B15" s="14"/>
      <c r="C15" s="18"/>
      <c r="D15" s="18"/>
      <c r="E15" s="16">
        <v>7.0</v>
      </c>
      <c r="F15" s="17"/>
      <c r="G15" s="14"/>
    </row>
    <row r="16" ht="15.75" customHeight="1">
      <c r="A16" s="14"/>
      <c r="B16" s="14"/>
      <c r="C16" s="20">
        <v>3.0</v>
      </c>
      <c r="D16" s="10" t="s">
        <v>44</v>
      </c>
      <c r="E16" s="11">
        <v>1.0</v>
      </c>
      <c r="F16" s="11" t="s">
        <v>45</v>
      </c>
      <c r="G16" s="14"/>
      <c r="I16" s="21"/>
      <c r="J16" s="22"/>
      <c r="K16" s="23"/>
      <c r="L16" s="23"/>
    </row>
    <row r="17" ht="15.75" customHeight="1">
      <c r="A17" s="14"/>
      <c r="B17" s="14"/>
      <c r="C17" s="14"/>
      <c r="D17" s="14"/>
      <c r="E17" s="11">
        <v>2.0</v>
      </c>
      <c r="F17" s="11" t="s">
        <v>46</v>
      </c>
      <c r="G17" s="14"/>
      <c r="K17" s="23"/>
      <c r="L17" s="23"/>
    </row>
    <row r="18" ht="15.75" customHeight="1">
      <c r="A18" s="14"/>
      <c r="B18" s="14"/>
      <c r="C18" s="14"/>
      <c r="D18" s="14"/>
      <c r="E18" s="11">
        <v>3.0</v>
      </c>
      <c r="F18" s="11" t="s">
        <v>47</v>
      </c>
      <c r="G18" s="14"/>
      <c r="K18" s="23"/>
      <c r="L18" s="23"/>
    </row>
    <row r="19" ht="15.75" customHeight="1">
      <c r="A19" s="14"/>
      <c r="B19" s="14"/>
      <c r="C19" s="14"/>
      <c r="D19" s="14"/>
      <c r="E19" s="11">
        <v>4.0</v>
      </c>
      <c r="F19" s="11" t="s">
        <v>48</v>
      </c>
      <c r="G19" s="14"/>
      <c r="K19" s="23"/>
      <c r="L19" s="23"/>
    </row>
    <row r="20" ht="15.75" customHeight="1">
      <c r="A20" s="14"/>
      <c r="B20" s="14"/>
      <c r="C20" s="14"/>
      <c r="D20" s="14"/>
      <c r="E20" s="11">
        <v>5.0</v>
      </c>
      <c r="F20" s="17"/>
      <c r="G20" s="14"/>
      <c r="K20" s="23"/>
      <c r="L20" s="23"/>
    </row>
    <row r="21" ht="15.75" customHeight="1">
      <c r="A21" s="14"/>
      <c r="B21" s="14"/>
      <c r="C21" s="14"/>
      <c r="D21" s="14"/>
      <c r="E21" s="11">
        <v>6.0</v>
      </c>
      <c r="F21" s="17"/>
      <c r="G21" s="14"/>
      <c r="K21" s="23"/>
      <c r="L21" s="23"/>
    </row>
    <row r="22" ht="15.75" customHeight="1">
      <c r="A22" s="14"/>
      <c r="B22" s="14"/>
      <c r="C22" s="18"/>
      <c r="D22" s="18"/>
      <c r="E22" s="11">
        <v>7.0</v>
      </c>
      <c r="F22" s="17"/>
      <c r="G22" s="14"/>
      <c r="K22" s="23"/>
      <c r="L22" s="23"/>
    </row>
    <row r="23" ht="15.75" customHeight="1">
      <c r="A23" s="14"/>
      <c r="B23" s="14"/>
      <c r="C23" s="9">
        <v>4.0</v>
      </c>
      <c r="D23" s="10" t="s">
        <v>49</v>
      </c>
      <c r="E23" s="11">
        <v>1.0</v>
      </c>
      <c r="F23" s="11" t="s">
        <v>50</v>
      </c>
      <c r="G23" s="14"/>
    </row>
    <row r="24" ht="15.75" customHeight="1">
      <c r="A24" s="14"/>
      <c r="B24" s="14"/>
      <c r="C24" s="14"/>
      <c r="D24" s="14"/>
      <c r="E24" s="11">
        <v>2.0</v>
      </c>
      <c r="F24" s="11" t="s">
        <v>51</v>
      </c>
      <c r="G24" s="14"/>
    </row>
    <row r="25" ht="15.75" customHeight="1">
      <c r="A25" s="14"/>
      <c r="B25" s="14"/>
      <c r="C25" s="14"/>
      <c r="D25" s="14"/>
      <c r="E25" s="11">
        <v>3.0</v>
      </c>
      <c r="F25" s="11" t="s">
        <v>52</v>
      </c>
      <c r="G25" s="14"/>
    </row>
    <row r="26" ht="15.75" customHeight="1">
      <c r="A26" s="14"/>
      <c r="B26" s="14"/>
      <c r="C26" s="14"/>
      <c r="D26" s="14"/>
      <c r="E26" s="11">
        <v>4.0</v>
      </c>
      <c r="F26" s="11" t="s">
        <v>53</v>
      </c>
      <c r="G26" s="14"/>
    </row>
    <row r="27" ht="15.75" customHeight="1">
      <c r="A27" s="14"/>
      <c r="B27" s="14"/>
      <c r="C27" s="14"/>
      <c r="D27" s="14"/>
      <c r="E27" s="11">
        <v>5.0</v>
      </c>
      <c r="F27" s="17"/>
      <c r="G27" s="14"/>
    </row>
    <row r="28" ht="15.75" customHeight="1">
      <c r="A28" s="14"/>
      <c r="B28" s="14"/>
      <c r="C28" s="14"/>
      <c r="D28" s="14"/>
      <c r="E28" s="11">
        <v>6.0</v>
      </c>
      <c r="F28" s="17"/>
      <c r="G28" s="14"/>
    </row>
    <row r="29" ht="15.75" customHeight="1">
      <c r="A29" s="18"/>
      <c r="B29" s="18"/>
      <c r="C29" s="18"/>
      <c r="D29" s="18"/>
      <c r="E29" s="11">
        <v>7.0</v>
      </c>
      <c r="F29" s="17"/>
      <c r="G29" s="14"/>
    </row>
    <row r="30" ht="15.75" customHeight="1">
      <c r="A30" s="7">
        <v>2.0</v>
      </c>
      <c r="B30" s="24" t="s">
        <v>54</v>
      </c>
      <c r="C30" s="9">
        <v>5.0</v>
      </c>
      <c r="D30" s="10" t="s">
        <v>55</v>
      </c>
      <c r="E30" s="11">
        <v>1.0</v>
      </c>
      <c r="F30" s="11" t="s">
        <v>56</v>
      </c>
      <c r="G30" s="14"/>
    </row>
    <row r="31" ht="15.75" customHeight="1">
      <c r="A31" s="14"/>
      <c r="B31" s="14"/>
      <c r="C31" s="14"/>
      <c r="D31" s="14"/>
      <c r="E31" s="11">
        <v>2.0</v>
      </c>
      <c r="F31" s="11" t="s">
        <v>57</v>
      </c>
      <c r="G31" s="14"/>
    </row>
    <row r="32" ht="15.75" customHeight="1">
      <c r="A32" s="14"/>
      <c r="B32" s="14"/>
      <c r="C32" s="14"/>
      <c r="D32" s="14"/>
      <c r="E32" s="11">
        <v>3.0</v>
      </c>
      <c r="F32" s="11" t="s">
        <v>58</v>
      </c>
      <c r="G32" s="14"/>
    </row>
    <row r="33" ht="15.75" customHeight="1">
      <c r="A33" s="14"/>
      <c r="B33" s="14"/>
      <c r="C33" s="14"/>
      <c r="D33" s="14"/>
      <c r="E33" s="11">
        <v>4.0</v>
      </c>
      <c r="F33" s="11" t="s">
        <v>59</v>
      </c>
      <c r="G33" s="14"/>
    </row>
    <row r="34" ht="15.75" customHeight="1">
      <c r="A34" s="14"/>
      <c r="B34" s="14"/>
      <c r="C34" s="14"/>
      <c r="D34" s="14"/>
      <c r="E34" s="11">
        <v>5.0</v>
      </c>
      <c r="F34" s="17"/>
      <c r="G34" s="14"/>
    </row>
    <row r="35" ht="15.75" customHeight="1">
      <c r="A35" s="14"/>
      <c r="B35" s="14"/>
      <c r="C35" s="14"/>
      <c r="D35" s="14"/>
      <c r="E35" s="11">
        <v>6.0</v>
      </c>
      <c r="F35" s="17"/>
      <c r="G35" s="14"/>
    </row>
    <row r="36" ht="15.75" customHeight="1">
      <c r="A36" s="14"/>
      <c r="B36" s="14"/>
      <c r="C36" s="18"/>
      <c r="D36" s="18"/>
      <c r="E36" s="11">
        <v>7.0</v>
      </c>
      <c r="F36" s="17"/>
      <c r="G36" s="14"/>
      <c r="H36" s="25" t="s">
        <v>60</v>
      </c>
    </row>
    <row r="37" ht="15.75" customHeight="1">
      <c r="A37" s="14"/>
      <c r="B37" s="14"/>
      <c r="C37" s="9">
        <v>6.0</v>
      </c>
      <c r="D37" s="10" t="s">
        <v>61</v>
      </c>
      <c r="E37" s="11">
        <v>1.0</v>
      </c>
      <c r="F37" s="11" t="s">
        <v>62</v>
      </c>
      <c r="G37" s="14"/>
    </row>
    <row r="38" ht="15.75" customHeight="1">
      <c r="A38" s="14"/>
      <c r="B38" s="14"/>
      <c r="C38" s="14"/>
      <c r="D38" s="14"/>
      <c r="E38" s="11">
        <v>2.0</v>
      </c>
      <c r="F38" s="11" t="s">
        <v>63</v>
      </c>
      <c r="G38" s="14"/>
    </row>
    <row r="39" ht="15.75" customHeight="1">
      <c r="A39" s="14"/>
      <c r="B39" s="14"/>
      <c r="C39" s="14"/>
      <c r="D39" s="14"/>
      <c r="E39" s="11">
        <v>3.0</v>
      </c>
      <c r="F39" s="11" t="s">
        <v>64</v>
      </c>
      <c r="G39" s="14"/>
    </row>
    <row r="40" ht="15.75" customHeight="1">
      <c r="A40" s="14"/>
      <c r="B40" s="14"/>
      <c r="C40" s="14"/>
      <c r="D40" s="14"/>
      <c r="E40" s="11">
        <v>4.0</v>
      </c>
      <c r="F40" s="11" t="s">
        <v>65</v>
      </c>
      <c r="G40" s="14"/>
    </row>
    <row r="41" ht="15.75" customHeight="1">
      <c r="A41" s="14"/>
      <c r="B41" s="14"/>
      <c r="C41" s="14"/>
      <c r="D41" s="14"/>
      <c r="E41" s="11">
        <v>5.0</v>
      </c>
      <c r="F41" s="17"/>
      <c r="G41" s="14"/>
    </row>
    <row r="42" ht="15.75" customHeight="1">
      <c r="A42" s="14"/>
      <c r="B42" s="14"/>
      <c r="C42" s="14"/>
      <c r="D42" s="14"/>
      <c r="E42" s="11">
        <v>6.0</v>
      </c>
      <c r="F42" s="17"/>
      <c r="G42" s="14"/>
    </row>
    <row r="43" ht="15.75" customHeight="1">
      <c r="A43" s="14"/>
      <c r="B43" s="14"/>
      <c r="C43" s="18"/>
      <c r="D43" s="18"/>
      <c r="E43" s="11">
        <v>7.0</v>
      </c>
      <c r="F43" s="17"/>
      <c r="G43" s="14"/>
    </row>
    <row r="44" ht="15.75" customHeight="1">
      <c r="A44" s="14"/>
      <c r="B44" s="14"/>
      <c r="C44" s="9">
        <v>7.0</v>
      </c>
      <c r="D44" s="10" t="s">
        <v>66</v>
      </c>
      <c r="E44" s="11">
        <v>1.0</v>
      </c>
      <c r="F44" s="11" t="s">
        <v>67</v>
      </c>
      <c r="G44" s="14"/>
    </row>
    <row r="45" ht="15.75" customHeight="1">
      <c r="A45" s="14"/>
      <c r="B45" s="14"/>
      <c r="C45" s="14"/>
      <c r="D45" s="14"/>
      <c r="E45" s="11">
        <v>2.0</v>
      </c>
      <c r="F45" s="11" t="s">
        <v>68</v>
      </c>
      <c r="G45" s="14"/>
    </row>
    <row r="46" ht="15.75" customHeight="1">
      <c r="A46" s="14"/>
      <c r="B46" s="14"/>
      <c r="C46" s="14"/>
      <c r="D46" s="14"/>
      <c r="E46" s="11">
        <v>3.0</v>
      </c>
      <c r="F46" s="11" t="s">
        <v>69</v>
      </c>
      <c r="G46" s="14"/>
    </row>
    <row r="47" ht="15.75" customHeight="1">
      <c r="A47" s="14"/>
      <c r="B47" s="14"/>
      <c r="C47" s="14"/>
      <c r="D47" s="14"/>
      <c r="E47" s="11">
        <v>4.0</v>
      </c>
      <c r="F47" s="11" t="s">
        <v>70</v>
      </c>
      <c r="G47" s="14"/>
    </row>
    <row r="48" ht="15.75" customHeight="1">
      <c r="A48" s="14"/>
      <c r="B48" s="14"/>
      <c r="C48" s="14"/>
      <c r="D48" s="14"/>
      <c r="E48" s="11">
        <v>5.0</v>
      </c>
      <c r="F48" s="17"/>
      <c r="G48" s="14"/>
    </row>
    <row r="49" ht="15.75" customHeight="1">
      <c r="A49" s="14"/>
      <c r="B49" s="14"/>
      <c r="C49" s="14"/>
      <c r="D49" s="14"/>
      <c r="E49" s="11">
        <v>6.0</v>
      </c>
      <c r="F49" s="17"/>
      <c r="G49" s="14"/>
    </row>
    <row r="50" ht="15.75" customHeight="1">
      <c r="A50" s="14"/>
      <c r="B50" s="14"/>
      <c r="C50" s="18"/>
      <c r="D50" s="18"/>
      <c r="E50" s="11">
        <v>7.0</v>
      </c>
      <c r="F50" s="17"/>
      <c r="G50" s="18"/>
    </row>
    <row r="51" ht="15.75" customHeight="1">
      <c r="A51" s="14"/>
      <c r="B51" s="14"/>
      <c r="C51" s="9">
        <v>8.0</v>
      </c>
      <c r="D51" s="26" t="s">
        <v>71</v>
      </c>
      <c r="E51" s="11">
        <v>1.0</v>
      </c>
      <c r="F51" s="11" t="s">
        <v>72</v>
      </c>
      <c r="G51" s="27" t="s">
        <v>73</v>
      </c>
    </row>
    <row r="52" ht="15.75" customHeight="1">
      <c r="A52" s="14"/>
      <c r="B52" s="14"/>
      <c r="C52" s="14"/>
      <c r="D52" s="28"/>
      <c r="E52" s="11">
        <v>2.0</v>
      </c>
      <c r="F52" s="11" t="s">
        <v>74</v>
      </c>
      <c r="G52" s="14"/>
    </row>
    <row r="53" ht="15.75" customHeight="1">
      <c r="A53" s="14"/>
      <c r="B53" s="14"/>
      <c r="C53" s="14"/>
      <c r="D53" s="28"/>
      <c r="E53" s="11">
        <v>3.0</v>
      </c>
      <c r="F53" s="11" t="s">
        <v>75</v>
      </c>
      <c r="G53" s="14"/>
    </row>
    <row r="54" ht="15.75" customHeight="1">
      <c r="A54" s="14"/>
      <c r="B54" s="14"/>
      <c r="C54" s="14"/>
      <c r="D54" s="28"/>
      <c r="E54" s="11">
        <v>4.0</v>
      </c>
      <c r="F54" s="11" t="s">
        <v>76</v>
      </c>
      <c r="G54" s="14"/>
    </row>
    <row r="55" ht="15.75" customHeight="1">
      <c r="A55" s="14"/>
      <c r="B55" s="14"/>
      <c r="C55" s="14"/>
      <c r="D55" s="28"/>
      <c r="E55" s="11">
        <v>5.0</v>
      </c>
      <c r="F55" s="11" t="s">
        <v>77</v>
      </c>
      <c r="G55" s="14"/>
    </row>
    <row r="56" ht="15.75" customHeight="1">
      <c r="A56" s="14"/>
      <c r="B56" s="14"/>
      <c r="C56" s="14"/>
      <c r="D56" s="28"/>
      <c r="E56" s="11">
        <v>6.0</v>
      </c>
      <c r="F56" s="17"/>
      <c r="G56" s="14"/>
    </row>
    <row r="57" ht="15.75" customHeight="1">
      <c r="A57" s="18"/>
      <c r="B57" s="18"/>
      <c r="C57" s="18"/>
      <c r="D57" s="29"/>
      <c r="E57" s="11">
        <v>7.0</v>
      </c>
      <c r="F57" s="17"/>
      <c r="G57" s="14"/>
    </row>
    <row r="58" ht="15.75" customHeight="1">
      <c r="A58" s="7">
        <v>3.0</v>
      </c>
      <c r="B58" s="8" t="s">
        <v>78</v>
      </c>
      <c r="C58" s="9">
        <v>9.0</v>
      </c>
      <c r="D58" s="10" t="s">
        <v>79</v>
      </c>
      <c r="E58" s="11">
        <v>1.0</v>
      </c>
      <c r="F58" s="11" t="s">
        <v>80</v>
      </c>
      <c r="G58" s="14"/>
    </row>
    <row r="59" ht="15.75" customHeight="1">
      <c r="A59" s="14"/>
      <c r="B59" s="14"/>
      <c r="C59" s="14"/>
      <c r="D59" s="14"/>
      <c r="E59" s="11">
        <v>2.0</v>
      </c>
      <c r="F59" s="11" t="s">
        <v>81</v>
      </c>
      <c r="G59" s="14"/>
    </row>
    <row r="60" ht="15.75" customHeight="1">
      <c r="A60" s="14"/>
      <c r="B60" s="14"/>
      <c r="C60" s="14"/>
      <c r="D60" s="14"/>
      <c r="E60" s="11">
        <v>3.0</v>
      </c>
      <c r="F60" s="11" t="s">
        <v>82</v>
      </c>
      <c r="G60" s="14"/>
    </row>
    <row r="61" ht="15.75" customHeight="1">
      <c r="A61" s="14"/>
      <c r="B61" s="14"/>
      <c r="C61" s="14"/>
      <c r="D61" s="14"/>
      <c r="E61" s="11">
        <v>4.0</v>
      </c>
      <c r="F61" s="11" t="s">
        <v>77</v>
      </c>
      <c r="G61" s="14"/>
    </row>
    <row r="62" ht="15.75" customHeight="1">
      <c r="A62" s="14"/>
      <c r="B62" s="14"/>
      <c r="C62" s="14"/>
      <c r="D62" s="14"/>
      <c r="E62" s="11">
        <v>5.0</v>
      </c>
      <c r="F62" s="17"/>
      <c r="G62" s="14"/>
    </row>
    <row r="63" ht="15.75" customHeight="1">
      <c r="A63" s="14"/>
      <c r="B63" s="14"/>
      <c r="C63" s="14"/>
      <c r="D63" s="14"/>
      <c r="E63" s="11">
        <v>6.0</v>
      </c>
      <c r="F63" s="17"/>
      <c r="G63" s="14"/>
    </row>
    <row r="64" ht="15.75" customHeight="1">
      <c r="A64" s="14"/>
      <c r="B64" s="14"/>
      <c r="C64" s="18"/>
      <c r="D64" s="18"/>
      <c r="E64" s="11">
        <v>7.0</v>
      </c>
      <c r="F64" s="17"/>
      <c r="G64" s="14"/>
    </row>
    <row r="65" ht="15.75" customHeight="1">
      <c r="A65" s="14"/>
      <c r="B65" s="14"/>
      <c r="C65" s="9">
        <v>10.0</v>
      </c>
      <c r="D65" s="10" t="s">
        <v>83</v>
      </c>
      <c r="E65" s="11">
        <v>1.0</v>
      </c>
      <c r="F65" s="11" t="s">
        <v>84</v>
      </c>
      <c r="G65" s="14"/>
    </row>
    <row r="66" ht="15.75" customHeight="1">
      <c r="A66" s="14"/>
      <c r="B66" s="14"/>
      <c r="C66" s="14"/>
      <c r="D66" s="14"/>
      <c r="E66" s="11">
        <v>2.0</v>
      </c>
      <c r="F66" s="11" t="s">
        <v>85</v>
      </c>
      <c r="G66" s="14"/>
    </row>
    <row r="67" ht="15.75" customHeight="1">
      <c r="A67" s="14"/>
      <c r="B67" s="14"/>
      <c r="C67" s="14"/>
      <c r="D67" s="14"/>
      <c r="E67" s="11">
        <v>3.0</v>
      </c>
      <c r="F67" s="11" t="s">
        <v>86</v>
      </c>
      <c r="G67" s="14"/>
    </row>
    <row r="68" ht="15.75" customHeight="1">
      <c r="A68" s="14"/>
      <c r="B68" s="14"/>
      <c r="C68" s="14"/>
      <c r="D68" s="14"/>
      <c r="E68" s="11">
        <v>4.0</v>
      </c>
      <c r="F68" s="11" t="s">
        <v>87</v>
      </c>
      <c r="G68" s="14"/>
    </row>
    <row r="69" ht="15.75" customHeight="1">
      <c r="A69" s="14"/>
      <c r="B69" s="14"/>
      <c r="C69" s="14"/>
      <c r="D69" s="14"/>
      <c r="E69" s="11">
        <v>5.0</v>
      </c>
      <c r="F69" s="17"/>
      <c r="G69" s="14"/>
    </row>
    <row r="70" ht="15.75" customHeight="1">
      <c r="A70" s="14"/>
      <c r="B70" s="14"/>
      <c r="C70" s="14"/>
      <c r="D70" s="14"/>
      <c r="E70" s="11">
        <v>6.0</v>
      </c>
      <c r="F70" s="17"/>
      <c r="G70" s="14"/>
    </row>
    <row r="71" ht="15.75" customHeight="1">
      <c r="A71" s="14"/>
      <c r="B71" s="14"/>
      <c r="C71" s="18"/>
      <c r="D71" s="18"/>
      <c r="E71" s="11">
        <v>7.0</v>
      </c>
      <c r="F71" s="17"/>
      <c r="G71" s="14"/>
      <c r="H71" s="30" t="s">
        <v>88</v>
      </c>
    </row>
    <row r="72" ht="15.75" customHeight="1">
      <c r="A72" s="14"/>
      <c r="B72" s="14"/>
      <c r="C72" s="9">
        <v>11.0</v>
      </c>
      <c r="D72" s="10" t="s">
        <v>89</v>
      </c>
      <c r="E72" s="11">
        <v>1.0</v>
      </c>
      <c r="F72" s="11" t="s">
        <v>90</v>
      </c>
      <c r="G72" s="14"/>
    </row>
    <row r="73" ht="15.75" customHeight="1">
      <c r="A73" s="14"/>
      <c r="B73" s="14"/>
      <c r="C73" s="14"/>
      <c r="D73" s="14"/>
      <c r="E73" s="11">
        <v>2.0</v>
      </c>
      <c r="F73" s="11" t="s">
        <v>91</v>
      </c>
      <c r="G73" s="14"/>
    </row>
    <row r="74" ht="15.75" customHeight="1">
      <c r="A74" s="14"/>
      <c r="B74" s="14"/>
      <c r="C74" s="14"/>
      <c r="D74" s="14"/>
      <c r="E74" s="11">
        <v>3.0</v>
      </c>
      <c r="F74" s="11" t="s">
        <v>92</v>
      </c>
      <c r="G74" s="14"/>
    </row>
    <row r="75" ht="15.75" customHeight="1">
      <c r="A75" s="14"/>
      <c r="B75" s="14"/>
      <c r="C75" s="14"/>
      <c r="D75" s="14"/>
      <c r="E75" s="11">
        <v>4.0</v>
      </c>
      <c r="F75" s="11" t="s">
        <v>93</v>
      </c>
      <c r="G75" s="14"/>
    </row>
    <row r="76" ht="15.75" customHeight="1">
      <c r="A76" s="14"/>
      <c r="B76" s="14"/>
      <c r="C76" s="14"/>
      <c r="D76" s="14"/>
      <c r="E76" s="11">
        <v>5.0</v>
      </c>
      <c r="F76" s="17"/>
      <c r="G76" s="14"/>
    </row>
    <row r="77" ht="15.75" customHeight="1">
      <c r="A77" s="14"/>
      <c r="B77" s="14"/>
      <c r="C77" s="14"/>
      <c r="D77" s="14"/>
      <c r="E77" s="11">
        <v>6.0</v>
      </c>
      <c r="F77" s="17"/>
      <c r="G77" s="14"/>
    </row>
    <row r="78" ht="15.75" customHeight="1">
      <c r="A78" s="14"/>
      <c r="B78" s="14"/>
      <c r="C78" s="18"/>
      <c r="D78" s="18"/>
      <c r="E78" s="11">
        <v>7.0</v>
      </c>
      <c r="F78" s="17"/>
      <c r="G78" s="14"/>
    </row>
    <row r="79" ht="15.75" customHeight="1">
      <c r="A79" s="14"/>
      <c r="B79" s="14"/>
      <c r="C79" s="9">
        <v>12.0</v>
      </c>
      <c r="D79" s="10" t="s">
        <v>94</v>
      </c>
      <c r="E79" s="11">
        <v>1.0</v>
      </c>
      <c r="F79" s="11" t="s">
        <v>95</v>
      </c>
      <c r="G79" s="14"/>
    </row>
    <row r="80" ht="15.75" customHeight="1">
      <c r="A80" s="14"/>
      <c r="B80" s="14"/>
      <c r="C80" s="14"/>
      <c r="D80" s="14"/>
      <c r="E80" s="11">
        <v>2.0</v>
      </c>
      <c r="F80" s="11" t="s">
        <v>96</v>
      </c>
      <c r="G80" s="14"/>
    </row>
    <row r="81" ht="15.75" customHeight="1">
      <c r="A81" s="14"/>
      <c r="B81" s="14"/>
      <c r="C81" s="14"/>
      <c r="D81" s="14"/>
      <c r="E81" s="11">
        <v>3.0</v>
      </c>
      <c r="F81" s="11" t="s">
        <v>97</v>
      </c>
      <c r="G81" s="14"/>
    </row>
    <row r="82" ht="15.75" customHeight="1">
      <c r="A82" s="14"/>
      <c r="B82" s="14"/>
      <c r="C82" s="14"/>
      <c r="D82" s="14"/>
      <c r="E82" s="11">
        <v>4.0</v>
      </c>
      <c r="F82" s="11" t="s">
        <v>98</v>
      </c>
      <c r="G82" s="14"/>
    </row>
    <row r="83" ht="15.75" customHeight="1">
      <c r="A83" s="14"/>
      <c r="B83" s="14"/>
      <c r="C83" s="14"/>
      <c r="D83" s="14"/>
      <c r="E83" s="11">
        <v>5.0</v>
      </c>
      <c r="F83" s="11" t="s">
        <v>99</v>
      </c>
      <c r="G83" s="14"/>
    </row>
    <row r="84" ht="15.75" customHeight="1">
      <c r="A84" s="14"/>
      <c r="B84" s="14"/>
      <c r="C84" s="14"/>
      <c r="D84" s="14"/>
      <c r="E84" s="11">
        <v>6.0</v>
      </c>
      <c r="F84" s="17"/>
      <c r="G84" s="14"/>
    </row>
    <row r="85" ht="15.75" customHeight="1">
      <c r="A85" s="18"/>
      <c r="B85" s="18"/>
      <c r="C85" s="18"/>
      <c r="D85" s="18"/>
      <c r="E85" s="11">
        <v>7.0</v>
      </c>
      <c r="F85" s="17"/>
      <c r="G85" s="14"/>
    </row>
    <row r="86" ht="15.75" customHeight="1">
      <c r="A86" s="7">
        <v>4.0</v>
      </c>
      <c r="B86" s="31" t="s">
        <v>100</v>
      </c>
      <c r="C86" s="9">
        <v>13.0</v>
      </c>
      <c r="D86" s="10" t="s">
        <v>101</v>
      </c>
      <c r="E86" s="11">
        <v>1.0</v>
      </c>
      <c r="F86" s="11" t="s">
        <v>102</v>
      </c>
      <c r="G86" s="14"/>
    </row>
    <row r="87" ht="15.75" customHeight="1">
      <c r="A87" s="14"/>
      <c r="B87" s="14"/>
      <c r="C87" s="14"/>
      <c r="D87" s="14"/>
      <c r="E87" s="11">
        <v>2.0</v>
      </c>
      <c r="F87" s="11" t="s">
        <v>103</v>
      </c>
      <c r="G87" s="14"/>
    </row>
    <row r="88" ht="15.75" customHeight="1">
      <c r="A88" s="14"/>
      <c r="B88" s="14"/>
      <c r="C88" s="14"/>
      <c r="D88" s="14"/>
      <c r="E88" s="11">
        <v>3.0</v>
      </c>
      <c r="F88" s="11" t="s">
        <v>104</v>
      </c>
      <c r="G88" s="14"/>
    </row>
    <row r="89" ht="15.75" customHeight="1">
      <c r="A89" s="14"/>
      <c r="B89" s="14"/>
      <c r="C89" s="14"/>
      <c r="D89" s="14"/>
      <c r="E89" s="11">
        <v>4.0</v>
      </c>
      <c r="F89" s="11" t="s">
        <v>105</v>
      </c>
      <c r="G89" s="14"/>
    </row>
    <row r="90" ht="15.75" customHeight="1">
      <c r="A90" s="14"/>
      <c r="B90" s="14"/>
      <c r="C90" s="14"/>
      <c r="D90" s="14"/>
      <c r="E90" s="11">
        <v>5.0</v>
      </c>
      <c r="F90" s="17"/>
      <c r="G90" s="14"/>
    </row>
    <row r="91" ht="15.75" customHeight="1">
      <c r="A91" s="14"/>
      <c r="B91" s="14"/>
      <c r="C91" s="14"/>
      <c r="D91" s="14"/>
      <c r="E91" s="11">
        <v>6.0</v>
      </c>
      <c r="F91" s="17"/>
      <c r="G91" s="14"/>
    </row>
    <row r="92" ht="15.75" customHeight="1">
      <c r="A92" s="14"/>
      <c r="B92" s="14"/>
      <c r="C92" s="18"/>
      <c r="D92" s="18"/>
      <c r="E92" s="11">
        <v>7.0</v>
      </c>
      <c r="F92" s="17"/>
      <c r="G92" s="14"/>
    </row>
    <row r="93" ht="15.75" customHeight="1">
      <c r="A93" s="14"/>
      <c r="B93" s="14"/>
      <c r="C93" s="9">
        <v>14.0</v>
      </c>
      <c r="D93" s="10" t="s">
        <v>106</v>
      </c>
      <c r="E93" s="11">
        <v>1.0</v>
      </c>
      <c r="F93" s="11" t="s">
        <v>107</v>
      </c>
      <c r="G93" s="14"/>
    </row>
    <row r="94" ht="15.75" customHeight="1">
      <c r="A94" s="14"/>
      <c r="B94" s="14"/>
      <c r="C94" s="14"/>
      <c r="D94" s="14"/>
      <c r="E94" s="11">
        <v>2.0</v>
      </c>
      <c r="F94" s="11" t="s">
        <v>108</v>
      </c>
      <c r="G94" s="14"/>
    </row>
    <row r="95" ht="15.75" customHeight="1">
      <c r="A95" s="14"/>
      <c r="B95" s="14"/>
      <c r="C95" s="14"/>
      <c r="D95" s="14"/>
      <c r="E95" s="11">
        <v>3.0</v>
      </c>
      <c r="F95" s="11" t="s">
        <v>109</v>
      </c>
      <c r="G95" s="14"/>
    </row>
    <row r="96" ht="15.75" customHeight="1">
      <c r="A96" s="14"/>
      <c r="B96" s="14"/>
      <c r="C96" s="14"/>
      <c r="D96" s="14"/>
      <c r="E96" s="11">
        <v>4.0</v>
      </c>
      <c r="F96" s="11" t="s">
        <v>110</v>
      </c>
      <c r="G96" s="14"/>
    </row>
    <row r="97" ht="15.75" customHeight="1">
      <c r="A97" s="14"/>
      <c r="B97" s="14"/>
      <c r="C97" s="14"/>
      <c r="D97" s="14"/>
      <c r="E97" s="11">
        <v>5.0</v>
      </c>
      <c r="F97" s="17"/>
      <c r="G97" s="14"/>
    </row>
    <row r="98" ht="15.75" customHeight="1">
      <c r="A98" s="14"/>
      <c r="B98" s="14"/>
      <c r="C98" s="14"/>
      <c r="D98" s="14"/>
      <c r="E98" s="11">
        <v>6.0</v>
      </c>
      <c r="F98" s="17"/>
      <c r="G98" s="14"/>
    </row>
    <row r="99" ht="15.75" customHeight="1">
      <c r="A99" s="18"/>
      <c r="B99" s="18"/>
      <c r="C99" s="18"/>
      <c r="D99" s="18"/>
      <c r="E99" s="11">
        <v>7.0</v>
      </c>
      <c r="F99" s="17"/>
      <c r="G99" s="18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C65:C71"/>
    <mergeCell ref="C72:C78"/>
    <mergeCell ref="C44:C50"/>
    <mergeCell ref="D44:D50"/>
    <mergeCell ref="C51:C57"/>
    <mergeCell ref="D51:D57"/>
    <mergeCell ref="C58:C64"/>
    <mergeCell ref="D58:D64"/>
    <mergeCell ref="D65:D71"/>
    <mergeCell ref="D72:D78"/>
    <mergeCell ref="B86:B99"/>
    <mergeCell ref="C93:C99"/>
    <mergeCell ref="A30:A57"/>
    <mergeCell ref="B30:B57"/>
    <mergeCell ref="A58:A85"/>
    <mergeCell ref="B58:B85"/>
    <mergeCell ref="D79:D85"/>
    <mergeCell ref="A86:A99"/>
    <mergeCell ref="D86:D92"/>
    <mergeCell ref="D93:D99"/>
    <mergeCell ref="C9:C15"/>
    <mergeCell ref="C16:C22"/>
    <mergeCell ref="H2:H35"/>
    <mergeCell ref="I16:I22"/>
    <mergeCell ref="J16:J22"/>
    <mergeCell ref="H36:H70"/>
    <mergeCell ref="G51:G99"/>
    <mergeCell ref="H71:H99"/>
    <mergeCell ref="C23:C29"/>
    <mergeCell ref="D23:D29"/>
    <mergeCell ref="C30:C36"/>
    <mergeCell ref="D30:D36"/>
    <mergeCell ref="C37:C43"/>
    <mergeCell ref="D37:D43"/>
    <mergeCell ref="A2:A29"/>
    <mergeCell ref="B2:B29"/>
    <mergeCell ref="C2:C8"/>
    <mergeCell ref="D2:D8"/>
    <mergeCell ref="G2:G50"/>
    <mergeCell ref="D9:D15"/>
    <mergeCell ref="D16:D22"/>
    <mergeCell ref="C79:C85"/>
    <mergeCell ref="C86:C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32" t="s">
        <v>111</v>
      </c>
      <c r="B2" s="33"/>
      <c r="C2" s="33"/>
      <c r="D2" s="33"/>
      <c r="E2" s="33"/>
    </row>
    <row r="3">
      <c r="A3" s="32" t="s">
        <v>30</v>
      </c>
      <c r="B3" s="33"/>
      <c r="C3" s="33"/>
      <c r="D3" s="33"/>
      <c r="E3" s="33"/>
    </row>
    <row r="4">
      <c r="A4" s="32" t="s">
        <v>33</v>
      </c>
      <c r="B4" s="33"/>
      <c r="C4" s="33"/>
      <c r="D4" s="33"/>
      <c r="E4" s="33"/>
    </row>
    <row r="5">
      <c r="A5" s="32" t="s">
        <v>112</v>
      </c>
      <c r="B5" s="33"/>
      <c r="C5" s="33"/>
      <c r="D5" s="33"/>
      <c r="E5" s="33"/>
    </row>
    <row r="6">
      <c r="A6" s="32" t="s">
        <v>34</v>
      </c>
      <c r="B6" s="33"/>
      <c r="C6" s="33"/>
      <c r="D6" s="33"/>
      <c r="E6" s="33"/>
    </row>
    <row r="7">
      <c r="A7" s="32" t="s">
        <v>35</v>
      </c>
      <c r="B7" s="33"/>
      <c r="C7" s="33"/>
      <c r="D7" s="33"/>
      <c r="E7" s="33"/>
    </row>
    <row r="8">
      <c r="A8" s="34" t="s">
        <v>113</v>
      </c>
      <c r="B8" s="35"/>
      <c r="C8" s="35"/>
      <c r="D8" s="35"/>
      <c r="E8" s="35"/>
    </row>
    <row r="9">
      <c r="A9" s="34" t="s">
        <v>38</v>
      </c>
      <c r="B9" s="35"/>
      <c r="C9" s="35"/>
      <c r="D9" s="35"/>
      <c r="E9" s="35"/>
    </row>
    <row r="10">
      <c r="A10" s="34" t="s">
        <v>39</v>
      </c>
      <c r="B10" s="35"/>
      <c r="C10" s="35"/>
      <c r="D10" s="35"/>
      <c r="E10" s="35"/>
    </row>
    <row r="11">
      <c r="A11" s="34" t="s">
        <v>40</v>
      </c>
      <c r="B11" s="35"/>
      <c r="C11" s="35"/>
      <c r="D11" s="35"/>
      <c r="E11" s="35"/>
    </row>
    <row r="12">
      <c r="A12" s="34" t="s">
        <v>41</v>
      </c>
      <c r="B12" s="35"/>
      <c r="C12" s="35"/>
      <c r="D12" s="35"/>
      <c r="E12" s="35"/>
    </row>
    <row r="13">
      <c r="A13" s="34" t="s">
        <v>43</v>
      </c>
      <c r="B13" s="35"/>
      <c r="C13" s="35"/>
      <c r="D13" s="35"/>
      <c r="E13" s="35"/>
    </row>
    <row r="14">
      <c r="A14" s="36" t="s">
        <v>114</v>
      </c>
      <c r="B14" s="37"/>
      <c r="C14" s="37"/>
      <c r="D14" s="37"/>
      <c r="E14" s="37"/>
    </row>
    <row r="15">
      <c r="A15" s="36" t="s">
        <v>50</v>
      </c>
      <c r="B15" s="37"/>
      <c r="C15" s="37"/>
      <c r="D15" s="37"/>
      <c r="E15" s="37"/>
    </row>
    <row r="16">
      <c r="A16" s="36" t="s">
        <v>51</v>
      </c>
      <c r="B16" s="37"/>
      <c r="C16" s="37"/>
      <c r="D16" s="37"/>
      <c r="E16" s="37"/>
    </row>
    <row r="17">
      <c r="A17" s="36" t="s">
        <v>52</v>
      </c>
      <c r="B17" s="37"/>
      <c r="C17" s="37"/>
      <c r="D17" s="37"/>
      <c r="E17" s="37"/>
    </row>
    <row r="18">
      <c r="A18" s="36" t="s">
        <v>53</v>
      </c>
      <c r="B18" s="37"/>
      <c r="C18" s="37"/>
      <c r="D18" s="37"/>
      <c r="E18" s="37"/>
    </row>
    <row r="19">
      <c r="A19" s="38" t="s">
        <v>115</v>
      </c>
      <c r="B19" s="39"/>
      <c r="C19" s="39"/>
      <c r="D19" s="39"/>
      <c r="E19" s="39"/>
    </row>
    <row r="20">
      <c r="A20" s="38" t="s">
        <v>62</v>
      </c>
      <c r="B20" s="39"/>
      <c r="C20" s="39"/>
      <c r="D20" s="39"/>
      <c r="E20" s="39"/>
    </row>
    <row r="21">
      <c r="A21" s="38" t="s">
        <v>63</v>
      </c>
      <c r="B21" s="39"/>
      <c r="C21" s="39"/>
      <c r="D21" s="39"/>
      <c r="E21" s="39"/>
    </row>
    <row r="22">
      <c r="A22" s="38" t="s">
        <v>64</v>
      </c>
      <c r="B22" s="39"/>
      <c r="C22" s="39"/>
      <c r="D22" s="39"/>
      <c r="E22" s="39"/>
    </row>
    <row r="23">
      <c r="A23" s="38" t="s">
        <v>65</v>
      </c>
      <c r="B23" s="39"/>
      <c r="C23" s="39"/>
      <c r="D23" s="39"/>
      <c r="E23" s="39"/>
    </row>
    <row r="24">
      <c r="A24" s="40" t="s">
        <v>116</v>
      </c>
      <c r="B24" s="41"/>
      <c r="C24" s="41"/>
      <c r="D24" s="41"/>
      <c r="E24" s="41"/>
    </row>
    <row r="25">
      <c r="A25" s="40" t="s">
        <v>56</v>
      </c>
      <c r="B25" s="41"/>
      <c r="C25" s="41"/>
      <c r="D25" s="41"/>
      <c r="E25" s="41"/>
    </row>
    <row r="26">
      <c r="A26" s="40" t="s">
        <v>57</v>
      </c>
      <c r="B26" s="41"/>
      <c r="C26" s="41"/>
      <c r="D26" s="41"/>
      <c r="E26" s="41"/>
    </row>
    <row r="27">
      <c r="A27" s="40" t="s">
        <v>58</v>
      </c>
      <c r="B27" s="41"/>
      <c r="C27" s="41"/>
      <c r="D27" s="41"/>
      <c r="E27" s="41"/>
    </row>
    <row r="28">
      <c r="A28" s="40" t="s">
        <v>59</v>
      </c>
      <c r="B28" s="41"/>
      <c r="C28" s="41"/>
      <c r="D28" s="41"/>
      <c r="E28" s="41"/>
    </row>
    <row r="29">
      <c r="A29" s="42" t="s">
        <v>117</v>
      </c>
      <c r="B29" s="43"/>
      <c r="C29" s="43"/>
      <c r="D29" s="43"/>
      <c r="E29" s="43"/>
    </row>
    <row r="30">
      <c r="A30" s="42" t="s">
        <v>45</v>
      </c>
      <c r="B30" s="43"/>
      <c r="C30" s="43"/>
      <c r="D30" s="43"/>
      <c r="E30" s="43"/>
    </row>
    <row r="31">
      <c r="A31" s="42" t="s">
        <v>46</v>
      </c>
      <c r="B31" s="43"/>
      <c r="C31" s="43"/>
      <c r="D31" s="43"/>
      <c r="E31" s="43"/>
    </row>
    <row r="32">
      <c r="A32" s="42" t="s">
        <v>47</v>
      </c>
      <c r="B32" s="43"/>
      <c r="C32" s="43"/>
      <c r="D32" s="43"/>
      <c r="E32" s="43"/>
    </row>
    <row r="33">
      <c r="A33" s="42" t="s">
        <v>48</v>
      </c>
      <c r="B33" s="43"/>
      <c r="C33" s="43"/>
      <c r="D33" s="43"/>
      <c r="E33" s="43"/>
    </row>
    <row r="34">
      <c r="A34" s="44" t="s">
        <v>118</v>
      </c>
      <c r="B34" s="45"/>
      <c r="C34" s="45"/>
      <c r="D34" s="45"/>
      <c r="E34" s="45"/>
    </row>
    <row r="35">
      <c r="A35" s="44" t="s">
        <v>67</v>
      </c>
      <c r="B35" s="45"/>
      <c r="C35" s="45"/>
      <c r="D35" s="45"/>
      <c r="E35" s="45"/>
    </row>
    <row r="36">
      <c r="A36" s="44" t="s">
        <v>68</v>
      </c>
      <c r="B36" s="45"/>
      <c r="C36" s="45"/>
      <c r="D36" s="45"/>
      <c r="E36" s="45"/>
    </row>
    <row r="37">
      <c r="A37" s="44" t="s">
        <v>69</v>
      </c>
      <c r="B37" s="45"/>
      <c r="C37" s="45"/>
      <c r="D37" s="45"/>
      <c r="E37" s="45"/>
    </row>
    <row r="38">
      <c r="A38" s="44" t="s">
        <v>70</v>
      </c>
      <c r="B38" s="45"/>
      <c r="C38" s="45"/>
      <c r="D38" s="45"/>
      <c r="E38" s="45"/>
    </row>
    <row r="39">
      <c r="A39" s="46" t="s">
        <v>119</v>
      </c>
      <c r="B39" s="47"/>
      <c r="C39" s="47"/>
      <c r="D39" s="47"/>
      <c r="E39" s="47"/>
    </row>
    <row r="40">
      <c r="A40" s="46" t="s">
        <v>72</v>
      </c>
      <c r="B40" s="47"/>
      <c r="C40" s="47"/>
      <c r="D40" s="47"/>
      <c r="E40" s="47"/>
    </row>
    <row r="41">
      <c r="A41" s="46" t="s">
        <v>74</v>
      </c>
      <c r="B41" s="47"/>
      <c r="C41" s="47"/>
      <c r="D41" s="47"/>
      <c r="E41" s="47"/>
    </row>
    <row r="42">
      <c r="A42" s="46" t="s">
        <v>75</v>
      </c>
      <c r="B42" s="47"/>
      <c r="C42" s="47"/>
      <c r="D42" s="47"/>
      <c r="E42" s="47"/>
    </row>
    <row r="43">
      <c r="A43" s="46" t="s">
        <v>76</v>
      </c>
      <c r="B43" s="47"/>
      <c r="C43" s="47"/>
      <c r="D43" s="47"/>
      <c r="E43" s="47"/>
    </row>
    <row r="44">
      <c r="A44" s="46" t="s">
        <v>77</v>
      </c>
      <c r="B44" s="47"/>
      <c r="C44" s="47"/>
      <c r="D44" s="47"/>
      <c r="E44" s="47"/>
    </row>
    <row r="45">
      <c r="A45" s="48" t="s">
        <v>120</v>
      </c>
      <c r="B45" s="49"/>
      <c r="C45" s="49"/>
      <c r="D45" s="49"/>
      <c r="E45" s="49"/>
    </row>
    <row r="46">
      <c r="A46" s="48" t="s">
        <v>80</v>
      </c>
      <c r="B46" s="49"/>
      <c r="C46" s="49"/>
      <c r="D46" s="49"/>
      <c r="E46" s="49"/>
    </row>
    <row r="47">
      <c r="A47" s="48" t="s">
        <v>81</v>
      </c>
      <c r="B47" s="49"/>
      <c r="C47" s="49"/>
      <c r="D47" s="49"/>
      <c r="E47" s="49"/>
    </row>
    <row r="48">
      <c r="A48" s="48" t="s">
        <v>82</v>
      </c>
      <c r="B48" s="49"/>
      <c r="C48" s="49"/>
      <c r="D48" s="49"/>
      <c r="E48" s="49"/>
    </row>
    <row r="49">
      <c r="A49" s="48" t="s">
        <v>77</v>
      </c>
      <c r="B49" s="49"/>
      <c r="C49" s="49"/>
      <c r="D49" s="49"/>
      <c r="E49" s="49"/>
    </row>
    <row r="50">
      <c r="A50" s="42" t="s">
        <v>121</v>
      </c>
      <c r="B50" s="43"/>
      <c r="C50" s="43"/>
      <c r="D50" s="43"/>
      <c r="E50" s="43"/>
    </row>
    <row r="51">
      <c r="A51" s="42" t="s">
        <v>84</v>
      </c>
      <c r="B51" s="43"/>
      <c r="C51" s="43"/>
      <c r="D51" s="43"/>
      <c r="E51" s="43"/>
    </row>
    <row r="52">
      <c r="A52" s="42" t="s">
        <v>85</v>
      </c>
      <c r="B52" s="43"/>
      <c r="C52" s="43"/>
      <c r="D52" s="43"/>
      <c r="E52" s="43"/>
    </row>
    <row r="53">
      <c r="A53" s="42" t="s">
        <v>86</v>
      </c>
      <c r="B53" s="43"/>
      <c r="C53" s="43"/>
      <c r="D53" s="43"/>
      <c r="E53" s="43"/>
    </row>
    <row r="54">
      <c r="A54" s="42" t="s">
        <v>87</v>
      </c>
      <c r="B54" s="43"/>
      <c r="C54" s="43"/>
      <c r="D54" s="43"/>
      <c r="E54" s="43"/>
    </row>
    <row r="55">
      <c r="A55" s="50" t="s">
        <v>122</v>
      </c>
      <c r="B55" s="51"/>
      <c r="C55" s="51"/>
      <c r="D55" s="51"/>
      <c r="E55" s="51"/>
    </row>
    <row r="56">
      <c r="A56" s="50" t="s">
        <v>90</v>
      </c>
      <c r="B56" s="51"/>
      <c r="C56" s="51"/>
      <c r="D56" s="51"/>
      <c r="E56" s="51"/>
    </row>
    <row r="57">
      <c r="A57" s="50" t="s">
        <v>91</v>
      </c>
      <c r="B57" s="51"/>
      <c r="C57" s="51"/>
      <c r="D57" s="51"/>
      <c r="E57" s="51"/>
    </row>
    <row r="58">
      <c r="A58" s="50" t="s">
        <v>92</v>
      </c>
      <c r="B58" s="51"/>
      <c r="C58" s="51"/>
      <c r="D58" s="51"/>
      <c r="E58" s="51"/>
    </row>
    <row r="59">
      <c r="A59" s="50" t="s">
        <v>93</v>
      </c>
      <c r="B59" s="51"/>
      <c r="C59" s="51"/>
      <c r="D59" s="51"/>
      <c r="E59" s="51"/>
    </row>
    <row r="60">
      <c r="A60" s="52" t="s">
        <v>123</v>
      </c>
      <c r="B60" s="53"/>
      <c r="C60" s="53"/>
      <c r="D60" s="53"/>
      <c r="E60" s="53"/>
    </row>
    <row r="61">
      <c r="A61" s="52" t="s">
        <v>95</v>
      </c>
      <c r="B61" s="53"/>
      <c r="C61" s="53"/>
      <c r="D61" s="53"/>
      <c r="E61" s="53"/>
    </row>
    <row r="62">
      <c r="A62" s="52" t="s">
        <v>97</v>
      </c>
      <c r="B62" s="53"/>
      <c r="C62" s="53"/>
      <c r="D62" s="53"/>
      <c r="E62" s="53"/>
    </row>
    <row r="63">
      <c r="A63" s="52" t="s">
        <v>98</v>
      </c>
      <c r="B63" s="53"/>
      <c r="C63" s="53"/>
      <c r="D63" s="53"/>
      <c r="E63" s="53"/>
    </row>
    <row r="64">
      <c r="A64" s="52" t="s">
        <v>99</v>
      </c>
      <c r="B64" s="53"/>
      <c r="C64" s="53"/>
      <c r="D64" s="53"/>
      <c r="E64" s="53"/>
    </row>
    <row r="65">
      <c r="A65" s="54" t="s">
        <v>124</v>
      </c>
      <c r="B65" s="55"/>
      <c r="C65" s="55"/>
      <c r="D65" s="55"/>
      <c r="E65" s="55"/>
    </row>
    <row r="66">
      <c r="A66" s="54" t="s">
        <v>102</v>
      </c>
      <c r="B66" s="55"/>
      <c r="C66" s="55"/>
      <c r="D66" s="55"/>
      <c r="E66" s="55"/>
    </row>
    <row r="67">
      <c r="A67" s="54" t="s">
        <v>103</v>
      </c>
      <c r="B67" s="55"/>
      <c r="C67" s="55"/>
      <c r="D67" s="55"/>
      <c r="E67" s="55"/>
    </row>
    <row r="68">
      <c r="A68" s="54" t="s">
        <v>104</v>
      </c>
      <c r="B68" s="55"/>
      <c r="C68" s="55"/>
      <c r="D68" s="55"/>
      <c r="E68" s="55"/>
    </row>
    <row r="69">
      <c r="A69" s="54" t="s">
        <v>105</v>
      </c>
      <c r="B69" s="55"/>
      <c r="C69" s="55"/>
      <c r="D69" s="55"/>
      <c r="E69" s="55"/>
    </row>
    <row r="70">
      <c r="A70" s="56" t="s">
        <v>125</v>
      </c>
      <c r="B70" s="57"/>
      <c r="C70" s="57"/>
      <c r="D70" s="57"/>
      <c r="E70" s="57"/>
    </row>
    <row r="71">
      <c r="A71" s="56" t="s">
        <v>107</v>
      </c>
      <c r="B71" s="57"/>
      <c r="C71" s="57"/>
      <c r="D71" s="57"/>
      <c r="E71" s="57"/>
    </row>
    <row r="72">
      <c r="A72" s="56" t="s">
        <v>108</v>
      </c>
      <c r="B72" s="57"/>
      <c r="C72" s="57"/>
      <c r="D72" s="57"/>
      <c r="E72" s="57"/>
    </row>
    <row r="73">
      <c r="A73" s="56" t="s">
        <v>109</v>
      </c>
      <c r="B73" s="57"/>
      <c r="C73" s="57"/>
      <c r="D73" s="57"/>
      <c r="E73" s="57"/>
    </row>
    <row r="74">
      <c r="A74" s="56" t="s">
        <v>110</v>
      </c>
      <c r="B74" s="57"/>
      <c r="C74" s="57"/>
      <c r="D74" s="57"/>
      <c r="E74" s="5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58" t="s">
        <v>126</v>
      </c>
      <c r="B1" s="59" t="s">
        <v>127</v>
      </c>
      <c r="C1" s="60"/>
      <c r="D1" s="60"/>
      <c r="E1" s="60"/>
      <c r="F1" s="60"/>
      <c r="G1" s="60"/>
      <c r="H1" s="60"/>
      <c r="I1" s="60"/>
      <c r="J1" s="60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</row>
    <row r="2" ht="15.75" customHeight="1">
      <c r="A2" s="62" t="s">
        <v>128</v>
      </c>
      <c r="B2" s="63">
        <v>1.0</v>
      </c>
      <c r="C2" s="60"/>
      <c r="D2" s="60"/>
      <c r="E2" s="60"/>
      <c r="F2" s="60"/>
      <c r="G2" s="60"/>
      <c r="H2" s="60"/>
      <c r="I2" s="60"/>
      <c r="J2" s="60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</row>
    <row r="3" ht="15.75" customHeight="1">
      <c r="A3" s="62" t="s">
        <v>22</v>
      </c>
      <c r="B3" s="64" t="s">
        <v>129</v>
      </c>
      <c r="C3" s="60"/>
      <c r="D3" s="60"/>
      <c r="E3" s="60"/>
      <c r="F3" s="60"/>
      <c r="G3" s="60"/>
      <c r="H3" s="60"/>
      <c r="I3" s="60"/>
      <c r="J3" s="60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</row>
    <row r="4" ht="15.75" customHeight="1">
      <c r="A4" s="62" t="s">
        <v>24</v>
      </c>
      <c r="B4" s="65" t="s">
        <v>29</v>
      </c>
      <c r="C4" s="60"/>
      <c r="D4" s="60"/>
      <c r="E4" s="60"/>
      <c r="F4" s="60"/>
      <c r="G4" s="60"/>
      <c r="H4" s="60"/>
      <c r="I4" s="60"/>
      <c r="J4" s="60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</row>
    <row r="5" ht="15.75" customHeight="1">
      <c r="A5" s="60"/>
      <c r="B5" s="65"/>
      <c r="C5" s="60"/>
      <c r="D5" s="60"/>
      <c r="E5" s="60"/>
      <c r="F5" s="60"/>
      <c r="G5" s="60"/>
      <c r="H5" s="60"/>
      <c r="I5" s="60"/>
      <c r="J5" s="60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</row>
    <row r="6" ht="15.75" customHeight="1">
      <c r="A6" s="66" t="s">
        <v>25</v>
      </c>
      <c r="B6" s="67" t="s">
        <v>130</v>
      </c>
      <c r="C6" s="68" t="s">
        <v>131</v>
      </c>
      <c r="D6" s="69" t="s">
        <v>132</v>
      </c>
      <c r="E6" s="69" t="s">
        <v>133</v>
      </c>
      <c r="F6" s="70" t="s">
        <v>134</v>
      </c>
      <c r="G6" s="71"/>
      <c r="H6" s="70" t="s">
        <v>135</v>
      </c>
      <c r="I6" s="71"/>
      <c r="J6" s="72" t="s">
        <v>136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</row>
    <row r="7" ht="15.75" customHeight="1">
      <c r="A7" s="73"/>
      <c r="B7" s="74" t="s">
        <v>137</v>
      </c>
      <c r="C7" s="75">
        <v>15.0</v>
      </c>
      <c r="D7" s="76">
        <v>10.0</v>
      </c>
      <c r="E7" s="76">
        <v>10.0</v>
      </c>
      <c r="F7" s="76">
        <v>15.0</v>
      </c>
      <c r="G7" s="76">
        <v>5.0</v>
      </c>
      <c r="H7" s="76">
        <v>5.0</v>
      </c>
      <c r="I7" s="76">
        <v>15.0</v>
      </c>
      <c r="J7" s="73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</row>
    <row r="8" ht="15.75" customHeight="1">
      <c r="A8" s="77"/>
      <c r="B8" s="74" t="s">
        <v>24</v>
      </c>
      <c r="C8" s="77"/>
      <c r="D8" s="77"/>
      <c r="E8" s="77"/>
      <c r="F8" s="77"/>
      <c r="G8" s="77"/>
      <c r="H8" s="77"/>
      <c r="I8" s="77"/>
      <c r="J8" s="77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</row>
    <row r="9" ht="15.75" customHeight="1">
      <c r="A9" s="78">
        <v>1.0</v>
      </c>
      <c r="B9" s="79" t="s">
        <v>30</v>
      </c>
      <c r="C9" s="60" t="s">
        <v>138</v>
      </c>
      <c r="D9" s="80"/>
      <c r="E9" s="81" t="s">
        <v>138</v>
      </c>
      <c r="F9" s="81"/>
      <c r="G9" s="81"/>
      <c r="H9" s="81"/>
      <c r="I9" s="81"/>
      <c r="J9" s="82">
        <v>25.0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</row>
    <row r="10" ht="15.75" customHeight="1">
      <c r="A10" s="78">
        <v>2.0</v>
      </c>
      <c r="B10" s="83" t="s">
        <v>33</v>
      </c>
      <c r="C10" s="84" t="s">
        <v>138</v>
      </c>
      <c r="D10" s="81"/>
      <c r="E10" s="81" t="s">
        <v>138</v>
      </c>
      <c r="F10" s="81"/>
      <c r="G10" s="81"/>
      <c r="H10" s="81"/>
      <c r="I10" s="81"/>
      <c r="J10" s="82">
        <v>25.0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</row>
    <row r="11" ht="15.75" customHeight="1">
      <c r="A11" s="78">
        <v>3.0</v>
      </c>
      <c r="B11" s="83" t="s">
        <v>34</v>
      </c>
      <c r="C11" s="60" t="s">
        <v>138</v>
      </c>
      <c r="D11" s="80"/>
      <c r="E11" s="81" t="s">
        <v>138</v>
      </c>
      <c r="F11" s="81" t="s">
        <v>138</v>
      </c>
      <c r="G11" s="81" t="s">
        <v>138</v>
      </c>
      <c r="H11" s="81"/>
      <c r="I11" s="81"/>
      <c r="J11" s="82">
        <v>45.0</v>
      </c>
      <c r="K11" s="61"/>
      <c r="L11" s="85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</row>
    <row r="12" ht="15.75" customHeight="1">
      <c r="A12" s="78">
        <v>4.0</v>
      </c>
      <c r="B12" s="83" t="s">
        <v>35</v>
      </c>
      <c r="C12" s="84"/>
      <c r="D12" s="81"/>
      <c r="E12" s="81" t="s">
        <v>138</v>
      </c>
      <c r="F12" s="81"/>
      <c r="G12" s="81"/>
      <c r="H12" s="81"/>
      <c r="I12" s="81"/>
      <c r="J12" s="82">
        <v>10.0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</row>
    <row r="13" ht="15.75" customHeight="1">
      <c r="A13" s="78">
        <v>5.0</v>
      </c>
      <c r="B13" s="83" t="s">
        <v>36</v>
      </c>
      <c r="C13" s="80"/>
      <c r="D13" s="81"/>
      <c r="E13" s="81"/>
      <c r="F13" s="81" t="s">
        <v>138</v>
      </c>
      <c r="G13" s="81"/>
      <c r="H13" s="81"/>
      <c r="I13" s="81"/>
      <c r="J13" s="82">
        <v>15.0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</row>
    <row r="14" ht="15.75" customHeight="1">
      <c r="A14" s="78">
        <v>6.0</v>
      </c>
      <c r="B14" s="86"/>
      <c r="C14" s="80"/>
      <c r="D14" s="81"/>
      <c r="E14" s="81"/>
      <c r="F14" s="81"/>
      <c r="G14" s="81"/>
      <c r="H14" s="81"/>
      <c r="I14" s="81"/>
      <c r="J14" s="82">
        <v>0.0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</row>
    <row r="15" ht="15.75" customHeight="1">
      <c r="A15" s="60"/>
      <c r="B15" s="65"/>
      <c r="C15" s="60"/>
      <c r="D15" s="60"/>
      <c r="E15" s="60"/>
      <c r="F15" s="60"/>
      <c r="G15" s="60"/>
      <c r="H15" s="87" t="s">
        <v>139</v>
      </c>
      <c r="J15" s="88">
        <v>120.0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</row>
    <row r="16" ht="15.75" customHeight="1">
      <c r="A16" s="60"/>
      <c r="B16" s="65"/>
      <c r="C16" s="89"/>
      <c r="D16" s="89"/>
      <c r="E16" s="89"/>
      <c r="F16" s="89"/>
      <c r="G16" s="89"/>
      <c r="H16" s="89"/>
      <c r="I16" s="89"/>
      <c r="J16" s="89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</row>
    <row r="17" ht="15.75" customHeight="1">
      <c r="A17" s="89"/>
      <c r="B17" s="90"/>
      <c r="C17" s="89"/>
      <c r="D17" s="89"/>
      <c r="E17" s="89"/>
      <c r="F17" s="89"/>
      <c r="G17" s="89"/>
      <c r="H17" s="89"/>
      <c r="I17" s="89"/>
      <c r="J17" s="89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</row>
    <row r="18" ht="15.75" customHeight="1">
      <c r="A18" s="58" t="s">
        <v>126</v>
      </c>
      <c r="B18" s="59" t="s">
        <v>127</v>
      </c>
      <c r="C18" s="89"/>
      <c r="D18" s="89"/>
      <c r="E18" s="89"/>
      <c r="F18" s="89"/>
      <c r="G18" s="89"/>
      <c r="H18" s="89"/>
      <c r="I18" s="89"/>
      <c r="J18" s="89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</row>
    <row r="19" ht="15.75" customHeight="1">
      <c r="A19" s="62" t="s">
        <v>128</v>
      </c>
      <c r="B19" s="63">
        <v>2.0</v>
      </c>
      <c r="C19" s="89"/>
      <c r="D19" s="89"/>
      <c r="E19" s="89"/>
      <c r="F19" s="89"/>
      <c r="G19" s="89"/>
      <c r="H19" s="89"/>
      <c r="I19" s="89"/>
      <c r="J19" s="89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</row>
    <row r="20" ht="15.75" customHeight="1">
      <c r="A20" s="62" t="s">
        <v>22</v>
      </c>
      <c r="B20" s="64" t="s">
        <v>140</v>
      </c>
      <c r="C20" s="89"/>
      <c r="D20" s="89"/>
      <c r="E20" s="89"/>
      <c r="F20" s="89"/>
      <c r="G20" s="89"/>
      <c r="H20" s="89"/>
      <c r="I20" s="89"/>
      <c r="J20" s="89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</row>
    <row r="21" ht="15.75" customHeight="1">
      <c r="A21" s="62" t="s">
        <v>24</v>
      </c>
      <c r="B21" s="65" t="s">
        <v>37</v>
      </c>
      <c r="C21" s="89"/>
      <c r="D21" s="89"/>
      <c r="E21" s="89"/>
      <c r="F21" s="89"/>
      <c r="G21" s="89"/>
      <c r="H21" s="89"/>
      <c r="I21" s="89"/>
      <c r="J21" s="89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</row>
    <row r="22" ht="15.75" customHeight="1">
      <c r="A22" s="89"/>
      <c r="B22" s="90"/>
      <c r="C22" s="89"/>
      <c r="D22" s="89"/>
      <c r="E22" s="89"/>
      <c r="F22" s="89"/>
      <c r="G22" s="89"/>
      <c r="H22" s="89"/>
      <c r="I22" s="89"/>
      <c r="J22" s="89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</row>
    <row r="23" ht="15.75" customHeight="1">
      <c r="A23" s="66" t="s">
        <v>25</v>
      </c>
      <c r="B23" s="67" t="s">
        <v>130</v>
      </c>
      <c r="C23" s="68" t="s">
        <v>131</v>
      </c>
      <c r="D23" s="69" t="s">
        <v>132</v>
      </c>
      <c r="E23" s="69" t="s">
        <v>133</v>
      </c>
      <c r="F23" s="70" t="s">
        <v>134</v>
      </c>
      <c r="G23" s="71"/>
      <c r="H23" s="70" t="s">
        <v>135</v>
      </c>
      <c r="I23" s="71"/>
      <c r="J23" s="72" t="s">
        <v>136</v>
      </c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</row>
    <row r="24" ht="15.75" customHeight="1">
      <c r="A24" s="73"/>
      <c r="B24" s="74" t="s">
        <v>137</v>
      </c>
      <c r="C24" s="75">
        <v>15.0</v>
      </c>
      <c r="D24" s="76">
        <v>10.0</v>
      </c>
      <c r="E24" s="76">
        <v>10.0</v>
      </c>
      <c r="F24" s="76">
        <v>15.0</v>
      </c>
      <c r="G24" s="76">
        <v>5.0</v>
      </c>
      <c r="H24" s="76">
        <v>5.0</v>
      </c>
      <c r="I24" s="76">
        <v>15.0</v>
      </c>
      <c r="J24" s="73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</row>
    <row r="25" ht="15.75" customHeight="1">
      <c r="A25" s="77"/>
      <c r="B25" s="74" t="s">
        <v>24</v>
      </c>
      <c r="C25" s="77"/>
      <c r="D25" s="77"/>
      <c r="E25" s="77"/>
      <c r="F25" s="77"/>
      <c r="G25" s="77"/>
      <c r="H25" s="77"/>
      <c r="I25" s="77"/>
      <c r="J25" s="77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</row>
    <row r="26" ht="15.75" customHeight="1">
      <c r="A26" s="78">
        <v>1.0</v>
      </c>
      <c r="B26" s="91" t="s">
        <v>38</v>
      </c>
      <c r="C26" s="60" t="s">
        <v>141</v>
      </c>
      <c r="D26" s="80"/>
      <c r="E26" s="81"/>
      <c r="F26" s="81"/>
      <c r="G26" s="81"/>
      <c r="H26" s="81"/>
      <c r="I26" s="81"/>
      <c r="J26" s="82">
        <v>15.0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</row>
    <row r="27" ht="15.75" customHeight="1">
      <c r="A27" s="78">
        <v>2.0</v>
      </c>
      <c r="B27" s="92" t="s">
        <v>39</v>
      </c>
      <c r="C27" s="84" t="s">
        <v>141</v>
      </c>
      <c r="D27" s="81"/>
      <c r="E27" s="81"/>
      <c r="F27" s="81"/>
      <c r="G27" s="81"/>
      <c r="H27" s="81"/>
      <c r="I27" s="81"/>
      <c r="J27" s="82">
        <v>15.0</v>
      </c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</row>
    <row r="28" ht="15.75" customHeight="1">
      <c r="A28" s="78">
        <v>3.0</v>
      </c>
      <c r="B28" s="92" t="s">
        <v>40</v>
      </c>
      <c r="C28" s="60" t="s">
        <v>141</v>
      </c>
      <c r="D28" s="80"/>
      <c r="E28" s="81"/>
      <c r="F28" s="81" t="s">
        <v>141</v>
      </c>
      <c r="G28" s="81" t="s">
        <v>141</v>
      </c>
      <c r="H28" s="81"/>
      <c r="I28" s="81"/>
      <c r="J28" s="82">
        <v>35.0</v>
      </c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</row>
    <row r="29" ht="15.75" customHeight="1">
      <c r="A29" s="78">
        <v>4.0</v>
      </c>
      <c r="B29" s="92" t="s">
        <v>41</v>
      </c>
      <c r="C29" s="84" t="s">
        <v>141</v>
      </c>
      <c r="D29" s="81"/>
      <c r="E29" s="81"/>
      <c r="F29" s="81"/>
      <c r="G29" s="81"/>
      <c r="H29" s="81"/>
      <c r="I29" s="81"/>
      <c r="J29" s="82">
        <v>15.0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</row>
    <row r="30" ht="15.75" customHeight="1">
      <c r="A30" s="78">
        <v>5.0</v>
      </c>
      <c r="B30" s="92" t="s">
        <v>43</v>
      </c>
      <c r="C30" s="80" t="s">
        <v>141</v>
      </c>
      <c r="D30" s="81"/>
      <c r="E30" s="81"/>
      <c r="F30" s="81" t="s">
        <v>141</v>
      </c>
      <c r="G30" s="81"/>
      <c r="H30" s="81"/>
      <c r="I30" s="81"/>
      <c r="J30" s="82">
        <v>30.0</v>
      </c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</row>
    <row r="31" ht="15.75" customHeight="1">
      <c r="A31" s="78">
        <v>6.0</v>
      </c>
      <c r="B31" s="86"/>
      <c r="C31" s="80"/>
      <c r="D31" s="81"/>
      <c r="E31" s="81"/>
      <c r="F31" s="81"/>
      <c r="G31" s="81"/>
      <c r="H31" s="81"/>
      <c r="I31" s="81"/>
      <c r="J31" s="82">
        <v>0.0</v>
      </c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</row>
    <row r="32" ht="15.75" customHeight="1">
      <c r="A32" s="60"/>
      <c r="B32" s="65"/>
      <c r="C32" s="60"/>
      <c r="D32" s="60"/>
      <c r="E32" s="60"/>
      <c r="F32" s="60"/>
      <c r="G32" s="60"/>
      <c r="H32" s="87" t="s">
        <v>139</v>
      </c>
      <c r="J32" s="88">
        <v>110.0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</row>
    <row r="33" ht="15.75" customHeight="1">
      <c r="A33" s="61"/>
      <c r="B33" s="85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</row>
    <row r="34" ht="15.75" customHeight="1">
      <c r="A34" s="61"/>
      <c r="B34" s="85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</row>
    <row r="35" ht="15.75" customHeight="1">
      <c r="A35" s="61"/>
      <c r="B35" s="85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</row>
    <row r="36" ht="15.75" customHeight="1">
      <c r="A36" s="93" t="s">
        <v>126</v>
      </c>
      <c r="B36" s="94" t="s">
        <v>127</v>
      </c>
      <c r="C36" s="95"/>
      <c r="D36" s="95"/>
      <c r="E36" s="95"/>
      <c r="F36" s="95"/>
      <c r="G36" s="95"/>
      <c r="H36" s="95"/>
      <c r="I36" s="95"/>
      <c r="J36" s="95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</row>
    <row r="37" ht="15.75" customHeight="1">
      <c r="A37" s="93" t="s">
        <v>128</v>
      </c>
      <c r="B37" s="96">
        <v>3.0</v>
      </c>
      <c r="C37" s="95"/>
      <c r="D37" s="95"/>
      <c r="E37" s="95"/>
      <c r="F37" s="95"/>
      <c r="G37" s="95"/>
      <c r="H37" s="95"/>
      <c r="I37" s="95"/>
      <c r="J37" s="95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</row>
    <row r="38" ht="15.75" customHeight="1">
      <c r="A38" s="93" t="s">
        <v>22</v>
      </c>
      <c r="B38" s="96" t="s">
        <v>142</v>
      </c>
      <c r="C38" s="95"/>
      <c r="D38" s="95"/>
      <c r="E38" s="95"/>
      <c r="F38" s="95"/>
      <c r="G38" s="95"/>
      <c r="H38" s="95"/>
      <c r="I38" s="95"/>
      <c r="J38" s="95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</row>
    <row r="39" ht="15.75" customHeight="1">
      <c r="A39" s="93" t="s">
        <v>24</v>
      </c>
      <c r="B39" s="97" t="s">
        <v>143</v>
      </c>
      <c r="C39" s="95"/>
      <c r="D39" s="95"/>
      <c r="E39" s="95"/>
      <c r="F39" s="95"/>
      <c r="G39" s="95"/>
      <c r="H39" s="95"/>
      <c r="I39" s="95"/>
      <c r="J39" s="95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</row>
    <row r="41" ht="15.75" customHeight="1">
      <c r="A41" s="98" t="s">
        <v>25</v>
      </c>
      <c r="B41" s="99" t="s">
        <v>130</v>
      </c>
      <c r="C41" s="100" t="s">
        <v>131</v>
      </c>
      <c r="D41" s="101" t="s">
        <v>132</v>
      </c>
      <c r="E41" s="101" t="s">
        <v>133</v>
      </c>
      <c r="F41" s="102" t="s">
        <v>134</v>
      </c>
      <c r="G41" s="71"/>
      <c r="H41" s="102" t="s">
        <v>135</v>
      </c>
      <c r="I41" s="71"/>
      <c r="J41" s="100" t="s">
        <v>136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</row>
    <row r="42" ht="15.75" customHeight="1">
      <c r="A42" s="73"/>
      <c r="B42" s="99" t="s">
        <v>137</v>
      </c>
      <c r="C42" s="103">
        <v>15.0</v>
      </c>
      <c r="D42" s="72">
        <v>10.0</v>
      </c>
      <c r="E42" s="72">
        <v>10.0</v>
      </c>
      <c r="F42" s="72">
        <v>15.0</v>
      </c>
      <c r="G42" s="72">
        <v>5.0</v>
      </c>
      <c r="H42" s="72">
        <v>5.0</v>
      </c>
      <c r="I42" s="72">
        <v>15.0</v>
      </c>
      <c r="J42" s="73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</row>
    <row r="43" ht="15.75" customHeight="1">
      <c r="A43" s="77"/>
      <c r="B43" s="99" t="s">
        <v>24</v>
      </c>
      <c r="C43" s="77"/>
      <c r="D43" s="77"/>
      <c r="E43" s="77"/>
      <c r="F43" s="77"/>
      <c r="G43" s="77"/>
      <c r="H43" s="77"/>
      <c r="I43" s="77"/>
      <c r="J43" s="7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</row>
    <row r="44" ht="15.75" customHeight="1">
      <c r="A44" s="104">
        <v>1.0</v>
      </c>
      <c r="B44" s="97" t="s">
        <v>144</v>
      </c>
      <c r="C44" s="95"/>
      <c r="D44" s="105" t="s">
        <v>138</v>
      </c>
      <c r="E44" s="105" t="s">
        <v>138</v>
      </c>
      <c r="F44" s="106"/>
      <c r="G44" s="106"/>
      <c r="H44" s="105" t="s">
        <v>138</v>
      </c>
      <c r="I44" s="106"/>
      <c r="J44" s="104">
        <f t="shared" ref="J44:J49" si="1">if(D44="X",$D$7,0)+if(E44="X",$E$7,0)+if(F44="X",$F$7,0)+if(G44="X",$G$7,0)+if(H44="X",$H$7,0)+if(I44="X",$I$7,0)</f>
        <v>25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</row>
    <row r="45" ht="15.75" customHeight="1">
      <c r="A45" s="107">
        <v>2.0</v>
      </c>
      <c r="B45" s="108" t="s">
        <v>145</v>
      </c>
      <c r="C45" s="109"/>
      <c r="D45" s="110" t="s">
        <v>138</v>
      </c>
      <c r="E45" s="109"/>
      <c r="F45" s="110" t="s">
        <v>138</v>
      </c>
      <c r="G45" s="109"/>
      <c r="H45" s="109"/>
      <c r="I45" s="109"/>
      <c r="J45" s="104">
        <f t="shared" si="1"/>
        <v>25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</row>
    <row r="46" ht="15.75" customHeight="1">
      <c r="A46" s="107">
        <v>3.0</v>
      </c>
      <c r="B46" s="97" t="s">
        <v>146</v>
      </c>
      <c r="C46" s="95"/>
      <c r="D46" s="110" t="s">
        <v>141</v>
      </c>
      <c r="E46" s="110" t="s">
        <v>141</v>
      </c>
      <c r="F46" s="109"/>
      <c r="G46" s="109"/>
      <c r="H46" s="110" t="s">
        <v>141</v>
      </c>
      <c r="I46" s="109"/>
      <c r="J46" s="104">
        <f t="shared" si="1"/>
        <v>25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</row>
    <row r="47" ht="15.75" customHeight="1">
      <c r="A47" s="107">
        <v>4.0</v>
      </c>
      <c r="B47" s="108" t="s">
        <v>147</v>
      </c>
      <c r="C47" s="109"/>
      <c r="D47" s="110" t="s">
        <v>141</v>
      </c>
      <c r="E47" s="109"/>
      <c r="F47" s="110" t="s">
        <v>141</v>
      </c>
      <c r="G47" s="109"/>
      <c r="H47" s="109"/>
      <c r="I47" s="109"/>
      <c r="J47" s="104">
        <f t="shared" si="1"/>
        <v>25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</row>
    <row r="48" ht="15.75" customHeight="1">
      <c r="A48" s="107">
        <v>5.0</v>
      </c>
      <c r="B48" s="108" t="s">
        <v>148</v>
      </c>
      <c r="C48" s="109"/>
      <c r="D48" s="109"/>
      <c r="E48" s="110" t="s">
        <v>141</v>
      </c>
      <c r="F48" s="110" t="s">
        <v>141</v>
      </c>
      <c r="G48" s="109"/>
      <c r="H48" s="109"/>
      <c r="I48" s="109"/>
      <c r="J48" s="104">
        <f t="shared" si="1"/>
        <v>25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</row>
    <row r="49" ht="15.75" customHeight="1">
      <c r="A49" s="107">
        <v>6.0</v>
      </c>
      <c r="B49" s="108" t="s">
        <v>149</v>
      </c>
      <c r="C49" s="109"/>
      <c r="D49" s="109"/>
      <c r="E49" s="109"/>
      <c r="F49" s="109"/>
      <c r="G49" s="110" t="s">
        <v>141</v>
      </c>
      <c r="H49" s="109"/>
      <c r="I49" s="110" t="s">
        <v>141</v>
      </c>
      <c r="J49" s="104">
        <f t="shared" si="1"/>
        <v>20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</row>
    <row r="50" ht="15.75" customHeight="1">
      <c r="A50" s="95"/>
      <c r="B50" s="95"/>
      <c r="C50" s="95"/>
      <c r="D50" s="95"/>
      <c r="E50" s="95"/>
      <c r="F50" s="95"/>
      <c r="G50" s="95"/>
      <c r="H50" s="111" t="s">
        <v>139</v>
      </c>
      <c r="J50" s="112">
        <f>SUM(J42:J49)</f>
        <v>145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</row>
    <row r="51" ht="15.75" customHeight="1">
      <c r="A51" s="61"/>
      <c r="B51" s="85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</row>
    <row r="52" ht="15.75" customHeight="1">
      <c r="A52" s="61"/>
      <c r="B52" s="85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</row>
    <row r="53" ht="15.75" customHeight="1">
      <c r="A53" s="61"/>
      <c r="B53" s="85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</row>
    <row r="54" ht="15.75" customHeight="1">
      <c r="A54" s="93" t="s">
        <v>126</v>
      </c>
      <c r="B54" s="94" t="s">
        <v>127</v>
      </c>
      <c r="C54" s="95"/>
      <c r="D54" s="95"/>
      <c r="E54" s="95"/>
      <c r="F54" s="95"/>
      <c r="G54" s="95"/>
      <c r="H54" s="95"/>
      <c r="I54" s="95"/>
      <c r="J54" s="95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</row>
    <row r="55" ht="15.75" customHeight="1">
      <c r="A55" s="93" t="s">
        <v>128</v>
      </c>
      <c r="B55" s="96">
        <v>4.0</v>
      </c>
      <c r="C55" s="95"/>
      <c r="D55" s="95"/>
      <c r="E55" s="95"/>
      <c r="F55" s="95"/>
      <c r="G55" s="95"/>
      <c r="H55" s="95"/>
      <c r="I55" s="95"/>
      <c r="J55" s="95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</row>
    <row r="56" ht="15.75" customHeight="1">
      <c r="A56" s="93" t="s">
        <v>22</v>
      </c>
      <c r="B56" s="96" t="s">
        <v>142</v>
      </c>
      <c r="C56" s="95"/>
      <c r="D56" s="95"/>
      <c r="E56" s="95"/>
      <c r="F56" s="95"/>
      <c r="G56" s="95"/>
      <c r="H56" s="95"/>
      <c r="I56" s="95"/>
      <c r="J56" s="95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</row>
    <row r="57" ht="15.75" customHeight="1">
      <c r="A57" s="93" t="s">
        <v>24</v>
      </c>
      <c r="B57" s="97" t="s">
        <v>143</v>
      </c>
      <c r="C57" s="95"/>
      <c r="D57" s="95"/>
      <c r="E57" s="95"/>
      <c r="F57" s="95"/>
      <c r="G57" s="95"/>
      <c r="H57" s="95"/>
      <c r="I57" s="95"/>
      <c r="J57" s="95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</row>
    <row r="59" ht="15.75" customHeight="1">
      <c r="A59" s="98" t="s">
        <v>25</v>
      </c>
      <c r="B59" s="99" t="s">
        <v>130</v>
      </c>
      <c r="C59" s="100" t="s">
        <v>131</v>
      </c>
      <c r="D59" s="101" t="s">
        <v>132</v>
      </c>
      <c r="E59" s="101" t="s">
        <v>133</v>
      </c>
      <c r="F59" s="102" t="s">
        <v>134</v>
      </c>
      <c r="G59" s="71"/>
      <c r="H59" s="102" t="s">
        <v>135</v>
      </c>
      <c r="I59" s="71"/>
      <c r="J59" s="100" t="s">
        <v>136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</row>
    <row r="60" ht="15.75" customHeight="1">
      <c r="A60" s="73"/>
      <c r="B60" s="99" t="s">
        <v>137</v>
      </c>
      <c r="C60" s="103">
        <v>15.0</v>
      </c>
      <c r="D60" s="72">
        <v>10.0</v>
      </c>
      <c r="E60" s="72">
        <v>10.0</v>
      </c>
      <c r="F60" s="72">
        <v>15.0</v>
      </c>
      <c r="G60" s="72">
        <v>5.0</v>
      </c>
      <c r="H60" s="72">
        <v>5.0</v>
      </c>
      <c r="I60" s="72">
        <v>15.0</v>
      </c>
      <c r="J60" s="73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</row>
    <row r="61" ht="15.75" customHeight="1">
      <c r="A61" s="77"/>
      <c r="B61" s="99" t="s">
        <v>24</v>
      </c>
      <c r="C61" s="77"/>
      <c r="D61" s="77"/>
      <c r="E61" s="77"/>
      <c r="F61" s="77"/>
      <c r="G61" s="77"/>
      <c r="H61" s="77"/>
      <c r="I61" s="77"/>
      <c r="J61" s="7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</row>
    <row r="62" ht="15.75" customHeight="1">
      <c r="A62" s="104">
        <v>1.0</v>
      </c>
      <c r="B62" s="97" t="s">
        <v>144</v>
      </c>
      <c r="C62" s="95"/>
      <c r="D62" s="105" t="s">
        <v>138</v>
      </c>
      <c r="E62" s="105" t="s">
        <v>138</v>
      </c>
      <c r="F62" s="106"/>
      <c r="G62" s="106"/>
      <c r="H62" s="105" t="s">
        <v>138</v>
      </c>
      <c r="I62" s="106"/>
      <c r="J62" s="104">
        <f t="shared" ref="J62:J67" si="2">if(D62="X",$D$7,0)+if(E62="X",$E$7,0)+if(F62="X",$F$7,0)+if(G62="X",$G$7,0)+if(H62="X",$H$7,0)+if(I62="X",$I$7,0)</f>
        <v>25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</row>
    <row r="63" ht="15.75" customHeight="1">
      <c r="A63" s="107">
        <v>2.0</v>
      </c>
      <c r="B63" s="108" t="s">
        <v>145</v>
      </c>
      <c r="C63" s="109"/>
      <c r="D63" s="110" t="s">
        <v>138</v>
      </c>
      <c r="E63" s="109"/>
      <c r="F63" s="110" t="s">
        <v>138</v>
      </c>
      <c r="G63" s="109"/>
      <c r="H63" s="109"/>
      <c r="I63" s="109"/>
      <c r="J63" s="104">
        <f t="shared" si="2"/>
        <v>25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</row>
    <row r="64" ht="15.75" customHeight="1">
      <c r="A64" s="107">
        <v>3.0</v>
      </c>
      <c r="B64" s="97" t="s">
        <v>146</v>
      </c>
      <c r="C64" s="95"/>
      <c r="D64" s="110" t="s">
        <v>141</v>
      </c>
      <c r="E64" s="110" t="s">
        <v>141</v>
      </c>
      <c r="F64" s="109"/>
      <c r="G64" s="109"/>
      <c r="H64" s="110" t="s">
        <v>141</v>
      </c>
      <c r="I64" s="109"/>
      <c r="J64" s="104">
        <f t="shared" si="2"/>
        <v>25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</row>
    <row r="65" ht="15.75" customHeight="1">
      <c r="A65" s="107">
        <v>4.0</v>
      </c>
      <c r="B65" s="108" t="s">
        <v>147</v>
      </c>
      <c r="C65" s="109"/>
      <c r="D65" s="110" t="s">
        <v>141</v>
      </c>
      <c r="E65" s="109"/>
      <c r="F65" s="110" t="s">
        <v>141</v>
      </c>
      <c r="G65" s="109"/>
      <c r="H65" s="109"/>
      <c r="I65" s="109"/>
      <c r="J65" s="104">
        <f t="shared" si="2"/>
        <v>25</v>
      </c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</row>
    <row r="66" ht="15.75" customHeight="1">
      <c r="A66" s="107">
        <v>5.0</v>
      </c>
      <c r="B66" s="108" t="s">
        <v>148</v>
      </c>
      <c r="C66" s="109"/>
      <c r="D66" s="109"/>
      <c r="E66" s="110" t="s">
        <v>141</v>
      </c>
      <c r="F66" s="110" t="s">
        <v>141</v>
      </c>
      <c r="G66" s="109"/>
      <c r="H66" s="109"/>
      <c r="I66" s="109"/>
      <c r="J66" s="104">
        <f t="shared" si="2"/>
        <v>25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</row>
    <row r="67" ht="15.75" customHeight="1">
      <c r="A67" s="107">
        <v>6.0</v>
      </c>
      <c r="B67" s="108" t="s">
        <v>149</v>
      </c>
      <c r="C67" s="109"/>
      <c r="D67" s="109"/>
      <c r="E67" s="109"/>
      <c r="F67" s="109"/>
      <c r="G67" s="110" t="s">
        <v>141</v>
      </c>
      <c r="H67" s="109"/>
      <c r="I67" s="110" t="s">
        <v>141</v>
      </c>
      <c r="J67" s="104">
        <f t="shared" si="2"/>
        <v>20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</row>
    <row r="68" ht="15.75" customHeight="1">
      <c r="A68" s="95"/>
      <c r="B68" s="95"/>
      <c r="C68" s="95"/>
      <c r="D68" s="95"/>
      <c r="E68" s="95"/>
      <c r="F68" s="95"/>
      <c r="G68" s="95"/>
      <c r="H68" s="111" t="s">
        <v>139</v>
      </c>
      <c r="J68" s="112">
        <f>SUM(J60:J67)</f>
        <v>145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</row>
    <row r="69" ht="15.75" customHeight="1">
      <c r="A69" s="61"/>
      <c r="B69" s="85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</row>
    <row r="70" ht="15.75" customHeight="1">
      <c r="A70" s="61"/>
      <c r="B70" s="85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</row>
    <row r="71" ht="15.75" customHeight="1">
      <c r="A71" s="61"/>
      <c r="B71" s="85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</row>
    <row r="72" ht="15.75" customHeight="1">
      <c r="A72" s="93" t="s">
        <v>126</v>
      </c>
      <c r="B72" s="94" t="s">
        <v>127</v>
      </c>
      <c r="C72" s="95"/>
      <c r="D72" s="95"/>
      <c r="E72" s="95"/>
      <c r="F72" s="95"/>
      <c r="G72" s="95"/>
      <c r="H72" s="95"/>
      <c r="I72" s="95"/>
      <c r="J72" s="95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</row>
    <row r="73" ht="15.75" customHeight="1">
      <c r="A73" s="93" t="s">
        <v>128</v>
      </c>
      <c r="B73" s="96">
        <v>5.0</v>
      </c>
      <c r="C73" s="95"/>
      <c r="D73" s="95"/>
      <c r="E73" s="95"/>
      <c r="F73" s="95"/>
      <c r="G73" s="95"/>
      <c r="H73" s="95"/>
      <c r="I73" s="95"/>
      <c r="J73" s="95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</row>
    <row r="74" ht="15.75" customHeight="1">
      <c r="A74" s="93" t="s">
        <v>22</v>
      </c>
      <c r="B74" s="96" t="s">
        <v>142</v>
      </c>
      <c r="C74" s="95"/>
      <c r="D74" s="95"/>
      <c r="E74" s="95"/>
      <c r="F74" s="95"/>
      <c r="G74" s="95"/>
      <c r="H74" s="95"/>
      <c r="I74" s="95"/>
      <c r="J74" s="95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</row>
    <row r="75" ht="15.75" customHeight="1">
      <c r="A75" s="93" t="s">
        <v>24</v>
      </c>
      <c r="B75" s="97" t="s">
        <v>143</v>
      </c>
      <c r="C75" s="95"/>
      <c r="D75" s="95"/>
      <c r="E75" s="95"/>
      <c r="F75" s="95"/>
      <c r="G75" s="95"/>
      <c r="H75" s="95"/>
      <c r="I75" s="95"/>
      <c r="J75" s="95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</row>
    <row r="77" ht="15.75" customHeight="1">
      <c r="A77" s="98" t="s">
        <v>25</v>
      </c>
      <c r="B77" s="99" t="s">
        <v>130</v>
      </c>
      <c r="C77" s="100" t="s">
        <v>131</v>
      </c>
      <c r="D77" s="101" t="s">
        <v>132</v>
      </c>
      <c r="E77" s="101" t="s">
        <v>133</v>
      </c>
      <c r="F77" s="102" t="s">
        <v>134</v>
      </c>
      <c r="G77" s="71"/>
      <c r="H77" s="102" t="s">
        <v>135</v>
      </c>
      <c r="I77" s="71"/>
      <c r="J77" s="100" t="s">
        <v>136</v>
      </c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</row>
    <row r="78" ht="15.75" customHeight="1">
      <c r="A78" s="73"/>
      <c r="B78" s="99" t="s">
        <v>137</v>
      </c>
      <c r="C78" s="103">
        <v>15.0</v>
      </c>
      <c r="D78" s="72">
        <v>10.0</v>
      </c>
      <c r="E78" s="72">
        <v>10.0</v>
      </c>
      <c r="F78" s="72">
        <v>15.0</v>
      </c>
      <c r="G78" s="72">
        <v>5.0</v>
      </c>
      <c r="H78" s="72">
        <v>5.0</v>
      </c>
      <c r="I78" s="72">
        <v>15.0</v>
      </c>
      <c r="J78" s="73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</row>
    <row r="79" ht="15.75" customHeight="1">
      <c r="A79" s="77"/>
      <c r="B79" s="99" t="s">
        <v>24</v>
      </c>
      <c r="C79" s="77"/>
      <c r="D79" s="77"/>
      <c r="E79" s="77"/>
      <c r="F79" s="77"/>
      <c r="G79" s="77"/>
      <c r="H79" s="77"/>
      <c r="I79" s="77"/>
      <c r="J79" s="77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</row>
    <row r="80" ht="15.75" customHeight="1">
      <c r="A80" s="104">
        <v>1.0</v>
      </c>
      <c r="B80" s="97" t="s">
        <v>144</v>
      </c>
      <c r="C80" s="95"/>
      <c r="D80" s="105" t="s">
        <v>138</v>
      </c>
      <c r="E80" s="105" t="s">
        <v>138</v>
      </c>
      <c r="F80" s="106"/>
      <c r="G80" s="106"/>
      <c r="H80" s="105" t="s">
        <v>138</v>
      </c>
      <c r="I80" s="106"/>
      <c r="J80" s="104">
        <f t="shared" ref="J80:J85" si="3">if(D80="X",$D$7,0)+if(E80="X",$E$7,0)+if(F80="X",$F$7,0)+if(G80="X",$G$7,0)+if(H80="X",$H$7,0)+if(I80="X",$I$7,0)</f>
        <v>25</v>
      </c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</row>
    <row r="81" ht="15.75" customHeight="1">
      <c r="A81" s="107">
        <v>2.0</v>
      </c>
      <c r="B81" s="108" t="s">
        <v>145</v>
      </c>
      <c r="C81" s="109"/>
      <c r="D81" s="110" t="s">
        <v>138</v>
      </c>
      <c r="E81" s="109"/>
      <c r="F81" s="110" t="s">
        <v>138</v>
      </c>
      <c r="G81" s="109"/>
      <c r="H81" s="109"/>
      <c r="I81" s="109"/>
      <c r="J81" s="104">
        <f t="shared" si="3"/>
        <v>25</v>
      </c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ht="15.75" customHeight="1">
      <c r="A82" s="107">
        <v>3.0</v>
      </c>
      <c r="B82" s="97" t="s">
        <v>146</v>
      </c>
      <c r="C82" s="95"/>
      <c r="D82" s="110" t="s">
        <v>141</v>
      </c>
      <c r="E82" s="110" t="s">
        <v>141</v>
      </c>
      <c r="F82" s="109"/>
      <c r="G82" s="109"/>
      <c r="H82" s="110" t="s">
        <v>141</v>
      </c>
      <c r="I82" s="109"/>
      <c r="J82" s="104">
        <f t="shared" si="3"/>
        <v>25</v>
      </c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</row>
    <row r="83" ht="15.75" customHeight="1">
      <c r="A83" s="107">
        <v>4.0</v>
      </c>
      <c r="B83" s="108" t="s">
        <v>147</v>
      </c>
      <c r="C83" s="109"/>
      <c r="D83" s="110" t="s">
        <v>141</v>
      </c>
      <c r="E83" s="109"/>
      <c r="F83" s="110" t="s">
        <v>141</v>
      </c>
      <c r="G83" s="109"/>
      <c r="H83" s="109"/>
      <c r="I83" s="109"/>
      <c r="J83" s="104">
        <f t="shared" si="3"/>
        <v>25</v>
      </c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</row>
    <row r="84" ht="15.75" customHeight="1">
      <c r="A84" s="107">
        <v>5.0</v>
      </c>
      <c r="B84" s="108" t="s">
        <v>148</v>
      </c>
      <c r="C84" s="109"/>
      <c r="D84" s="109"/>
      <c r="E84" s="110" t="s">
        <v>141</v>
      </c>
      <c r="F84" s="110" t="s">
        <v>141</v>
      </c>
      <c r="G84" s="109"/>
      <c r="H84" s="109"/>
      <c r="I84" s="109"/>
      <c r="J84" s="104">
        <f t="shared" si="3"/>
        <v>25</v>
      </c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</row>
    <row r="85" ht="15.75" customHeight="1">
      <c r="A85" s="107">
        <v>6.0</v>
      </c>
      <c r="B85" s="108" t="s">
        <v>149</v>
      </c>
      <c r="C85" s="109"/>
      <c r="D85" s="109"/>
      <c r="E85" s="109"/>
      <c r="F85" s="109"/>
      <c r="G85" s="110" t="s">
        <v>141</v>
      </c>
      <c r="H85" s="109"/>
      <c r="I85" s="110" t="s">
        <v>141</v>
      </c>
      <c r="J85" s="104">
        <f t="shared" si="3"/>
        <v>20</v>
      </c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</row>
    <row r="86" ht="15.75" customHeight="1">
      <c r="A86" s="95"/>
      <c r="B86" s="95"/>
      <c r="C86" s="95"/>
      <c r="D86" s="95"/>
      <c r="E86" s="95"/>
      <c r="F86" s="95"/>
      <c r="G86" s="95"/>
      <c r="H86" s="111" t="s">
        <v>139</v>
      </c>
      <c r="J86" s="112">
        <f>SUM(J78:J85)</f>
        <v>145</v>
      </c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</row>
    <row r="87" ht="15.75" customHeight="1">
      <c r="A87" s="61"/>
      <c r="B87" s="85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</row>
    <row r="88" ht="15.75" customHeight="1">
      <c r="A88" s="61"/>
      <c r="B88" s="85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</row>
    <row r="89" ht="15.75" customHeight="1">
      <c r="A89" s="61"/>
      <c r="B89" s="85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</row>
    <row r="90" ht="15.75" customHeight="1">
      <c r="A90" s="61"/>
      <c r="B90" s="85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</row>
    <row r="91" ht="15.75" customHeight="1">
      <c r="A91" s="93" t="s">
        <v>126</v>
      </c>
      <c r="B91" s="94" t="s">
        <v>150</v>
      </c>
      <c r="C91" s="95"/>
      <c r="D91" s="95"/>
      <c r="E91" s="95"/>
      <c r="F91" s="95"/>
      <c r="G91" s="95"/>
      <c r="H91" s="95"/>
      <c r="I91" s="95"/>
      <c r="J91" s="95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</row>
    <row r="92" ht="15.75" customHeight="1">
      <c r="A92" s="93" t="s">
        <v>128</v>
      </c>
      <c r="B92" s="96">
        <v>6.0</v>
      </c>
      <c r="C92" s="95"/>
      <c r="D92" s="95"/>
      <c r="E92" s="95"/>
      <c r="F92" s="95"/>
      <c r="G92" s="95"/>
      <c r="H92" s="95"/>
      <c r="I92" s="95"/>
      <c r="J92" s="95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</row>
    <row r="93" ht="15.75" customHeight="1">
      <c r="A93" s="93" t="s">
        <v>22</v>
      </c>
      <c r="B93" s="61" t="s">
        <v>54</v>
      </c>
      <c r="C93" s="95"/>
      <c r="D93" s="95"/>
      <c r="E93" s="95"/>
      <c r="F93" s="95"/>
      <c r="G93" s="95"/>
      <c r="H93" s="95"/>
      <c r="I93" s="95"/>
      <c r="J93" s="95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</row>
    <row r="94" ht="15.75" customHeight="1">
      <c r="A94" s="93" t="s">
        <v>24</v>
      </c>
      <c r="B94" s="61" t="s">
        <v>44</v>
      </c>
      <c r="C94" s="95"/>
      <c r="D94" s="95"/>
      <c r="E94" s="95"/>
      <c r="F94" s="95"/>
      <c r="G94" s="95"/>
      <c r="H94" s="95"/>
      <c r="I94" s="95"/>
      <c r="J94" s="95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</row>
    <row r="96" ht="15.75" customHeight="1">
      <c r="A96" s="98" t="s">
        <v>25</v>
      </c>
      <c r="B96" s="99" t="s">
        <v>130</v>
      </c>
      <c r="C96" s="100" t="s">
        <v>131</v>
      </c>
      <c r="D96" s="101" t="s">
        <v>132</v>
      </c>
      <c r="E96" s="101" t="s">
        <v>133</v>
      </c>
      <c r="F96" s="102" t="s">
        <v>134</v>
      </c>
      <c r="G96" s="71"/>
      <c r="H96" s="102" t="s">
        <v>135</v>
      </c>
      <c r="I96" s="71"/>
      <c r="J96" s="100" t="s">
        <v>136</v>
      </c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</row>
    <row r="97" ht="15.75" customHeight="1">
      <c r="A97" s="73"/>
      <c r="B97" s="99" t="s">
        <v>137</v>
      </c>
      <c r="C97" s="103">
        <v>15.0</v>
      </c>
      <c r="D97" s="72">
        <v>10.0</v>
      </c>
      <c r="E97" s="72">
        <v>10.0</v>
      </c>
      <c r="F97" s="72">
        <v>15.0</v>
      </c>
      <c r="G97" s="72">
        <v>5.0</v>
      </c>
      <c r="H97" s="72">
        <v>5.0</v>
      </c>
      <c r="I97" s="72">
        <v>15.0</v>
      </c>
      <c r="J97" s="73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</row>
    <row r="98" ht="15.75" customHeight="1">
      <c r="A98" s="77"/>
      <c r="B98" s="99" t="s">
        <v>24</v>
      </c>
      <c r="C98" s="77"/>
      <c r="D98" s="77"/>
      <c r="E98" s="77"/>
      <c r="F98" s="77"/>
      <c r="G98" s="77"/>
      <c r="H98" s="77"/>
      <c r="I98" s="77"/>
      <c r="J98" s="77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</row>
    <row r="99" ht="15.75" customHeight="1">
      <c r="A99" s="104">
        <v>1.0</v>
      </c>
      <c r="B99" s="97" t="s">
        <v>151</v>
      </c>
      <c r="C99" s="95"/>
      <c r="D99" s="105"/>
      <c r="E99" s="105"/>
      <c r="F99" s="106"/>
      <c r="G99" s="106"/>
      <c r="H99" s="105"/>
      <c r="I99" s="106"/>
      <c r="J99" s="104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</row>
    <row r="100" ht="15.75" customHeight="1">
      <c r="A100" s="107">
        <v>2.0</v>
      </c>
      <c r="B100" s="108" t="s">
        <v>152</v>
      </c>
      <c r="C100" s="109"/>
      <c r="D100" s="110"/>
      <c r="E100" s="109"/>
      <c r="F100" s="110"/>
      <c r="G100" s="109"/>
      <c r="H100" s="109"/>
      <c r="I100" s="109"/>
      <c r="J100" s="104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</row>
    <row r="101" ht="15.75" customHeight="1">
      <c r="A101" s="107">
        <v>3.0</v>
      </c>
      <c r="B101" s="97" t="s">
        <v>47</v>
      </c>
      <c r="C101" s="95"/>
      <c r="D101" s="110"/>
      <c r="E101" s="110"/>
      <c r="F101" s="109"/>
      <c r="G101" s="109"/>
      <c r="H101" s="110"/>
      <c r="I101" s="109"/>
      <c r="J101" s="104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</row>
    <row r="102" ht="15.75" customHeight="1">
      <c r="A102" s="107">
        <v>4.0</v>
      </c>
      <c r="B102" s="108" t="s">
        <v>153</v>
      </c>
      <c r="C102" s="109"/>
      <c r="D102" s="110"/>
      <c r="E102" s="109"/>
      <c r="F102" s="110"/>
      <c r="G102" s="109"/>
      <c r="H102" s="109"/>
      <c r="I102" s="109"/>
      <c r="J102" s="104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</row>
    <row r="103" ht="15.75" customHeight="1">
      <c r="A103" s="107">
        <v>5.0</v>
      </c>
      <c r="B103" s="108"/>
      <c r="C103" s="109"/>
      <c r="D103" s="109"/>
      <c r="E103" s="110"/>
      <c r="F103" s="110"/>
      <c r="G103" s="109"/>
      <c r="H103" s="109"/>
      <c r="I103" s="109"/>
      <c r="J103" s="104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</row>
    <row r="104" ht="15.75" customHeight="1">
      <c r="A104" s="107">
        <v>6.0</v>
      </c>
      <c r="B104" s="108"/>
      <c r="C104" s="109"/>
      <c r="D104" s="109"/>
      <c r="E104" s="109"/>
      <c r="F104" s="109"/>
      <c r="G104" s="110"/>
      <c r="H104" s="109"/>
      <c r="I104" s="110"/>
      <c r="J104" s="104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</row>
    <row r="105" ht="15.75" customHeight="1">
      <c r="A105" s="95"/>
      <c r="B105" s="95"/>
      <c r="C105" s="95"/>
      <c r="D105" s="95"/>
      <c r="E105" s="95"/>
      <c r="F105" s="95"/>
      <c r="G105" s="95"/>
      <c r="H105" s="111" t="s">
        <v>139</v>
      </c>
      <c r="J105" s="112">
        <f>SUM(J97:J104)</f>
        <v>0</v>
      </c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</row>
    <row r="106" ht="15.75" customHeight="1">
      <c r="A106" s="61"/>
      <c r="B106" s="85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</row>
    <row r="107" ht="15.75" customHeight="1">
      <c r="A107" s="61"/>
      <c r="B107" s="85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</row>
    <row r="108" ht="15.75" customHeight="1">
      <c r="A108" s="61"/>
      <c r="B108" s="85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</row>
    <row r="109" ht="15.75" customHeight="1">
      <c r="A109" s="61"/>
      <c r="B109" s="85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</row>
    <row r="110" ht="15.75" customHeight="1">
      <c r="A110" s="61"/>
      <c r="B110" s="85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</row>
    <row r="111" ht="15.75" customHeight="1">
      <c r="A111" s="93" t="s">
        <v>126</v>
      </c>
      <c r="B111" s="94" t="s">
        <v>150</v>
      </c>
      <c r="C111" s="95"/>
      <c r="D111" s="95"/>
      <c r="E111" s="95"/>
      <c r="F111" s="95"/>
      <c r="G111" s="95"/>
      <c r="H111" s="95"/>
      <c r="I111" s="95"/>
      <c r="J111" s="95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</row>
    <row r="112" ht="15.75" customHeight="1">
      <c r="A112" s="93" t="s">
        <v>128</v>
      </c>
      <c r="B112" s="96">
        <v>7.0</v>
      </c>
      <c r="C112" s="95"/>
      <c r="D112" s="95"/>
      <c r="E112" s="95"/>
      <c r="F112" s="95"/>
      <c r="G112" s="95"/>
      <c r="H112" s="95"/>
      <c r="I112" s="95"/>
      <c r="J112" s="95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</row>
    <row r="113" ht="15.75" customHeight="1">
      <c r="A113" s="93" t="s">
        <v>22</v>
      </c>
      <c r="B113" s="61" t="s">
        <v>54</v>
      </c>
      <c r="C113" s="95"/>
      <c r="D113" s="95"/>
      <c r="E113" s="95"/>
      <c r="F113" s="95"/>
      <c r="G113" s="95"/>
      <c r="H113" s="95"/>
      <c r="I113" s="95"/>
      <c r="J113" s="95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</row>
    <row r="114" ht="15.75" customHeight="1">
      <c r="A114" s="93" t="s">
        <v>24</v>
      </c>
      <c r="B114" s="61" t="s">
        <v>66</v>
      </c>
      <c r="C114" s="95"/>
      <c r="D114" s="95"/>
      <c r="E114" s="95"/>
      <c r="F114" s="95"/>
      <c r="G114" s="95"/>
      <c r="H114" s="95"/>
      <c r="I114" s="95"/>
      <c r="J114" s="95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</row>
    <row r="116" ht="15.75" customHeight="1">
      <c r="A116" s="98" t="s">
        <v>25</v>
      </c>
      <c r="B116" s="99" t="s">
        <v>130</v>
      </c>
      <c r="C116" s="100" t="s">
        <v>131</v>
      </c>
      <c r="D116" s="101" t="s">
        <v>132</v>
      </c>
      <c r="E116" s="101" t="s">
        <v>133</v>
      </c>
      <c r="F116" s="102" t="s">
        <v>134</v>
      </c>
      <c r="G116" s="71"/>
      <c r="H116" s="102" t="s">
        <v>135</v>
      </c>
      <c r="I116" s="71"/>
      <c r="J116" s="100" t="s">
        <v>136</v>
      </c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</row>
    <row r="117" ht="15.75" customHeight="1">
      <c r="A117" s="73"/>
      <c r="B117" s="99" t="s">
        <v>137</v>
      </c>
      <c r="C117" s="103">
        <v>15.0</v>
      </c>
      <c r="D117" s="72">
        <v>10.0</v>
      </c>
      <c r="E117" s="72">
        <v>10.0</v>
      </c>
      <c r="F117" s="72">
        <v>15.0</v>
      </c>
      <c r="G117" s="72">
        <v>5.0</v>
      </c>
      <c r="H117" s="72">
        <v>5.0</v>
      </c>
      <c r="I117" s="72">
        <v>15.0</v>
      </c>
      <c r="J117" s="73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</row>
    <row r="118" ht="15.75" customHeight="1">
      <c r="A118" s="77"/>
      <c r="B118" s="99" t="s">
        <v>24</v>
      </c>
      <c r="C118" s="77"/>
      <c r="D118" s="77"/>
      <c r="E118" s="77"/>
      <c r="F118" s="77"/>
      <c r="G118" s="77"/>
      <c r="H118" s="77"/>
      <c r="I118" s="77"/>
      <c r="J118" s="77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</row>
    <row r="119" ht="15.75" customHeight="1">
      <c r="A119" s="104">
        <v>1.0</v>
      </c>
      <c r="B119" s="97" t="s">
        <v>154</v>
      </c>
      <c r="C119" s="95"/>
      <c r="D119" s="105"/>
      <c r="E119" s="105"/>
      <c r="F119" s="106"/>
      <c r="G119" s="106"/>
      <c r="H119" s="105"/>
      <c r="I119" s="106"/>
      <c r="J119" s="104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</row>
    <row r="120" ht="15.75" customHeight="1">
      <c r="A120" s="107">
        <v>2.0</v>
      </c>
      <c r="B120" s="108" t="s">
        <v>68</v>
      </c>
      <c r="C120" s="109"/>
      <c r="D120" s="110"/>
      <c r="E120" s="109"/>
      <c r="F120" s="110"/>
      <c r="G120" s="109"/>
      <c r="H120" s="109"/>
      <c r="I120" s="109"/>
      <c r="J120" s="104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</row>
    <row r="121" ht="15.75" customHeight="1">
      <c r="A121" s="107">
        <v>3.0</v>
      </c>
      <c r="B121" s="97" t="s">
        <v>69</v>
      </c>
      <c r="C121" s="95"/>
      <c r="D121" s="110"/>
      <c r="E121" s="110"/>
      <c r="F121" s="109"/>
      <c r="G121" s="109"/>
      <c r="H121" s="110"/>
      <c r="I121" s="109"/>
      <c r="J121" s="104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ht="15.75" customHeight="1">
      <c r="A122" s="107">
        <v>4.0</v>
      </c>
      <c r="B122" s="108" t="s">
        <v>155</v>
      </c>
      <c r="C122" s="109"/>
      <c r="D122" s="110"/>
      <c r="E122" s="109"/>
      <c r="F122" s="110"/>
      <c r="G122" s="109"/>
      <c r="H122" s="109"/>
      <c r="I122" s="109"/>
      <c r="J122" s="104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</row>
    <row r="123" ht="15.75" customHeight="1">
      <c r="A123" s="107">
        <v>5.0</v>
      </c>
      <c r="B123" s="108"/>
      <c r="C123" s="109"/>
      <c r="D123" s="109"/>
      <c r="E123" s="110"/>
      <c r="F123" s="110"/>
      <c r="G123" s="109"/>
      <c r="H123" s="109"/>
      <c r="I123" s="109"/>
      <c r="J123" s="104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</row>
    <row r="124" ht="15.75" customHeight="1">
      <c r="A124" s="107">
        <v>6.0</v>
      </c>
      <c r="B124" s="108"/>
      <c r="C124" s="109"/>
      <c r="D124" s="109"/>
      <c r="E124" s="109"/>
      <c r="F124" s="109"/>
      <c r="G124" s="110"/>
      <c r="H124" s="109"/>
      <c r="I124" s="110"/>
      <c r="J124" s="104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</row>
    <row r="125" ht="15.75" customHeight="1">
      <c r="A125" s="95"/>
      <c r="B125" s="95"/>
      <c r="C125" s="95"/>
      <c r="D125" s="95"/>
      <c r="E125" s="95"/>
      <c r="F125" s="95"/>
      <c r="G125" s="95"/>
      <c r="H125" s="111" t="s">
        <v>139</v>
      </c>
      <c r="J125" s="112">
        <f>SUM(J117:J124)</f>
        <v>0</v>
      </c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</row>
    <row r="126" ht="15.75" customHeight="1">
      <c r="A126" s="61"/>
      <c r="B126" s="85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</row>
    <row r="127" ht="15.75" customHeight="1">
      <c r="A127" s="61"/>
      <c r="B127" s="85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</row>
    <row r="128" ht="15.75" customHeight="1">
      <c r="A128" s="61"/>
      <c r="B128" s="85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</row>
    <row r="129" ht="15.75" customHeight="1">
      <c r="A129" s="61"/>
      <c r="B129" s="85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</row>
    <row r="130" ht="15.75" customHeight="1">
      <c r="A130" s="61"/>
      <c r="B130" s="85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</row>
    <row r="131" ht="15.75" customHeight="1">
      <c r="A131" s="93" t="s">
        <v>126</v>
      </c>
      <c r="B131" s="94" t="s">
        <v>150</v>
      </c>
      <c r="C131" s="95"/>
      <c r="D131" s="95"/>
      <c r="E131" s="95"/>
      <c r="F131" s="95"/>
      <c r="G131" s="95"/>
      <c r="H131" s="95"/>
      <c r="I131" s="95"/>
      <c r="J131" s="95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</row>
    <row r="132" ht="15.75" customHeight="1">
      <c r="A132" s="93" t="s">
        <v>128</v>
      </c>
      <c r="B132" s="96">
        <v>8.0</v>
      </c>
      <c r="C132" s="95"/>
      <c r="D132" s="95"/>
      <c r="E132" s="95"/>
      <c r="F132" s="95"/>
      <c r="G132" s="95"/>
      <c r="H132" s="95"/>
      <c r="I132" s="95"/>
      <c r="J132" s="95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</row>
    <row r="133" ht="15.75" customHeight="1">
      <c r="A133" s="93" t="s">
        <v>22</v>
      </c>
      <c r="B133" s="61" t="s">
        <v>54</v>
      </c>
      <c r="C133" s="95"/>
      <c r="D133" s="95"/>
      <c r="E133" s="95"/>
      <c r="F133" s="95"/>
      <c r="G133" s="95"/>
      <c r="H133" s="95"/>
      <c r="I133" s="95"/>
      <c r="J133" s="95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</row>
    <row r="134" ht="15.75" customHeight="1">
      <c r="A134" s="93" t="s">
        <v>24</v>
      </c>
      <c r="B134" s="61" t="s">
        <v>156</v>
      </c>
      <c r="C134" s="95"/>
      <c r="D134" s="95"/>
      <c r="E134" s="95"/>
      <c r="F134" s="95"/>
      <c r="G134" s="95"/>
      <c r="H134" s="95"/>
      <c r="I134" s="95"/>
      <c r="J134" s="95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</row>
    <row r="136" ht="15.75" customHeight="1">
      <c r="A136" s="98" t="s">
        <v>25</v>
      </c>
      <c r="B136" s="99" t="s">
        <v>130</v>
      </c>
      <c r="C136" s="100" t="s">
        <v>131</v>
      </c>
      <c r="D136" s="101" t="s">
        <v>132</v>
      </c>
      <c r="E136" s="101" t="s">
        <v>133</v>
      </c>
      <c r="F136" s="102" t="s">
        <v>134</v>
      </c>
      <c r="G136" s="71"/>
      <c r="H136" s="102" t="s">
        <v>135</v>
      </c>
      <c r="I136" s="71"/>
      <c r="J136" s="100" t="s">
        <v>136</v>
      </c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</row>
    <row r="137" ht="15.75" customHeight="1">
      <c r="A137" s="73"/>
      <c r="B137" s="99" t="s">
        <v>137</v>
      </c>
      <c r="C137" s="103">
        <v>15.0</v>
      </c>
      <c r="D137" s="72">
        <v>10.0</v>
      </c>
      <c r="E137" s="72">
        <v>10.0</v>
      </c>
      <c r="F137" s="72">
        <v>15.0</v>
      </c>
      <c r="G137" s="72">
        <v>5.0</v>
      </c>
      <c r="H137" s="72">
        <v>5.0</v>
      </c>
      <c r="I137" s="72">
        <v>15.0</v>
      </c>
      <c r="J137" s="73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</row>
    <row r="138" ht="15.75" customHeight="1">
      <c r="A138" s="77"/>
      <c r="B138" s="113" t="s">
        <v>24</v>
      </c>
      <c r="C138" s="77"/>
      <c r="D138" s="77"/>
      <c r="E138" s="77"/>
      <c r="F138" s="77"/>
      <c r="G138" s="77"/>
      <c r="H138" s="77"/>
      <c r="I138" s="77"/>
      <c r="J138" s="77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</row>
    <row r="139" ht="15.75" customHeight="1">
      <c r="A139" s="104">
        <v>1.0</v>
      </c>
      <c r="B139" s="108" t="s">
        <v>157</v>
      </c>
      <c r="C139" s="95"/>
      <c r="D139" s="105"/>
      <c r="E139" s="105"/>
      <c r="F139" s="106"/>
      <c r="G139" s="106"/>
      <c r="H139" s="105"/>
      <c r="I139" s="106"/>
      <c r="J139" s="104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</row>
    <row r="140" ht="15.75" customHeight="1">
      <c r="A140" s="107">
        <v>2.0</v>
      </c>
      <c r="B140" s="108" t="s">
        <v>74</v>
      </c>
      <c r="C140" s="109"/>
      <c r="D140" s="110"/>
      <c r="E140" s="109"/>
      <c r="F140" s="110"/>
      <c r="G140" s="109"/>
      <c r="H140" s="109"/>
      <c r="I140" s="109"/>
      <c r="J140" s="104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</row>
    <row r="141" ht="15.75" customHeight="1">
      <c r="A141" s="107">
        <v>3.0</v>
      </c>
      <c r="B141" s="108" t="s">
        <v>158</v>
      </c>
      <c r="C141" s="95"/>
      <c r="D141" s="110"/>
      <c r="E141" s="110"/>
      <c r="F141" s="109"/>
      <c r="G141" s="109"/>
      <c r="H141" s="110"/>
      <c r="I141" s="109"/>
      <c r="J141" s="104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</row>
    <row r="142" ht="15.75" customHeight="1">
      <c r="A142" s="107">
        <v>4.0</v>
      </c>
      <c r="B142" s="108" t="s">
        <v>76</v>
      </c>
      <c r="C142" s="109"/>
      <c r="D142" s="110"/>
      <c r="E142" s="109"/>
      <c r="F142" s="110"/>
      <c r="G142" s="109"/>
      <c r="H142" s="109"/>
      <c r="I142" s="109"/>
      <c r="J142" s="104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</row>
    <row r="143" ht="15.75" customHeight="1">
      <c r="A143" s="107">
        <v>5.0</v>
      </c>
      <c r="B143" s="108" t="s">
        <v>159</v>
      </c>
      <c r="C143" s="109"/>
      <c r="D143" s="109"/>
      <c r="E143" s="110"/>
      <c r="F143" s="110"/>
      <c r="G143" s="109"/>
      <c r="H143" s="109"/>
      <c r="I143" s="109"/>
      <c r="J143" s="104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</row>
    <row r="144" ht="15.75" customHeight="1">
      <c r="A144" s="107">
        <v>6.0</v>
      </c>
      <c r="B144" s="108"/>
      <c r="C144" s="109"/>
      <c r="D144" s="109"/>
      <c r="E144" s="109"/>
      <c r="F144" s="109"/>
      <c r="G144" s="110"/>
      <c r="H144" s="109"/>
      <c r="I144" s="110"/>
      <c r="J144" s="104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</row>
    <row r="145" ht="15.75" customHeight="1">
      <c r="A145" s="95"/>
      <c r="B145" s="95"/>
      <c r="C145" s="95"/>
      <c r="D145" s="95"/>
      <c r="E145" s="95"/>
      <c r="F145" s="95"/>
      <c r="G145" s="95"/>
      <c r="H145" s="111" t="s">
        <v>139</v>
      </c>
      <c r="J145" s="112">
        <f>SUM(J137:J144)</f>
        <v>0</v>
      </c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</row>
    <row r="146" ht="15.75" customHeight="1">
      <c r="A146" s="61"/>
      <c r="B146" s="85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</row>
    <row r="147" ht="15.75" customHeight="1">
      <c r="A147" s="61"/>
      <c r="B147" s="85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</row>
    <row r="148" ht="15.75" customHeight="1">
      <c r="A148" s="61"/>
      <c r="B148" s="85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</row>
    <row r="149" ht="15.75" customHeight="1">
      <c r="A149" s="61"/>
      <c r="B149" s="85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</row>
    <row r="150" ht="15.75" customHeight="1">
      <c r="A150" s="93" t="s">
        <v>126</v>
      </c>
      <c r="B150" s="94" t="s">
        <v>160</v>
      </c>
      <c r="C150" s="95"/>
      <c r="D150" s="95"/>
      <c r="E150" s="95"/>
      <c r="F150" s="95"/>
      <c r="G150" s="95"/>
      <c r="H150" s="95"/>
      <c r="I150" s="95"/>
      <c r="J150" s="95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</row>
    <row r="151" ht="15.75" customHeight="1">
      <c r="A151" s="93" t="s">
        <v>128</v>
      </c>
      <c r="B151" s="96">
        <v>9.0</v>
      </c>
      <c r="C151" s="95"/>
      <c r="D151" s="95"/>
      <c r="E151" s="95"/>
      <c r="F151" s="95"/>
      <c r="G151" s="95"/>
      <c r="H151" s="95"/>
      <c r="I151" s="95"/>
      <c r="J151" s="95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</row>
    <row r="152" ht="15.75" customHeight="1">
      <c r="A152" s="93" t="s">
        <v>22</v>
      </c>
      <c r="B152" s="61" t="s">
        <v>78</v>
      </c>
      <c r="C152" s="95"/>
      <c r="D152" s="95"/>
      <c r="E152" s="95"/>
      <c r="F152" s="95"/>
      <c r="G152" s="95"/>
      <c r="H152" s="95"/>
      <c r="I152" s="95"/>
      <c r="J152" s="95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</row>
    <row r="153" ht="15.75" customHeight="1">
      <c r="A153" s="93" t="s">
        <v>24</v>
      </c>
      <c r="B153" s="61" t="s">
        <v>79</v>
      </c>
      <c r="C153" s="95"/>
      <c r="D153" s="95"/>
      <c r="E153" s="95"/>
      <c r="F153" s="95"/>
      <c r="G153" s="95"/>
      <c r="H153" s="95"/>
      <c r="I153" s="95"/>
      <c r="J153" s="95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</row>
    <row r="155" ht="15.75" customHeight="1">
      <c r="A155" s="98" t="s">
        <v>25</v>
      </c>
      <c r="B155" s="99" t="s">
        <v>130</v>
      </c>
      <c r="C155" s="100" t="s">
        <v>131</v>
      </c>
      <c r="D155" s="101" t="s">
        <v>132</v>
      </c>
      <c r="E155" s="101" t="s">
        <v>133</v>
      </c>
      <c r="F155" s="102" t="s">
        <v>134</v>
      </c>
      <c r="G155" s="71"/>
      <c r="H155" s="102" t="s">
        <v>135</v>
      </c>
      <c r="I155" s="71"/>
      <c r="J155" s="100" t="s">
        <v>136</v>
      </c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</row>
    <row r="156" ht="15.75" customHeight="1">
      <c r="A156" s="73"/>
      <c r="B156" s="99" t="s">
        <v>137</v>
      </c>
      <c r="C156" s="103">
        <v>15.0</v>
      </c>
      <c r="D156" s="72">
        <v>10.0</v>
      </c>
      <c r="E156" s="72">
        <v>10.0</v>
      </c>
      <c r="F156" s="72">
        <v>15.0</v>
      </c>
      <c r="G156" s="72">
        <v>5.0</v>
      </c>
      <c r="H156" s="72">
        <v>5.0</v>
      </c>
      <c r="I156" s="72">
        <v>15.0</v>
      </c>
      <c r="J156" s="73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</row>
    <row r="157" ht="15.75" customHeight="1">
      <c r="A157" s="77"/>
      <c r="B157" s="99" t="s">
        <v>24</v>
      </c>
      <c r="C157" s="77"/>
      <c r="D157" s="77"/>
      <c r="E157" s="77"/>
      <c r="F157" s="77"/>
      <c r="G157" s="77"/>
      <c r="H157" s="77"/>
      <c r="I157" s="77"/>
      <c r="J157" s="77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</row>
    <row r="158" ht="15.75" customHeight="1">
      <c r="A158" s="104">
        <v>1.0</v>
      </c>
      <c r="B158" s="97" t="s">
        <v>161</v>
      </c>
      <c r="C158" s="95"/>
      <c r="D158" s="105"/>
      <c r="E158" s="105"/>
      <c r="F158" s="106"/>
      <c r="G158" s="106"/>
      <c r="H158" s="105"/>
      <c r="I158" s="106"/>
      <c r="J158" s="104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</row>
    <row r="159" ht="15.75" customHeight="1">
      <c r="A159" s="107">
        <v>2.0</v>
      </c>
      <c r="B159" s="108" t="s">
        <v>162</v>
      </c>
      <c r="C159" s="109"/>
      <c r="D159" s="110"/>
      <c r="E159" s="109"/>
      <c r="F159" s="110"/>
      <c r="G159" s="109"/>
      <c r="H159" s="109"/>
      <c r="I159" s="109"/>
      <c r="J159" s="104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</row>
    <row r="160" ht="15.75" customHeight="1">
      <c r="A160" s="107">
        <v>3.0</v>
      </c>
      <c r="B160" s="97" t="s">
        <v>82</v>
      </c>
      <c r="C160" s="95"/>
      <c r="D160" s="110"/>
      <c r="E160" s="110"/>
      <c r="F160" s="109"/>
      <c r="G160" s="109"/>
      <c r="H160" s="110"/>
      <c r="I160" s="109"/>
      <c r="J160" s="104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</row>
    <row r="161" ht="15.75" customHeight="1">
      <c r="A161" s="107">
        <v>4.0</v>
      </c>
      <c r="B161" s="108" t="s">
        <v>159</v>
      </c>
      <c r="C161" s="109"/>
      <c r="D161" s="110"/>
      <c r="E161" s="109"/>
      <c r="F161" s="110"/>
      <c r="G161" s="109"/>
      <c r="H161" s="109"/>
      <c r="I161" s="109"/>
      <c r="J161" s="104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</row>
    <row r="162" ht="15.75" customHeight="1">
      <c r="A162" s="107">
        <v>5.0</v>
      </c>
      <c r="B162" s="108"/>
      <c r="C162" s="109"/>
      <c r="D162" s="109"/>
      <c r="E162" s="110"/>
      <c r="F162" s="110"/>
      <c r="G162" s="109"/>
      <c r="H162" s="109"/>
      <c r="I162" s="109"/>
      <c r="J162" s="104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</row>
    <row r="163" ht="15.75" customHeight="1">
      <c r="A163" s="107">
        <v>6.0</v>
      </c>
      <c r="B163" s="108"/>
      <c r="C163" s="109"/>
      <c r="D163" s="109"/>
      <c r="E163" s="109"/>
      <c r="F163" s="109"/>
      <c r="G163" s="110"/>
      <c r="H163" s="109"/>
      <c r="I163" s="110"/>
      <c r="J163" s="104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</row>
    <row r="164" ht="15.75" customHeight="1">
      <c r="A164" s="95"/>
      <c r="B164" s="95"/>
      <c r="C164" s="95"/>
      <c r="D164" s="95"/>
      <c r="E164" s="95"/>
      <c r="F164" s="95"/>
      <c r="G164" s="95"/>
      <c r="H164" s="111" t="s">
        <v>139</v>
      </c>
      <c r="J164" s="112">
        <f>SUM(J156:J163)</f>
        <v>0</v>
      </c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</row>
    <row r="165" ht="15.75" customHeight="1">
      <c r="A165" s="61"/>
      <c r="B165" s="85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</row>
    <row r="166" ht="15.75" customHeight="1">
      <c r="A166" s="61"/>
      <c r="B166" s="85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</row>
    <row r="167" ht="15.75" customHeight="1">
      <c r="A167" s="61"/>
      <c r="B167" s="85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</row>
    <row r="168" ht="15.75" customHeight="1">
      <c r="A168" s="61"/>
      <c r="B168" s="85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</row>
    <row r="169" ht="15.75" customHeight="1">
      <c r="A169" s="93" t="s">
        <v>126</v>
      </c>
      <c r="B169" s="94" t="s">
        <v>160</v>
      </c>
      <c r="C169" s="95"/>
      <c r="D169" s="95"/>
      <c r="E169" s="95"/>
      <c r="F169" s="95"/>
      <c r="G169" s="95"/>
      <c r="H169" s="95"/>
      <c r="I169" s="95"/>
      <c r="J169" s="95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</row>
    <row r="170" ht="15.75" customHeight="1">
      <c r="A170" s="93" t="s">
        <v>128</v>
      </c>
      <c r="B170" s="96">
        <v>10.0</v>
      </c>
      <c r="C170" s="95"/>
      <c r="D170" s="95"/>
      <c r="E170" s="95"/>
      <c r="F170" s="95"/>
      <c r="G170" s="95"/>
      <c r="H170" s="95"/>
      <c r="I170" s="95"/>
      <c r="J170" s="95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</row>
    <row r="171" ht="15.75" customHeight="1">
      <c r="A171" s="93" t="s">
        <v>22</v>
      </c>
      <c r="B171" s="61" t="s">
        <v>78</v>
      </c>
      <c r="C171" s="95"/>
      <c r="D171" s="95"/>
      <c r="E171" s="95"/>
      <c r="F171" s="95"/>
      <c r="G171" s="95"/>
      <c r="H171" s="95"/>
      <c r="I171" s="95"/>
      <c r="J171" s="95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</row>
    <row r="172" ht="15.75" customHeight="1">
      <c r="A172" s="93" t="s">
        <v>24</v>
      </c>
      <c r="B172" s="61" t="s">
        <v>83</v>
      </c>
      <c r="C172" s="95"/>
      <c r="D172" s="95"/>
      <c r="E172" s="95"/>
      <c r="F172" s="95"/>
      <c r="G172" s="95"/>
      <c r="H172" s="95"/>
      <c r="I172" s="95"/>
      <c r="J172" s="95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</row>
    <row r="174" ht="15.75" customHeight="1">
      <c r="A174" s="98" t="s">
        <v>25</v>
      </c>
      <c r="B174" s="99" t="s">
        <v>130</v>
      </c>
      <c r="C174" s="100" t="s">
        <v>131</v>
      </c>
      <c r="D174" s="101" t="s">
        <v>132</v>
      </c>
      <c r="E174" s="101" t="s">
        <v>133</v>
      </c>
      <c r="F174" s="102" t="s">
        <v>134</v>
      </c>
      <c r="G174" s="71"/>
      <c r="H174" s="102" t="s">
        <v>135</v>
      </c>
      <c r="I174" s="71"/>
      <c r="J174" s="100" t="s">
        <v>136</v>
      </c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</row>
    <row r="175" ht="15.75" customHeight="1">
      <c r="A175" s="73"/>
      <c r="B175" s="99" t="s">
        <v>137</v>
      </c>
      <c r="C175" s="103">
        <v>15.0</v>
      </c>
      <c r="D175" s="72">
        <v>10.0</v>
      </c>
      <c r="E175" s="72">
        <v>10.0</v>
      </c>
      <c r="F175" s="72">
        <v>15.0</v>
      </c>
      <c r="G175" s="72">
        <v>5.0</v>
      </c>
      <c r="H175" s="72">
        <v>5.0</v>
      </c>
      <c r="I175" s="72">
        <v>15.0</v>
      </c>
      <c r="J175" s="73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</row>
    <row r="176" ht="15.75" customHeight="1">
      <c r="A176" s="77"/>
      <c r="B176" s="99" t="s">
        <v>24</v>
      </c>
      <c r="C176" s="77"/>
      <c r="D176" s="77"/>
      <c r="E176" s="77"/>
      <c r="F176" s="77"/>
      <c r="G176" s="77"/>
      <c r="H176" s="77"/>
      <c r="I176" s="77"/>
      <c r="J176" s="77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</row>
    <row r="177" ht="15.75" customHeight="1">
      <c r="A177" s="104">
        <v>1.0</v>
      </c>
      <c r="B177" s="97" t="s">
        <v>84</v>
      </c>
      <c r="C177" s="95"/>
      <c r="D177" s="105"/>
      <c r="E177" s="105"/>
      <c r="F177" s="106"/>
      <c r="G177" s="106"/>
      <c r="H177" s="105"/>
      <c r="I177" s="106"/>
      <c r="J177" s="104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</row>
    <row r="178" ht="15.75" customHeight="1">
      <c r="A178" s="107">
        <v>2.0</v>
      </c>
      <c r="B178" s="108" t="s">
        <v>85</v>
      </c>
      <c r="C178" s="109"/>
      <c r="D178" s="110"/>
      <c r="E178" s="109"/>
      <c r="F178" s="110"/>
      <c r="G178" s="109"/>
      <c r="H178" s="109"/>
      <c r="I178" s="109"/>
      <c r="J178" s="104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</row>
    <row r="179" ht="15.75" customHeight="1">
      <c r="A179" s="107">
        <v>3.0</v>
      </c>
      <c r="B179" s="97" t="s">
        <v>86</v>
      </c>
      <c r="C179" s="95"/>
      <c r="D179" s="110"/>
      <c r="E179" s="110"/>
      <c r="F179" s="109"/>
      <c r="G179" s="109"/>
      <c r="H179" s="110"/>
      <c r="I179" s="109"/>
      <c r="J179" s="104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</row>
    <row r="180" ht="15.75" customHeight="1">
      <c r="A180" s="107">
        <v>4.0</v>
      </c>
      <c r="B180" s="108" t="s">
        <v>163</v>
      </c>
      <c r="C180" s="109"/>
      <c r="D180" s="110"/>
      <c r="E180" s="109"/>
      <c r="F180" s="110"/>
      <c r="G180" s="109"/>
      <c r="H180" s="109"/>
      <c r="I180" s="109"/>
      <c r="J180" s="104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</row>
    <row r="181" ht="15.75" customHeight="1">
      <c r="A181" s="107">
        <v>5.0</v>
      </c>
      <c r="B181" s="108"/>
      <c r="C181" s="109"/>
      <c r="D181" s="109"/>
      <c r="E181" s="110"/>
      <c r="F181" s="110"/>
      <c r="G181" s="109"/>
      <c r="H181" s="109"/>
      <c r="I181" s="109"/>
      <c r="J181" s="104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</row>
    <row r="182" ht="15.75" customHeight="1">
      <c r="A182" s="107">
        <v>6.0</v>
      </c>
      <c r="B182" s="108"/>
      <c r="C182" s="109"/>
      <c r="D182" s="109"/>
      <c r="E182" s="109"/>
      <c r="F182" s="109"/>
      <c r="G182" s="110"/>
      <c r="H182" s="109"/>
      <c r="I182" s="110"/>
      <c r="J182" s="104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</row>
    <row r="183" ht="15.75" customHeight="1">
      <c r="A183" s="95"/>
      <c r="B183" s="95"/>
      <c r="C183" s="95"/>
      <c r="D183" s="95"/>
      <c r="E183" s="95"/>
      <c r="F183" s="95"/>
      <c r="G183" s="95"/>
      <c r="H183" s="111" t="s">
        <v>139</v>
      </c>
      <c r="J183" s="112">
        <f>SUM(J175:J182)</f>
        <v>0</v>
      </c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</row>
    <row r="184" ht="15.75" customHeight="1">
      <c r="A184" s="61"/>
      <c r="B184" s="85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</row>
    <row r="185" ht="15.75" customHeight="1">
      <c r="A185" s="61"/>
      <c r="B185" s="85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</row>
    <row r="186" ht="15.75" customHeight="1">
      <c r="A186" s="61"/>
      <c r="B186" s="85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</row>
    <row r="187" ht="15.75" customHeight="1">
      <c r="A187" s="61"/>
      <c r="B187" s="85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</row>
    <row r="188" ht="15.75" customHeight="1">
      <c r="A188" s="93" t="s">
        <v>126</v>
      </c>
      <c r="B188" s="94" t="s">
        <v>127</v>
      </c>
      <c r="C188" s="95"/>
      <c r="D188" s="95"/>
      <c r="E188" s="95"/>
      <c r="F188" s="95"/>
      <c r="G188" s="95"/>
      <c r="H188" s="95"/>
      <c r="I188" s="95"/>
      <c r="J188" s="95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</row>
    <row r="189" ht="15.75" customHeight="1">
      <c r="A189" s="93" t="s">
        <v>128</v>
      </c>
      <c r="B189" s="96">
        <v>11.0</v>
      </c>
      <c r="C189" s="95"/>
      <c r="D189" s="95"/>
      <c r="E189" s="95"/>
      <c r="F189" s="95"/>
      <c r="G189" s="95"/>
      <c r="H189" s="95"/>
      <c r="I189" s="95"/>
      <c r="J189" s="95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</row>
    <row r="190" ht="15.75" customHeight="1">
      <c r="A190" s="93" t="s">
        <v>22</v>
      </c>
      <c r="B190" s="96" t="s">
        <v>142</v>
      </c>
      <c r="C190" s="95"/>
      <c r="D190" s="95"/>
      <c r="E190" s="95"/>
      <c r="F190" s="95"/>
      <c r="G190" s="95"/>
      <c r="H190" s="95"/>
      <c r="I190" s="95"/>
      <c r="J190" s="95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</row>
    <row r="191" ht="15.75" customHeight="1">
      <c r="A191" s="93" t="s">
        <v>24</v>
      </c>
      <c r="B191" s="97" t="s">
        <v>143</v>
      </c>
      <c r="C191" s="95"/>
      <c r="D191" s="95"/>
      <c r="E191" s="95"/>
      <c r="F191" s="95"/>
      <c r="G191" s="95"/>
      <c r="H191" s="95"/>
      <c r="I191" s="95"/>
      <c r="J191" s="95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</row>
    <row r="193" ht="15.75" customHeight="1">
      <c r="A193" s="98" t="s">
        <v>25</v>
      </c>
      <c r="B193" s="99" t="s">
        <v>130</v>
      </c>
      <c r="C193" s="100" t="s">
        <v>131</v>
      </c>
      <c r="D193" s="101" t="s">
        <v>132</v>
      </c>
      <c r="E193" s="101" t="s">
        <v>133</v>
      </c>
      <c r="F193" s="102" t="s">
        <v>134</v>
      </c>
      <c r="G193" s="71"/>
      <c r="H193" s="102" t="s">
        <v>135</v>
      </c>
      <c r="I193" s="71"/>
      <c r="J193" s="100" t="s">
        <v>136</v>
      </c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</row>
    <row r="194" ht="15.75" customHeight="1">
      <c r="A194" s="73"/>
      <c r="B194" s="99" t="s">
        <v>137</v>
      </c>
      <c r="C194" s="103">
        <v>15.0</v>
      </c>
      <c r="D194" s="72">
        <v>10.0</v>
      </c>
      <c r="E194" s="72">
        <v>10.0</v>
      </c>
      <c r="F194" s="72">
        <v>15.0</v>
      </c>
      <c r="G194" s="72">
        <v>5.0</v>
      </c>
      <c r="H194" s="72">
        <v>5.0</v>
      </c>
      <c r="I194" s="72">
        <v>15.0</v>
      </c>
      <c r="J194" s="73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</row>
    <row r="195" ht="15.75" customHeight="1">
      <c r="A195" s="77"/>
      <c r="B195" s="99" t="s">
        <v>24</v>
      </c>
      <c r="C195" s="77"/>
      <c r="D195" s="77"/>
      <c r="E195" s="77"/>
      <c r="F195" s="77"/>
      <c r="G195" s="77"/>
      <c r="H195" s="77"/>
      <c r="I195" s="77"/>
      <c r="J195" s="77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</row>
    <row r="196" ht="15.75" customHeight="1">
      <c r="A196" s="104">
        <v>1.0</v>
      </c>
      <c r="B196" s="97" t="s">
        <v>144</v>
      </c>
      <c r="C196" s="95"/>
      <c r="D196" s="105" t="s">
        <v>138</v>
      </c>
      <c r="E196" s="105" t="s">
        <v>138</v>
      </c>
      <c r="F196" s="106"/>
      <c r="G196" s="106"/>
      <c r="H196" s="105" t="s">
        <v>138</v>
      </c>
      <c r="I196" s="106"/>
      <c r="J196" s="104">
        <f t="shared" ref="J196:J201" si="4">if(D196="X",$D$7,0)+if(E196="X",$E$7,0)+if(F196="X",$F$7,0)+if(G196="X",$G$7,0)+if(H196="X",$H$7,0)+if(I196="X",$I$7,0)</f>
        <v>25</v>
      </c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</row>
    <row r="197" ht="15.75" customHeight="1">
      <c r="A197" s="107">
        <v>2.0</v>
      </c>
      <c r="B197" s="108" t="s">
        <v>145</v>
      </c>
      <c r="C197" s="109"/>
      <c r="D197" s="110" t="s">
        <v>138</v>
      </c>
      <c r="E197" s="109"/>
      <c r="F197" s="110" t="s">
        <v>138</v>
      </c>
      <c r="G197" s="109"/>
      <c r="H197" s="109"/>
      <c r="I197" s="109"/>
      <c r="J197" s="104">
        <f t="shared" si="4"/>
        <v>25</v>
      </c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</row>
    <row r="198" ht="15.75" customHeight="1">
      <c r="A198" s="107">
        <v>3.0</v>
      </c>
      <c r="B198" s="97" t="s">
        <v>146</v>
      </c>
      <c r="C198" s="95"/>
      <c r="D198" s="110" t="s">
        <v>141</v>
      </c>
      <c r="E198" s="110" t="s">
        <v>141</v>
      </c>
      <c r="F198" s="109"/>
      <c r="G198" s="109"/>
      <c r="H198" s="110" t="s">
        <v>141</v>
      </c>
      <c r="I198" s="109"/>
      <c r="J198" s="104">
        <f t="shared" si="4"/>
        <v>25</v>
      </c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</row>
    <row r="199" ht="15.75" customHeight="1">
      <c r="A199" s="107">
        <v>4.0</v>
      </c>
      <c r="B199" s="108" t="s">
        <v>147</v>
      </c>
      <c r="C199" s="109"/>
      <c r="D199" s="110" t="s">
        <v>141</v>
      </c>
      <c r="E199" s="109"/>
      <c r="F199" s="110" t="s">
        <v>141</v>
      </c>
      <c r="G199" s="109"/>
      <c r="H199" s="109"/>
      <c r="I199" s="109"/>
      <c r="J199" s="104">
        <f t="shared" si="4"/>
        <v>25</v>
      </c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</row>
    <row r="200" ht="15.75" customHeight="1">
      <c r="A200" s="107">
        <v>5.0</v>
      </c>
      <c r="B200" s="108" t="s">
        <v>148</v>
      </c>
      <c r="C200" s="109"/>
      <c r="D200" s="109"/>
      <c r="E200" s="110" t="s">
        <v>141</v>
      </c>
      <c r="F200" s="110" t="s">
        <v>141</v>
      </c>
      <c r="G200" s="109"/>
      <c r="H200" s="109"/>
      <c r="I200" s="109"/>
      <c r="J200" s="104">
        <f t="shared" si="4"/>
        <v>25</v>
      </c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</row>
    <row r="201" ht="15.75" customHeight="1">
      <c r="A201" s="107">
        <v>6.0</v>
      </c>
      <c r="B201" s="108" t="s">
        <v>149</v>
      </c>
      <c r="C201" s="109"/>
      <c r="D201" s="109"/>
      <c r="E201" s="109"/>
      <c r="F201" s="109"/>
      <c r="G201" s="110" t="s">
        <v>141</v>
      </c>
      <c r="H201" s="109"/>
      <c r="I201" s="110" t="s">
        <v>141</v>
      </c>
      <c r="J201" s="104">
        <f t="shared" si="4"/>
        <v>20</v>
      </c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</row>
    <row r="202" ht="15.75" customHeight="1">
      <c r="A202" s="95"/>
      <c r="B202" s="95"/>
      <c r="C202" s="95"/>
      <c r="D202" s="95"/>
      <c r="E202" s="95"/>
      <c r="F202" s="95"/>
      <c r="G202" s="95"/>
      <c r="H202" s="111" t="s">
        <v>139</v>
      </c>
      <c r="J202" s="112">
        <f>SUM(J194:J201)</f>
        <v>145</v>
      </c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</row>
    <row r="203" ht="15.75" customHeight="1">
      <c r="A203" s="61"/>
      <c r="B203" s="85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</row>
    <row r="204" ht="15.75" customHeight="1">
      <c r="A204" s="61"/>
      <c r="B204" s="85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</row>
    <row r="205" ht="15.75" customHeight="1">
      <c r="A205" s="61"/>
      <c r="B205" s="85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</row>
    <row r="206" ht="15.75" customHeight="1">
      <c r="A206" s="61"/>
      <c r="B206" s="85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</row>
    <row r="207" ht="15.75" customHeight="1">
      <c r="A207" s="93" t="s">
        <v>126</v>
      </c>
      <c r="B207" s="94" t="s">
        <v>127</v>
      </c>
      <c r="C207" s="95"/>
      <c r="D207" s="95"/>
      <c r="E207" s="95"/>
      <c r="F207" s="95"/>
      <c r="G207" s="95"/>
      <c r="H207" s="95"/>
      <c r="I207" s="95"/>
      <c r="J207" s="95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</row>
    <row r="208" ht="15.75" customHeight="1">
      <c r="A208" s="93" t="s">
        <v>128</v>
      </c>
      <c r="B208" s="96">
        <v>12.0</v>
      </c>
      <c r="C208" s="95"/>
      <c r="D208" s="95"/>
      <c r="E208" s="95"/>
      <c r="F208" s="95"/>
      <c r="G208" s="95"/>
      <c r="H208" s="95"/>
      <c r="I208" s="95"/>
      <c r="J208" s="95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</row>
    <row r="209" ht="15.75" customHeight="1">
      <c r="A209" s="93" t="s">
        <v>22</v>
      </c>
      <c r="B209" s="96" t="s">
        <v>142</v>
      </c>
      <c r="C209" s="95"/>
      <c r="D209" s="95"/>
      <c r="E209" s="95"/>
      <c r="F209" s="95"/>
      <c r="G209" s="95"/>
      <c r="H209" s="95"/>
      <c r="I209" s="95"/>
      <c r="J209" s="95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</row>
    <row r="210" ht="15.75" customHeight="1">
      <c r="A210" s="93" t="s">
        <v>24</v>
      </c>
      <c r="B210" s="97" t="s">
        <v>143</v>
      </c>
      <c r="C210" s="95"/>
      <c r="D210" s="95"/>
      <c r="E210" s="95"/>
      <c r="F210" s="95"/>
      <c r="G210" s="95"/>
      <c r="H210" s="95"/>
      <c r="I210" s="95"/>
      <c r="J210" s="95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</row>
    <row r="212" ht="15.75" customHeight="1">
      <c r="A212" s="98" t="s">
        <v>25</v>
      </c>
      <c r="B212" s="99" t="s">
        <v>130</v>
      </c>
      <c r="C212" s="100" t="s">
        <v>131</v>
      </c>
      <c r="D212" s="101" t="s">
        <v>132</v>
      </c>
      <c r="E212" s="101" t="s">
        <v>133</v>
      </c>
      <c r="F212" s="102" t="s">
        <v>134</v>
      </c>
      <c r="G212" s="71"/>
      <c r="H212" s="102" t="s">
        <v>135</v>
      </c>
      <c r="I212" s="71"/>
      <c r="J212" s="100" t="s">
        <v>136</v>
      </c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</row>
    <row r="213" ht="15.75" customHeight="1">
      <c r="A213" s="73"/>
      <c r="B213" s="99" t="s">
        <v>137</v>
      </c>
      <c r="C213" s="103">
        <v>15.0</v>
      </c>
      <c r="D213" s="72">
        <v>10.0</v>
      </c>
      <c r="E213" s="72">
        <v>10.0</v>
      </c>
      <c r="F213" s="72">
        <v>15.0</v>
      </c>
      <c r="G213" s="72">
        <v>5.0</v>
      </c>
      <c r="H213" s="72">
        <v>5.0</v>
      </c>
      <c r="I213" s="72">
        <v>15.0</v>
      </c>
      <c r="J213" s="73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</row>
    <row r="214" ht="15.75" customHeight="1">
      <c r="A214" s="77"/>
      <c r="B214" s="99" t="s">
        <v>24</v>
      </c>
      <c r="C214" s="77"/>
      <c r="D214" s="77"/>
      <c r="E214" s="77"/>
      <c r="F214" s="77"/>
      <c r="G214" s="77"/>
      <c r="H214" s="77"/>
      <c r="I214" s="77"/>
      <c r="J214" s="77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</row>
    <row r="215" ht="15.75" customHeight="1">
      <c r="A215" s="104">
        <v>1.0</v>
      </c>
      <c r="B215" s="97" t="s">
        <v>144</v>
      </c>
      <c r="C215" s="95"/>
      <c r="D215" s="105" t="s">
        <v>138</v>
      </c>
      <c r="E215" s="105" t="s">
        <v>138</v>
      </c>
      <c r="F215" s="106"/>
      <c r="G215" s="106"/>
      <c r="H215" s="105" t="s">
        <v>138</v>
      </c>
      <c r="I215" s="106"/>
      <c r="J215" s="104">
        <f t="shared" ref="J215:J220" si="5">if(D215="X",$D$7,0)+if(E215="X",$E$7,0)+if(F215="X",$F$7,0)+if(G215="X",$G$7,0)+if(H215="X",$H$7,0)+if(I215="X",$I$7,0)</f>
        <v>25</v>
      </c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</row>
    <row r="216" ht="15.75" customHeight="1">
      <c r="A216" s="107">
        <v>2.0</v>
      </c>
      <c r="B216" s="108" t="s">
        <v>145</v>
      </c>
      <c r="C216" s="109"/>
      <c r="D216" s="110" t="s">
        <v>138</v>
      </c>
      <c r="E216" s="109"/>
      <c r="F216" s="110" t="s">
        <v>138</v>
      </c>
      <c r="G216" s="109"/>
      <c r="H216" s="109"/>
      <c r="I216" s="109"/>
      <c r="J216" s="104">
        <f t="shared" si="5"/>
        <v>25</v>
      </c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</row>
    <row r="217" ht="15.75" customHeight="1">
      <c r="A217" s="107">
        <v>3.0</v>
      </c>
      <c r="B217" s="97" t="s">
        <v>146</v>
      </c>
      <c r="C217" s="95"/>
      <c r="D217" s="110" t="s">
        <v>141</v>
      </c>
      <c r="E217" s="110" t="s">
        <v>141</v>
      </c>
      <c r="F217" s="109"/>
      <c r="G217" s="109"/>
      <c r="H217" s="110" t="s">
        <v>141</v>
      </c>
      <c r="I217" s="109"/>
      <c r="J217" s="104">
        <f t="shared" si="5"/>
        <v>25</v>
      </c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</row>
    <row r="218" ht="15.75" customHeight="1">
      <c r="A218" s="107">
        <v>4.0</v>
      </c>
      <c r="B218" s="108" t="s">
        <v>147</v>
      </c>
      <c r="C218" s="109"/>
      <c r="D218" s="110" t="s">
        <v>141</v>
      </c>
      <c r="E218" s="109"/>
      <c r="F218" s="110" t="s">
        <v>141</v>
      </c>
      <c r="G218" s="109"/>
      <c r="H218" s="109"/>
      <c r="I218" s="109"/>
      <c r="J218" s="104">
        <f t="shared" si="5"/>
        <v>25</v>
      </c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</row>
    <row r="219" ht="15.75" customHeight="1">
      <c r="A219" s="107">
        <v>5.0</v>
      </c>
      <c r="B219" s="108" t="s">
        <v>148</v>
      </c>
      <c r="C219" s="109"/>
      <c r="D219" s="109"/>
      <c r="E219" s="110" t="s">
        <v>141</v>
      </c>
      <c r="F219" s="110" t="s">
        <v>141</v>
      </c>
      <c r="G219" s="109"/>
      <c r="H219" s="109"/>
      <c r="I219" s="109"/>
      <c r="J219" s="104">
        <f t="shared" si="5"/>
        <v>25</v>
      </c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</row>
    <row r="220" ht="15.75" customHeight="1">
      <c r="A220" s="107">
        <v>6.0</v>
      </c>
      <c r="B220" s="108" t="s">
        <v>149</v>
      </c>
      <c r="C220" s="109"/>
      <c r="D220" s="109"/>
      <c r="E220" s="109"/>
      <c r="F220" s="109"/>
      <c r="G220" s="110" t="s">
        <v>141</v>
      </c>
      <c r="H220" s="109"/>
      <c r="I220" s="110" t="s">
        <v>141</v>
      </c>
      <c r="J220" s="104">
        <f t="shared" si="5"/>
        <v>20</v>
      </c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</row>
    <row r="221" ht="15.75" customHeight="1">
      <c r="A221" s="95"/>
      <c r="B221" s="95"/>
      <c r="C221" s="95"/>
      <c r="D221" s="95"/>
      <c r="E221" s="95"/>
      <c r="F221" s="95"/>
      <c r="G221" s="95"/>
      <c r="H221" s="111" t="s">
        <v>139</v>
      </c>
      <c r="J221" s="112">
        <f>SUM(J213:J220)</f>
        <v>145</v>
      </c>
    </row>
    <row r="222" ht="15.75" customHeight="1"/>
    <row r="223" ht="15.75" customHeight="1"/>
    <row r="224" ht="15.75" customHeight="1"/>
    <row r="225" ht="15.75" customHeight="1">
      <c r="A225" s="93" t="s">
        <v>126</v>
      </c>
      <c r="B225" s="94" t="s">
        <v>127</v>
      </c>
      <c r="C225" s="95"/>
      <c r="D225" s="95"/>
      <c r="E225" s="95"/>
      <c r="F225" s="95"/>
      <c r="G225" s="95"/>
      <c r="H225" s="95"/>
      <c r="I225" s="95"/>
      <c r="J225" s="95"/>
    </row>
    <row r="226" ht="15.75" customHeight="1">
      <c r="A226" s="93" t="s">
        <v>128</v>
      </c>
      <c r="B226" s="96">
        <v>13.0</v>
      </c>
      <c r="C226" s="95"/>
      <c r="D226" s="95"/>
      <c r="E226" s="95"/>
      <c r="F226" s="95"/>
      <c r="G226" s="95"/>
      <c r="H226" s="95"/>
      <c r="I226" s="95"/>
      <c r="J226" s="95"/>
    </row>
    <row r="227" ht="15.75" customHeight="1">
      <c r="A227" s="93" t="s">
        <v>22</v>
      </c>
      <c r="B227" s="96" t="s">
        <v>142</v>
      </c>
      <c r="C227" s="95"/>
      <c r="D227" s="95"/>
      <c r="E227" s="95"/>
      <c r="F227" s="95"/>
      <c r="G227" s="95"/>
      <c r="H227" s="95"/>
      <c r="I227" s="95"/>
      <c r="J227" s="95"/>
    </row>
    <row r="228" ht="15.75" customHeight="1">
      <c r="A228" s="93" t="s">
        <v>24</v>
      </c>
      <c r="B228" s="97" t="s">
        <v>143</v>
      </c>
      <c r="C228" s="95"/>
      <c r="D228" s="95"/>
      <c r="E228" s="95"/>
      <c r="F228" s="95"/>
      <c r="G228" s="95"/>
      <c r="H228" s="95"/>
      <c r="I228" s="95"/>
      <c r="J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</row>
    <row r="230" ht="15.75" customHeight="1">
      <c r="A230" s="98" t="s">
        <v>25</v>
      </c>
      <c r="B230" s="99" t="s">
        <v>130</v>
      </c>
      <c r="C230" s="100" t="s">
        <v>131</v>
      </c>
      <c r="D230" s="101" t="s">
        <v>132</v>
      </c>
      <c r="E230" s="101" t="s">
        <v>133</v>
      </c>
      <c r="F230" s="102" t="s">
        <v>134</v>
      </c>
      <c r="G230" s="71"/>
      <c r="H230" s="102" t="s">
        <v>135</v>
      </c>
      <c r="I230" s="71"/>
      <c r="J230" s="100" t="s">
        <v>136</v>
      </c>
    </row>
    <row r="231" ht="15.75" customHeight="1">
      <c r="A231" s="73"/>
      <c r="B231" s="99" t="s">
        <v>137</v>
      </c>
      <c r="C231" s="103">
        <v>15.0</v>
      </c>
      <c r="D231" s="72">
        <v>10.0</v>
      </c>
      <c r="E231" s="72">
        <v>10.0</v>
      </c>
      <c r="F231" s="72">
        <v>15.0</v>
      </c>
      <c r="G231" s="72">
        <v>5.0</v>
      </c>
      <c r="H231" s="72">
        <v>5.0</v>
      </c>
      <c r="I231" s="72">
        <v>15.0</v>
      </c>
      <c r="J231" s="73"/>
    </row>
    <row r="232" ht="15.75" customHeight="1">
      <c r="A232" s="77"/>
      <c r="B232" s="99" t="s">
        <v>24</v>
      </c>
      <c r="C232" s="77"/>
      <c r="D232" s="77"/>
      <c r="E232" s="77"/>
      <c r="F232" s="77"/>
      <c r="G232" s="77"/>
      <c r="H232" s="77"/>
      <c r="I232" s="77"/>
      <c r="J232" s="77"/>
    </row>
    <row r="233" ht="15.75" customHeight="1">
      <c r="A233" s="104">
        <v>1.0</v>
      </c>
      <c r="B233" s="97" t="s">
        <v>144</v>
      </c>
      <c r="C233" s="95"/>
      <c r="D233" s="105" t="s">
        <v>138</v>
      </c>
      <c r="E233" s="105" t="s">
        <v>138</v>
      </c>
      <c r="F233" s="106"/>
      <c r="G233" s="106"/>
      <c r="H233" s="105" t="s">
        <v>138</v>
      </c>
      <c r="I233" s="106"/>
      <c r="J233" s="104">
        <f t="shared" ref="J233:J238" si="6">if(D233="X",$D$7,0)+if(E233="X",$E$7,0)+if(F233="X",$F$7,0)+if(G233="X",$G$7,0)+if(H233="X",$H$7,0)+if(I233="X",$I$7,0)</f>
        <v>25</v>
      </c>
    </row>
    <row r="234" ht="15.75" customHeight="1">
      <c r="A234" s="107">
        <v>2.0</v>
      </c>
      <c r="B234" s="108" t="s">
        <v>145</v>
      </c>
      <c r="C234" s="109"/>
      <c r="D234" s="110" t="s">
        <v>138</v>
      </c>
      <c r="E234" s="109"/>
      <c r="F234" s="110" t="s">
        <v>138</v>
      </c>
      <c r="G234" s="109"/>
      <c r="H234" s="109"/>
      <c r="I234" s="109"/>
      <c r="J234" s="104">
        <f t="shared" si="6"/>
        <v>25</v>
      </c>
    </row>
    <row r="235" ht="15.75" customHeight="1">
      <c r="A235" s="107">
        <v>3.0</v>
      </c>
      <c r="B235" s="97" t="s">
        <v>146</v>
      </c>
      <c r="C235" s="95"/>
      <c r="D235" s="110" t="s">
        <v>141</v>
      </c>
      <c r="E235" s="110" t="s">
        <v>141</v>
      </c>
      <c r="F235" s="109"/>
      <c r="G235" s="109"/>
      <c r="H235" s="110" t="s">
        <v>141</v>
      </c>
      <c r="I235" s="109"/>
      <c r="J235" s="104">
        <f t="shared" si="6"/>
        <v>25</v>
      </c>
    </row>
    <row r="236" ht="15.75" customHeight="1">
      <c r="A236" s="107">
        <v>4.0</v>
      </c>
      <c r="B236" s="108" t="s">
        <v>147</v>
      </c>
      <c r="C236" s="109"/>
      <c r="D236" s="110" t="s">
        <v>141</v>
      </c>
      <c r="E236" s="109"/>
      <c r="F236" s="110" t="s">
        <v>141</v>
      </c>
      <c r="G236" s="109"/>
      <c r="H236" s="109"/>
      <c r="I236" s="109"/>
      <c r="J236" s="104">
        <f t="shared" si="6"/>
        <v>25</v>
      </c>
    </row>
    <row r="237" ht="15.75" customHeight="1">
      <c r="A237" s="107">
        <v>5.0</v>
      </c>
      <c r="B237" s="108" t="s">
        <v>148</v>
      </c>
      <c r="C237" s="109"/>
      <c r="D237" s="109"/>
      <c r="E237" s="110" t="s">
        <v>141</v>
      </c>
      <c r="F237" s="110" t="s">
        <v>141</v>
      </c>
      <c r="G237" s="109"/>
      <c r="H237" s="109"/>
      <c r="I237" s="109"/>
      <c r="J237" s="104">
        <f t="shared" si="6"/>
        <v>25</v>
      </c>
    </row>
    <row r="238" ht="15.75" customHeight="1">
      <c r="A238" s="107">
        <v>6.0</v>
      </c>
      <c r="B238" s="108" t="s">
        <v>149</v>
      </c>
      <c r="C238" s="109"/>
      <c r="D238" s="109"/>
      <c r="E238" s="109"/>
      <c r="F238" s="109"/>
      <c r="G238" s="110" t="s">
        <v>141</v>
      </c>
      <c r="H238" s="109"/>
      <c r="I238" s="110" t="s">
        <v>141</v>
      </c>
      <c r="J238" s="104">
        <f t="shared" si="6"/>
        <v>20</v>
      </c>
    </row>
    <row r="239" ht="15.75" customHeight="1">
      <c r="A239" s="95"/>
      <c r="B239" s="95"/>
      <c r="C239" s="95"/>
      <c r="D239" s="95"/>
      <c r="E239" s="95"/>
      <c r="F239" s="95"/>
      <c r="G239" s="95"/>
      <c r="H239" s="111" t="s">
        <v>139</v>
      </c>
      <c r="J239" s="112">
        <f>SUM(J231:J238)</f>
        <v>145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>
      <c r="A246" s="93" t="s">
        <v>126</v>
      </c>
      <c r="B246" s="94" t="s">
        <v>127</v>
      </c>
      <c r="C246" s="95"/>
      <c r="D246" s="95"/>
      <c r="E246" s="95"/>
      <c r="F246" s="95"/>
      <c r="G246" s="95"/>
      <c r="H246" s="95"/>
      <c r="I246" s="95"/>
      <c r="J246" s="95"/>
    </row>
    <row r="247" ht="15.75" customHeight="1">
      <c r="A247" s="93" t="s">
        <v>128</v>
      </c>
      <c r="B247" s="96">
        <v>14.0</v>
      </c>
      <c r="C247" s="95"/>
      <c r="D247" s="95"/>
      <c r="E247" s="95"/>
      <c r="F247" s="95"/>
      <c r="G247" s="95"/>
      <c r="H247" s="95"/>
      <c r="I247" s="95"/>
      <c r="J247" s="95"/>
    </row>
    <row r="248" ht="15.75" customHeight="1">
      <c r="A248" s="93" t="s">
        <v>22</v>
      </c>
      <c r="B248" s="96" t="s">
        <v>142</v>
      </c>
      <c r="C248" s="95"/>
      <c r="D248" s="95"/>
      <c r="E248" s="95"/>
      <c r="F248" s="95"/>
      <c r="G248" s="95"/>
      <c r="H248" s="95"/>
      <c r="I248" s="95"/>
      <c r="J248" s="95"/>
    </row>
    <row r="249" ht="15.75" customHeight="1">
      <c r="A249" s="93" t="s">
        <v>24</v>
      </c>
      <c r="B249" s="97" t="s">
        <v>143</v>
      </c>
      <c r="C249" s="95"/>
      <c r="D249" s="95"/>
      <c r="E249" s="95"/>
      <c r="F249" s="95"/>
      <c r="G249" s="95"/>
      <c r="H249" s="95"/>
      <c r="I249" s="95"/>
      <c r="J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</row>
    <row r="251" ht="15.75" customHeight="1">
      <c r="A251" s="98" t="s">
        <v>25</v>
      </c>
      <c r="B251" s="99" t="s">
        <v>130</v>
      </c>
      <c r="C251" s="100" t="s">
        <v>131</v>
      </c>
      <c r="D251" s="101" t="s">
        <v>132</v>
      </c>
      <c r="E251" s="101" t="s">
        <v>133</v>
      </c>
      <c r="F251" s="102" t="s">
        <v>134</v>
      </c>
      <c r="G251" s="71"/>
      <c r="H251" s="102" t="s">
        <v>135</v>
      </c>
      <c r="I251" s="71"/>
      <c r="J251" s="100" t="s">
        <v>136</v>
      </c>
    </row>
    <row r="252" ht="15.75" customHeight="1">
      <c r="A252" s="73"/>
      <c r="B252" s="99" t="s">
        <v>137</v>
      </c>
      <c r="C252" s="103">
        <v>15.0</v>
      </c>
      <c r="D252" s="72">
        <v>10.0</v>
      </c>
      <c r="E252" s="72">
        <v>10.0</v>
      </c>
      <c r="F252" s="72">
        <v>15.0</v>
      </c>
      <c r="G252" s="72">
        <v>5.0</v>
      </c>
      <c r="H252" s="72">
        <v>5.0</v>
      </c>
      <c r="I252" s="72">
        <v>15.0</v>
      </c>
      <c r="J252" s="73"/>
    </row>
    <row r="253" ht="15.75" customHeight="1">
      <c r="A253" s="77"/>
      <c r="B253" s="99" t="s">
        <v>24</v>
      </c>
      <c r="C253" s="77"/>
      <c r="D253" s="77"/>
      <c r="E253" s="77"/>
      <c r="F253" s="77"/>
      <c r="G253" s="77"/>
      <c r="H253" s="77"/>
      <c r="I253" s="77"/>
      <c r="J253" s="77"/>
    </row>
    <row r="254" ht="15.75" customHeight="1">
      <c r="A254" s="104">
        <v>1.0</v>
      </c>
      <c r="B254" s="97" t="s">
        <v>144</v>
      </c>
      <c r="C254" s="95"/>
      <c r="D254" s="105" t="s">
        <v>138</v>
      </c>
      <c r="E254" s="105" t="s">
        <v>138</v>
      </c>
      <c r="F254" s="106"/>
      <c r="G254" s="106"/>
      <c r="H254" s="105" t="s">
        <v>138</v>
      </c>
      <c r="I254" s="106"/>
      <c r="J254" s="104">
        <f t="shared" ref="J254:J259" si="7">if(D254="X",$D$7,0)+if(E254="X",$E$7,0)+if(F254="X",$F$7,0)+if(G254="X",$G$7,0)+if(H254="X",$H$7,0)+if(I254="X",$I$7,0)</f>
        <v>25</v>
      </c>
    </row>
    <row r="255" ht="15.75" customHeight="1">
      <c r="A255" s="107">
        <v>2.0</v>
      </c>
      <c r="B255" s="108" t="s">
        <v>145</v>
      </c>
      <c r="C255" s="109"/>
      <c r="D255" s="110" t="s">
        <v>138</v>
      </c>
      <c r="E255" s="109"/>
      <c r="F255" s="110" t="s">
        <v>138</v>
      </c>
      <c r="G255" s="109"/>
      <c r="H255" s="109"/>
      <c r="I255" s="109"/>
      <c r="J255" s="104">
        <f t="shared" si="7"/>
        <v>25</v>
      </c>
    </row>
    <row r="256" ht="15.75" customHeight="1">
      <c r="A256" s="107">
        <v>3.0</v>
      </c>
      <c r="B256" s="97" t="s">
        <v>146</v>
      </c>
      <c r="C256" s="95"/>
      <c r="D256" s="110" t="s">
        <v>141</v>
      </c>
      <c r="E256" s="110" t="s">
        <v>141</v>
      </c>
      <c r="F256" s="109"/>
      <c r="G256" s="109"/>
      <c r="H256" s="110" t="s">
        <v>141</v>
      </c>
      <c r="I256" s="109"/>
      <c r="J256" s="104">
        <f t="shared" si="7"/>
        <v>25</v>
      </c>
    </row>
    <row r="257" ht="15.75" customHeight="1">
      <c r="A257" s="107">
        <v>4.0</v>
      </c>
      <c r="B257" s="108" t="s">
        <v>147</v>
      </c>
      <c r="C257" s="109"/>
      <c r="D257" s="110" t="s">
        <v>141</v>
      </c>
      <c r="E257" s="109"/>
      <c r="F257" s="110" t="s">
        <v>141</v>
      </c>
      <c r="G257" s="109"/>
      <c r="H257" s="109"/>
      <c r="I257" s="109"/>
      <c r="J257" s="104">
        <f t="shared" si="7"/>
        <v>25</v>
      </c>
    </row>
    <row r="258" ht="15.75" customHeight="1">
      <c r="A258" s="107">
        <v>5.0</v>
      </c>
      <c r="B258" s="108" t="s">
        <v>148</v>
      </c>
      <c r="C258" s="109"/>
      <c r="D258" s="109"/>
      <c r="E258" s="110" t="s">
        <v>141</v>
      </c>
      <c r="F258" s="110" t="s">
        <v>141</v>
      </c>
      <c r="G258" s="109"/>
      <c r="H258" s="109"/>
      <c r="I258" s="109"/>
      <c r="J258" s="104">
        <f t="shared" si="7"/>
        <v>25</v>
      </c>
    </row>
    <row r="259" ht="15.75" customHeight="1">
      <c r="A259" s="107">
        <v>6.0</v>
      </c>
      <c r="B259" s="108" t="s">
        <v>149</v>
      </c>
      <c r="C259" s="109"/>
      <c r="D259" s="109"/>
      <c r="E259" s="109"/>
      <c r="F259" s="109"/>
      <c r="G259" s="110" t="s">
        <v>141</v>
      </c>
      <c r="H259" s="109"/>
      <c r="I259" s="110" t="s">
        <v>141</v>
      </c>
      <c r="J259" s="104">
        <f t="shared" si="7"/>
        <v>20</v>
      </c>
    </row>
    <row r="260" ht="15.75" customHeight="1">
      <c r="A260" s="95"/>
      <c r="B260" s="95"/>
      <c r="C260" s="95"/>
      <c r="D260" s="95"/>
      <c r="E260" s="95"/>
      <c r="F260" s="95"/>
      <c r="G260" s="95"/>
      <c r="H260" s="111" t="s">
        <v>139</v>
      </c>
      <c r="J260" s="112">
        <f>SUM(J252:J259)</f>
        <v>145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8">
    <mergeCell ref="E137:E138"/>
    <mergeCell ref="F137:F138"/>
    <mergeCell ref="G137:G138"/>
    <mergeCell ref="H137:H138"/>
    <mergeCell ref="C117:C118"/>
    <mergeCell ref="D117:D118"/>
    <mergeCell ref="H125:I125"/>
    <mergeCell ref="A136:A138"/>
    <mergeCell ref="F136:G136"/>
    <mergeCell ref="H136:I136"/>
    <mergeCell ref="J136:J138"/>
    <mergeCell ref="I137:I138"/>
    <mergeCell ref="H7:H8"/>
    <mergeCell ref="I7:I8"/>
    <mergeCell ref="H15:I15"/>
    <mergeCell ref="H23:I23"/>
    <mergeCell ref="J23:J25"/>
    <mergeCell ref="H24:H25"/>
    <mergeCell ref="I24:I25"/>
    <mergeCell ref="H32:I32"/>
    <mergeCell ref="A6:A8"/>
    <mergeCell ref="F6:G6"/>
    <mergeCell ref="H6:I6"/>
    <mergeCell ref="J6:J8"/>
    <mergeCell ref="C7:C8"/>
    <mergeCell ref="D7:D8"/>
    <mergeCell ref="E7:E8"/>
    <mergeCell ref="F24:F25"/>
    <mergeCell ref="G24:G25"/>
    <mergeCell ref="F7:F8"/>
    <mergeCell ref="G7:G8"/>
    <mergeCell ref="A23:A25"/>
    <mergeCell ref="F23:G23"/>
    <mergeCell ref="C24:C25"/>
    <mergeCell ref="D24:D25"/>
    <mergeCell ref="E24:E25"/>
    <mergeCell ref="H42:H43"/>
    <mergeCell ref="I42:I43"/>
    <mergeCell ref="H50:I50"/>
    <mergeCell ref="H59:I59"/>
    <mergeCell ref="J59:J61"/>
    <mergeCell ref="H60:H61"/>
    <mergeCell ref="I60:I61"/>
    <mergeCell ref="H68:I68"/>
    <mergeCell ref="A41:A43"/>
    <mergeCell ref="F41:G41"/>
    <mergeCell ref="H41:I41"/>
    <mergeCell ref="J41:J43"/>
    <mergeCell ref="C42:C43"/>
    <mergeCell ref="D42:D43"/>
    <mergeCell ref="E42:E43"/>
    <mergeCell ref="C194:C195"/>
    <mergeCell ref="D194:D195"/>
    <mergeCell ref="G194:G195"/>
    <mergeCell ref="H194:H195"/>
    <mergeCell ref="I194:I195"/>
    <mergeCell ref="F60:F61"/>
    <mergeCell ref="G60:G61"/>
    <mergeCell ref="F42:F43"/>
    <mergeCell ref="G42:G43"/>
    <mergeCell ref="A59:A61"/>
    <mergeCell ref="F59:G59"/>
    <mergeCell ref="C60:C61"/>
    <mergeCell ref="D60:D61"/>
    <mergeCell ref="E60:E61"/>
    <mergeCell ref="H78:H79"/>
    <mergeCell ref="I78:I79"/>
    <mergeCell ref="A77:A79"/>
    <mergeCell ref="F77:G77"/>
    <mergeCell ref="H77:I77"/>
    <mergeCell ref="J77:J79"/>
    <mergeCell ref="C78:C79"/>
    <mergeCell ref="D78:D79"/>
    <mergeCell ref="E78:E79"/>
    <mergeCell ref="E97:E98"/>
    <mergeCell ref="F97:F98"/>
    <mergeCell ref="G97:G98"/>
    <mergeCell ref="H97:H98"/>
    <mergeCell ref="F78:F79"/>
    <mergeCell ref="G78:G79"/>
    <mergeCell ref="H86:I86"/>
    <mergeCell ref="A96:A98"/>
    <mergeCell ref="F96:G96"/>
    <mergeCell ref="H96:I96"/>
    <mergeCell ref="J96:J98"/>
    <mergeCell ref="I97:I98"/>
    <mergeCell ref="E117:E118"/>
    <mergeCell ref="F117:F118"/>
    <mergeCell ref="G117:G118"/>
    <mergeCell ref="H117:H118"/>
    <mergeCell ref="C97:C98"/>
    <mergeCell ref="D97:D98"/>
    <mergeCell ref="H105:I105"/>
    <mergeCell ref="A116:A118"/>
    <mergeCell ref="F116:G116"/>
    <mergeCell ref="H116:I116"/>
    <mergeCell ref="J116:J118"/>
    <mergeCell ref="I117:I118"/>
    <mergeCell ref="E156:E157"/>
    <mergeCell ref="F156:F157"/>
    <mergeCell ref="G156:G157"/>
    <mergeCell ref="H156:H157"/>
    <mergeCell ref="C137:C138"/>
    <mergeCell ref="D137:D138"/>
    <mergeCell ref="H145:I145"/>
    <mergeCell ref="A155:A157"/>
    <mergeCell ref="F155:G155"/>
    <mergeCell ref="H155:I155"/>
    <mergeCell ref="J155:J157"/>
    <mergeCell ref="I156:I157"/>
    <mergeCell ref="E175:E176"/>
    <mergeCell ref="F175:F176"/>
    <mergeCell ref="G175:G176"/>
    <mergeCell ref="H175:H176"/>
    <mergeCell ref="C156:C157"/>
    <mergeCell ref="D156:D157"/>
    <mergeCell ref="H164:I164"/>
    <mergeCell ref="A174:A176"/>
    <mergeCell ref="F174:G174"/>
    <mergeCell ref="H174:I174"/>
    <mergeCell ref="J174:J176"/>
    <mergeCell ref="I175:I176"/>
    <mergeCell ref="C175:C176"/>
    <mergeCell ref="D175:D176"/>
    <mergeCell ref="H183:I183"/>
    <mergeCell ref="A193:A195"/>
    <mergeCell ref="F193:G193"/>
    <mergeCell ref="H193:I193"/>
    <mergeCell ref="J193:J195"/>
    <mergeCell ref="C213:C214"/>
    <mergeCell ref="D213:D214"/>
    <mergeCell ref="A230:A232"/>
    <mergeCell ref="C231:C232"/>
    <mergeCell ref="D231:D232"/>
    <mergeCell ref="A251:A253"/>
    <mergeCell ref="C252:C253"/>
    <mergeCell ref="D252:D253"/>
    <mergeCell ref="E213:E214"/>
    <mergeCell ref="F213:F214"/>
    <mergeCell ref="E194:E195"/>
    <mergeCell ref="F194:F195"/>
    <mergeCell ref="H202:I202"/>
    <mergeCell ref="A212:A214"/>
    <mergeCell ref="F212:G212"/>
    <mergeCell ref="H212:I212"/>
    <mergeCell ref="J212:J214"/>
    <mergeCell ref="I213:I214"/>
    <mergeCell ref="F231:F232"/>
    <mergeCell ref="G231:G232"/>
    <mergeCell ref="F251:G251"/>
    <mergeCell ref="E252:E253"/>
    <mergeCell ref="F252:F253"/>
    <mergeCell ref="G252:G253"/>
    <mergeCell ref="H231:H232"/>
    <mergeCell ref="I231:I232"/>
    <mergeCell ref="H239:I239"/>
    <mergeCell ref="H251:I251"/>
    <mergeCell ref="J251:J253"/>
    <mergeCell ref="H252:H253"/>
    <mergeCell ref="I252:I253"/>
    <mergeCell ref="H260:I260"/>
    <mergeCell ref="G213:G214"/>
    <mergeCell ref="H213:H214"/>
    <mergeCell ref="H221:I221"/>
    <mergeCell ref="F230:G230"/>
    <mergeCell ref="H230:I230"/>
    <mergeCell ref="J230:J232"/>
    <mergeCell ref="E231:E23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114" t="s">
        <v>126</v>
      </c>
      <c r="B1" s="115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ht="15.75" customHeight="1">
      <c r="A2" s="114" t="s">
        <v>128</v>
      </c>
      <c r="B2" s="116">
        <v>1.0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ht="15.75" customHeight="1">
      <c r="A3" s="114" t="s">
        <v>22</v>
      </c>
      <c r="B3" s="117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ht="15.75" customHeight="1">
      <c r="A4" s="114" t="s">
        <v>24</v>
      </c>
      <c r="B4" s="85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ht="15.75" customHeight="1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ht="15.75" customHeight="1">
      <c r="A6" s="118" t="s">
        <v>25</v>
      </c>
      <c r="B6" s="119" t="s">
        <v>130</v>
      </c>
      <c r="C6" s="120" t="s">
        <v>131</v>
      </c>
      <c r="D6" s="120" t="s">
        <v>132</v>
      </c>
      <c r="E6" s="120" t="s">
        <v>133</v>
      </c>
      <c r="F6" s="121" t="s">
        <v>134</v>
      </c>
      <c r="G6" s="71"/>
      <c r="H6" s="121" t="s">
        <v>135</v>
      </c>
      <c r="I6" s="71"/>
      <c r="J6" s="122" t="s">
        <v>136</v>
      </c>
      <c r="K6" s="123" t="s">
        <v>134</v>
      </c>
      <c r="L6" s="124" t="s">
        <v>135</v>
      </c>
      <c r="M6" s="125" t="s">
        <v>164</v>
      </c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ht="15.75" customHeight="1">
      <c r="A7" s="73"/>
      <c r="B7" s="119" t="s">
        <v>165</v>
      </c>
      <c r="C7" s="126">
        <v>15.0</v>
      </c>
      <c r="D7" s="126">
        <v>10.0</v>
      </c>
      <c r="E7" s="127">
        <v>10.0</v>
      </c>
      <c r="F7" s="126">
        <v>15.0</v>
      </c>
      <c r="G7" s="126">
        <v>5.0</v>
      </c>
      <c r="H7" s="126">
        <v>5.0</v>
      </c>
      <c r="I7" s="126">
        <v>15.0</v>
      </c>
      <c r="J7" s="73"/>
      <c r="K7" s="128" t="s">
        <v>166</v>
      </c>
      <c r="L7" s="128" t="s">
        <v>166</v>
      </c>
      <c r="M7" s="14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 ht="15.75" customHeight="1">
      <c r="A8" s="77"/>
      <c r="B8" s="118" t="s">
        <v>26</v>
      </c>
      <c r="C8" s="77"/>
      <c r="D8" s="77"/>
      <c r="E8" s="77"/>
      <c r="F8" s="77"/>
      <c r="G8" s="77"/>
      <c r="H8" s="77"/>
      <c r="I8" s="77"/>
      <c r="J8" s="77"/>
      <c r="K8" s="18"/>
      <c r="L8" s="18"/>
      <c r="M8" s="18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ht="27.0" customHeight="1">
      <c r="A9" s="129">
        <v>1.0</v>
      </c>
      <c r="B9" s="130"/>
      <c r="C9" s="131" t="s">
        <v>141</v>
      </c>
      <c r="D9" s="131"/>
      <c r="E9" s="131"/>
      <c r="F9" s="131"/>
      <c r="G9" s="131"/>
      <c r="H9" s="131"/>
      <c r="I9" s="131"/>
      <c r="J9" s="131">
        <f>if(C9="X",$C$7,0)+if(D9="X",$D$7,0)+if(E9="X",$E$7,0)+if(F9="X",$F$7,0)+if(G9="X",$G$7,0)+if(H9="X",$H$7,0)+if(I9="X",$I$7,0)</f>
        <v>15</v>
      </c>
      <c r="K9" s="11"/>
      <c r="L9" s="132">
        <v>1.0</v>
      </c>
      <c r="M9" s="132">
        <f t="shared" ref="M9:M14" si="1">sum(K9:L9)</f>
        <v>1</v>
      </c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ht="15.75" customHeight="1">
      <c r="A10" s="132">
        <v>2.0</v>
      </c>
      <c r="B10" s="133"/>
      <c r="C10" s="132"/>
      <c r="D10" s="132" t="s">
        <v>141</v>
      </c>
      <c r="E10" s="132"/>
      <c r="F10" s="132"/>
      <c r="G10" s="132"/>
      <c r="H10" s="132"/>
      <c r="I10" s="132"/>
      <c r="J10" s="131">
        <f t="shared" ref="J10:J14" si="2">if(D10="X",$D$7,0)+if(E10="X",$E$7,0)+if(F10="X",$F$7,0)+if(G10="X",$G$7,0)+if(H10="X",$H$7,0)+if(I10="X",$I$7,0)</f>
        <v>10</v>
      </c>
      <c r="K10" s="132"/>
      <c r="L10" s="132"/>
      <c r="M10" s="132">
        <f t="shared" si="1"/>
        <v>0</v>
      </c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132">
        <v>3.0</v>
      </c>
      <c r="B11" s="133"/>
      <c r="C11" s="132"/>
      <c r="D11" s="132"/>
      <c r="E11" s="132"/>
      <c r="F11" s="132"/>
      <c r="G11" s="132" t="s">
        <v>141</v>
      </c>
      <c r="H11" s="132"/>
      <c r="I11" s="132"/>
      <c r="J11" s="131">
        <f t="shared" si="2"/>
        <v>5</v>
      </c>
      <c r="K11" s="132">
        <v>1.0</v>
      </c>
      <c r="L11" s="132"/>
      <c r="M11" s="132">
        <f t="shared" si="1"/>
        <v>1</v>
      </c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132">
        <v>4.0</v>
      </c>
      <c r="B12" s="134"/>
      <c r="C12" s="132"/>
      <c r="D12" s="132"/>
      <c r="E12" s="132"/>
      <c r="F12" s="132"/>
      <c r="G12" s="132"/>
      <c r="H12" s="132"/>
      <c r="I12" s="132"/>
      <c r="J12" s="131">
        <f t="shared" si="2"/>
        <v>0</v>
      </c>
      <c r="K12" s="132"/>
      <c r="L12" s="132"/>
      <c r="M12" s="132">
        <f t="shared" si="1"/>
        <v>0</v>
      </c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132">
        <v>5.0</v>
      </c>
      <c r="B13" s="134"/>
      <c r="C13" s="132"/>
      <c r="D13" s="132"/>
      <c r="E13" s="132"/>
      <c r="F13" s="132"/>
      <c r="G13" s="132"/>
      <c r="H13" s="132"/>
      <c r="I13" s="132"/>
      <c r="J13" s="131">
        <f t="shared" si="2"/>
        <v>0</v>
      </c>
      <c r="K13" s="132"/>
      <c r="L13" s="132"/>
      <c r="M13" s="132">
        <f t="shared" si="1"/>
        <v>0</v>
      </c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132">
        <v>6.0</v>
      </c>
      <c r="B14" s="133"/>
      <c r="C14" s="132"/>
      <c r="D14" s="132"/>
      <c r="E14" s="132"/>
      <c r="F14" s="132"/>
      <c r="G14" s="132"/>
      <c r="H14" s="132" t="s">
        <v>141</v>
      </c>
      <c r="I14" s="132"/>
      <c r="J14" s="131">
        <f t="shared" si="2"/>
        <v>5</v>
      </c>
      <c r="K14" s="132"/>
      <c r="L14" s="132"/>
      <c r="M14" s="132">
        <f t="shared" si="1"/>
        <v>0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61"/>
      <c r="B15" s="61"/>
      <c r="C15" s="61"/>
      <c r="D15" s="61"/>
      <c r="E15" s="61"/>
      <c r="F15" s="61"/>
      <c r="G15" s="61"/>
      <c r="H15" s="61"/>
      <c r="I15" s="135" t="s">
        <v>167</v>
      </c>
      <c r="J15" s="136">
        <f>SUM(J7:J14)</f>
        <v>35</v>
      </c>
      <c r="K15" s="61"/>
      <c r="L15" s="85" t="s">
        <v>168</v>
      </c>
      <c r="M15" s="61">
        <f>sum(M9:M14)</f>
        <v>2</v>
      </c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137" t="s">
        <v>169</v>
      </c>
      <c r="B17" s="61"/>
      <c r="C17" s="61"/>
      <c r="D17" s="61"/>
      <c r="E17" s="61"/>
      <c r="F17" s="61"/>
      <c r="G17" s="61"/>
      <c r="H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137" t="s">
        <v>170</v>
      </c>
      <c r="B18" s="61"/>
      <c r="C18" s="61"/>
      <c r="D18" s="61"/>
      <c r="E18" s="61"/>
      <c r="F18" s="61"/>
      <c r="G18" s="61"/>
      <c r="H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137" t="s">
        <v>171</v>
      </c>
      <c r="B19" s="61"/>
      <c r="C19" s="61"/>
      <c r="D19" s="61"/>
      <c r="E19" s="61"/>
      <c r="F19" s="61"/>
      <c r="G19" s="61"/>
      <c r="H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7:E8"/>
    <mergeCell ref="F7:F8"/>
    <mergeCell ref="G7:G8"/>
    <mergeCell ref="H7:H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8" t="s">
        <v>126</v>
      </c>
      <c r="B1" s="59" t="s">
        <v>127</v>
      </c>
      <c r="C1" s="60"/>
      <c r="D1" s="60"/>
      <c r="E1" s="60"/>
      <c r="F1" s="60"/>
      <c r="G1" s="60"/>
      <c r="H1" s="60"/>
      <c r="I1" s="60"/>
      <c r="J1" s="60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62" t="s">
        <v>128</v>
      </c>
      <c r="B2" s="63">
        <v>1.0</v>
      </c>
      <c r="C2" s="60"/>
      <c r="D2" s="60"/>
      <c r="E2" s="60"/>
      <c r="F2" s="60"/>
      <c r="G2" s="60"/>
      <c r="H2" s="60"/>
      <c r="I2" s="60"/>
      <c r="J2" s="60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62" t="s">
        <v>22</v>
      </c>
      <c r="B3" s="64" t="s">
        <v>129</v>
      </c>
      <c r="C3" s="60"/>
      <c r="D3" s="60"/>
      <c r="E3" s="60"/>
      <c r="F3" s="60"/>
      <c r="G3" s="60"/>
      <c r="H3" s="60"/>
      <c r="I3" s="60"/>
      <c r="J3" s="60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62" t="s">
        <v>24</v>
      </c>
      <c r="B4" s="65" t="s">
        <v>29</v>
      </c>
      <c r="C4" s="60"/>
      <c r="D4" s="60"/>
      <c r="E4" s="60"/>
      <c r="F4" s="60"/>
      <c r="G4" s="60"/>
      <c r="H4" s="60"/>
      <c r="I4" s="60"/>
      <c r="J4" s="60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60"/>
      <c r="B5" s="65"/>
      <c r="C5" s="60"/>
      <c r="D5" s="60"/>
      <c r="E5" s="60"/>
      <c r="F5" s="60"/>
      <c r="G5" s="60"/>
      <c r="H5" s="60"/>
      <c r="I5" s="60"/>
      <c r="J5" s="6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66" t="s">
        <v>25</v>
      </c>
      <c r="B6" s="67" t="s">
        <v>130</v>
      </c>
      <c r="C6" s="68" t="s">
        <v>131</v>
      </c>
      <c r="D6" s="69" t="s">
        <v>132</v>
      </c>
      <c r="E6" s="69" t="s">
        <v>133</v>
      </c>
      <c r="F6" s="70" t="s">
        <v>134</v>
      </c>
      <c r="G6" s="71"/>
      <c r="H6" s="70" t="s">
        <v>135</v>
      </c>
      <c r="I6" s="71"/>
      <c r="J6" s="72" t="s">
        <v>136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73"/>
      <c r="B7" s="74" t="s">
        <v>137</v>
      </c>
      <c r="C7" s="75">
        <v>5.0</v>
      </c>
      <c r="D7" s="76">
        <v>10.0</v>
      </c>
      <c r="E7" s="76">
        <v>10.0</v>
      </c>
      <c r="F7" s="76">
        <v>25.0</v>
      </c>
      <c r="G7" s="76">
        <v>5.0</v>
      </c>
      <c r="H7" s="76">
        <v>5.0</v>
      </c>
      <c r="I7" s="76">
        <v>15.0</v>
      </c>
      <c r="J7" s="7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77"/>
      <c r="B8" s="74" t="s">
        <v>24</v>
      </c>
      <c r="C8" s="77"/>
      <c r="D8" s="77"/>
      <c r="E8" s="77"/>
      <c r="F8" s="77"/>
      <c r="G8" s="77"/>
      <c r="H8" s="77"/>
      <c r="I8" s="77"/>
      <c r="J8" s="77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78">
        <v>1.0</v>
      </c>
      <c r="B9" s="79" t="s">
        <v>30</v>
      </c>
      <c r="C9" s="60" t="s">
        <v>138</v>
      </c>
      <c r="D9" s="80"/>
      <c r="E9" s="81" t="s">
        <v>138</v>
      </c>
      <c r="F9" s="81"/>
      <c r="G9" s="81"/>
      <c r="H9" s="81"/>
      <c r="I9" s="81"/>
      <c r="J9" s="82">
        <v>15.0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78">
        <v>2.0</v>
      </c>
      <c r="B10" s="83" t="s">
        <v>33</v>
      </c>
      <c r="C10" s="84" t="s">
        <v>138</v>
      </c>
      <c r="D10" s="81"/>
      <c r="E10" s="81" t="s">
        <v>138</v>
      </c>
      <c r="F10" s="81"/>
      <c r="G10" s="81"/>
      <c r="H10" s="81"/>
      <c r="I10" s="81"/>
      <c r="J10" s="82">
        <v>15.0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78">
        <v>3.0</v>
      </c>
      <c r="B11" s="83" t="s">
        <v>34</v>
      </c>
      <c r="C11" s="60" t="s">
        <v>138</v>
      </c>
      <c r="D11" s="80"/>
      <c r="E11" s="81" t="s">
        <v>138</v>
      </c>
      <c r="F11" s="81" t="s">
        <v>138</v>
      </c>
      <c r="G11" s="81" t="s">
        <v>138</v>
      </c>
      <c r="H11" s="81"/>
      <c r="I11" s="81"/>
      <c r="J11" s="82">
        <v>45.0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78">
        <v>4.0</v>
      </c>
      <c r="B12" s="83" t="s">
        <v>35</v>
      </c>
      <c r="C12" s="84" t="s">
        <v>141</v>
      </c>
      <c r="D12" s="81"/>
      <c r="E12" s="81" t="s">
        <v>138</v>
      </c>
      <c r="F12" s="81"/>
      <c r="G12" s="81"/>
      <c r="H12" s="81"/>
      <c r="I12" s="81"/>
      <c r="J12" s="82">
        <v>15.0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78">
        <v>5.0</v>
      </c>
      <c r="B13" s="83" t="s">
        <v>36</v>
      </c>
      <c r="C13" s="80" t="s">
        <v>141</v>
      </c>
      <c r="D13" s="81"/>
      <c r="E13" s="81"/>
      <c r="F13" s="81" t="s">
        <v>138</v>
      </c>
      <c r="G13" s="81"/>
      <c r="H13" s="81"/>
      <c r="I13" s="81"/>
      <c r="J13" s="82">
        <v>30.0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78">
        <v>6.0</v>
      </c>
      <c r="B14" s="86"/>
      <c r="C14" s="80"/>
      <c r="D14" s="81"/>
      <c r="E14" s="81"/>
      <c r="F14" s="81"/>
      <c r="G14" s="81"/>
      <c r="H14" s="81"/>
      <c r="I14" s="81"/>
      <c r="J14" s="82">
        <v>0.0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60"/>
      <c r="B15" s="65"/>
      <c r="C15" s="60"/>
      <c r="D15" s="60"/>
      <c r="E15" s="60"/>
      <c r="F15" s="60"/>
      <c r="G15" s="60"/>
      <c r="H15" s="87" t="s">
        <v>139</v>
      </c>
      <c r="J15" s="88">
        <v>120.0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58" t="s">
        <v>126</v>
      </c>
      <c r="B16" s="59" t="s">
        <v>127</v>
      </c>
      <c r="C16" s="60"/>
      <c r="D16" s="60"/>
      <c r="E16" s="60"/>
      <c r="F16" s="60"/>
      <c r="G16" s="60"/>
      <c r="H16" s="60"/>
      <c r="I16" s="60"/>
      <c r="J16" s="6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62" t="s">
        <v>128</v>
      </c>
      <c r="B17" s="63">
        <v>2.0</v>
      </c>
      <c r="C17" s="60"/>
      <c r="D17" s="60"/>
      <c r="E17" s="60"/>
      <c r="F17" s="60"/>
      <c r="G17" s="60"/>
      <c r="H17" s="60"/>
      <c r="I17" s="60"/>
      <c r="J17" s="6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62" t="s">
        <v>22</v>
      </c>
      <c r="B18" s="64" t="s">
        <v>140</v>
      </c>
      <c r="C18" s="60"/>
      <c r="D18" s="60"/>
      <c r="E18" s="60"/>
      <c r="F18" s="60"/>
      <c r="G18" s="60"/>
      <c r="H18" s="60"/>
      <c r="I18" s="60"/>
      <c r="J18" s="6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62" t="s">
        <v>24</v>
      </c>
      <c r="B19" s="65" t="s">
        <v>37</v>
      </c>
      <c r="C19" s="60"/>
      <c r="D19" s="60"/>
      <c r="E19" s="60"/>
      <c r="F19" s="60"/>
      <c r="G19" s="60"/>
      <c r="H19" s="60"/>
      <c r="I19" s="60"/>
      <c r="J19" s="6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60"/>
      <c r="B20" s="65"/>
      <c r="C20" s="60"/>
      <c r="D20" s="60"/>
      <c r="E20" s="60"/>
      <c r="F20" s="60"/>
      <c r="G20" s="60"/>
      <c r="H20" s="60"/>
      <c r="I20" s="60"/>
      <c r="J20" s="6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66" t="s">
        <v>25</v>
      </c>
      <c r="B21" s="67" t="s">
        <v>130</v>
      </c>
      <c r="C21" s="68" t="s">
        <v>131</v>
      </c>
      <c r="D21" s="69" t="s">
        <v>132</v>
      </c>
      <c r="E21" s="69" t="s">
        <v>133</v>
      </c>
      <c r="F21" s="70" t="s">
        <v>134</v>
      </c>
      <c r="G21" s="71"/>
      <c r="H21" s="70" t="s">
        <v>135</v>
      </c>
      <c r="I21" s="71"/>
      <c r="J21" s="72" t="s">
        <v>136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73"/>
      <c r="B22" s="74" t="s">
        <v>137</v>
      </c>
      <c r="C22" s="75">
        <v>5.0</v>
      </c>
      <c r="D22" s="76">
        <v>10.0</v>
      </c>
      <c r="E22" s="76">
        <v>10.0</v>
      </c>
      <c r="F22" s="76">
        <v>25.0</v>
      </c>
      <c r="G22" s="76">
        <v>10.0</v>
      </c>
      <c r="H22" s="76">
        <v>5.0</v>
      </c>
      <c r="I22" s="76">
        <v>15.0</v>
      </c>
      <c r="J22" s="7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77"/>
      <c r="B23" s="74" t="s">
        <v>24</v>
      </c>
      <c r="C23" s="77"/>
      <c r="D23" s="77"/>
      <c r="E23" s="77"/>
      <c r="F23" s="77"/>
      <c r="G23" s="77"/>
      <c r="H23" s="77"/>
      <c r="I23" s="77"/>
      <c r="J23" s="77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78">
        <v>1.0</v>
      </c>
      <c r="B24" s="91" t="s">
        <v>38</v>
      </c>
      <c r="C24" s="60" t="s">
        <v>141</v>
      </c>
      <c r="D24" s="80"/>
      <c r="E24" s="81"/>
      <c r="F24" s="81"/>
      <c r="G24" s="81" t="s">
        <v>141</v>
      </c>
      <c r="H24" s="81"/>
      <c r="I24" s="81"/>
      <c r="J24" s="82">
        <v>15.0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78">
        <v>2.0</v>
      </c>
      <c r="B25" s="92" t="s">
        <v>39</v>
      </c>
      <c r="C25" s="84" t="s">
        <v>141</v>
      </c>
      <c r="D25" s="81"/>
      <c r="E25" s="81"/>
      <c r="F25" s="81"/>
      <c r="G25" s="81" t="s">
        <v>141</v>
      </c>
      <c r="H25" s="81"/>
      <c r="I25" s="81"/>
      <c r="J25" s="82">
        <v>15.0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78">
        <v>3.0</v>
      </c>
      <c r="B26" s="92" t="s">
        <v>40</v>
      </c>
      <c r="C26" s="60" t="s">
        <v>141</v>
      </c>
      <c r="D26" s="80" t="s">
        <v>141</v>
      </c>
      <c r="E26" s="81"/>
      <c r="F26" s="81" t="s">
        <v>141</v>
      </c>
      <c r="G26" s="81"/>
      <c r="H26" s="81"/>
      <c r="I26" s="81"/>
      <c r="J26" s="82">
        <v>40.0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78">
        <v>4.0</v>
      </c>
      <c r="B27" s="92" t="s">
        <v>41</v>
      </c>
      <c r="C27" s="84" t="s">
        <v>141</v>
      </c>
      <c r="D27" s="81"/>
      <c r="E27" s="81"/>
      <c r="F27" s="81"/>
      <c r="G27" s="81" t="s">
        <v>141</v>
      </c>
      <c r="H27" s="81"/>
      <c r="I27" s="81"/>
      <c r="J27" s="82">
        <v>15.0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78">
        <v>5.0</v>
      </c>
      <c r="B28" s="92" t="s">
        <v>43</v>
      </c>
      <c r="C28" s="80" t="s">
        <v>141</v>
      </c>
      <c r="D28" s="81"/>
      <c r="E28" s="81"/>
      <c r="F28" s="81" t="s">
        <v>141</v>
      </c>
      <c r="G28" s="81"/>
      <c r="H28" s="81" t="s">
        <v>141</v>
      </c>
      <c r="I28" s="81"/>
      <c r="J28" s="82">
        <v>35.0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78">
        <v>6.0</v>
      </c>
      <c r="B29" s="86"/>
      <c r="C29" s="80"/>
      <c r="D29" s="81"/>
      <c r="E29" s="81"/>
      <c r="F29" s="81"/>
      <c r="G29" s="81"/>
      <c r="H29" s="81"/>
      <c r="I29" s="81"/>
      <c r="J29" s="82">
        <v>0.0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60"/>
      <c r="B30" s="65"/>
      <c r="C30" s="60"/>
      <c r="D30" s="60"/>
      <c r="E30" s="60"/>
      <c r="F30" s="60"/>
      <c r="G30" s="60"/>
      <c r="H30" s="87" t="s">
        <v>139</v>
      </c>
      <c r="J30" s="88">
        <v>120.0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58" t="s">
        <v>126</v>
      </c>
      <c r="B32" s="59" t="s">
        <v>127</v>
      </c>
      <c r="C32" s="60"/>
      <c r="D32" s="60"/>
      <c r="E32" s="60"/>
      <c r="F32" s="60"/>
      <c r="G32" s="60"/>
      <c r="H32" s="60"/>
      <c r="I32" s="60"/>
      <c r="J32" s="6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62" t="s">
        <v>128</v>
      </c>
      <c r="B33" s="63">
        <v>3.0</v>
      </c>
      <c r="C33" s="60"/>
      <c r="D33" s="60"/>
      <c r="E33" s="60"/>
      <c r="F33" s="60"/>
      <c r="G33" s="60"/>
      <c r="H33" s="60"/>
      <c r="I33" s="60"/>
      <c r="J33" s="60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62" t="s">
        <v>22</v>
      </c>
      <c r="B34" s="138" t="s">
        <v>172</v>
      </c>
      <c r="C34" s="60"/>
      <c r="D34" s="60"/>
      <c r="E34" s="60"/>
      <c r="F34" s="60"/>
      <c r="G34" s="60"/>
      <c r="H34" s="60"/>
      <c r="I34" s="60"/>
      <c r="J34" s="60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62" t="s">
        <v>24</v>
      </c>
      <c r="B35" s="65" t="s">
        <v>173</v>
      </c>
      <c r="C35" s="60"/>
      <c r="D35" s="60"/>
      <c r="E35" s="60"/>
      <c r="F35" s="60"/>
      <c r="G35" s="60"/>
      <c r="H35" s="60"/>
      <c r="I35" s="60"/>
      <c r="J35" s="60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60"/>
      <c r="B36" s="65"/>
      <c r="C36" s="60"/>
      <c r="D36" s="60"/>
      <c r="E36" s="60"/>
      <c r="F36" s="60"/>
      <c r="G36" s="60"/>
      <c r="H36" s="60"/>
      <c r="I36" s="60"/>
      <c r="J36" s="60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66" t="s">
        <v>25</v>
      </c>
      <c r="B37" s="67" t="s">
        <v>130</v>
      </c>
      <c r="C37" s="68" t="s">
        <v>131</v>
      </c>
      <c r="D37" s="69" t="s">
        <v>132</v>
      </c>
      <c r="E37" s="69" t="s">
        <v>133</v>
      </c>
      <c r="F37" s="70" t="s">
        <v>134</v>
      </c>
      <c r="G37" s="71"/>
      <c r="H37" s="70" t="s">
        <v>135</v>
      </c>
      <c r="I37" s="71"/>
      <c r="J37" s="72" t="s">
        <v>136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73"/>
      <c r="B38" s="74" t="s">
        <v>137</v>
      </c>
      <c r="C38" s="75">
        <v>7.5</v>
      </c>
      <c r="D38" s="76">
        <v>10.0</v>
      </c>
      <c r="E38" s="76">
        <v>10.0</v>
      </c>
      <c r="F38" s="76">
        <v>25.0</v>
      </c>
      <c r="G38" s="76">
        <v>10.0</v>
      </c>
      <c r="H38" s="76">
        <v>5.0</v>
      </c>
      <c r="I38" s="76">
        <v>15.0</v>
      </c>
      <c r="J38" s="7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77"/>
      <c r="B39" s="74" t="s">
        <v>24</v>
      </c>
      <c r="C39" s="77"/>
      <c r="D39" s="77"/>
      <c r="E39" s="77"/>
      <c r="F39" s="77"/>
      <c r="G39" s="77"/>
      <c r="H39" s="77"/>
      <c r="I39" s="77"/>
      <c r="J39" s="77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78">
        <v>1.0</v>
      </c>
      <c r="B40" s="79" t="s">
        <v>50</v>
      </c>
      <c r="C40" s="60" t="s">
        <v>141</v>
      </c>
      <c r="D40" s="80"/>
      <c r="E40" s="81"/>
      <c r="F40" s="81"/>
      <c r="G40" s="81" t="s">
        <v>141</v>
      </c>
      <c r="H40" s="81" t="s">
        <v>141</v>
      </c>
      <c r="I40" s="81"/>
      <c r="J40" s="82">
        <v>22.5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78">
        <v>2.0</v>
      </c>
      <c r="B41" s="83" t="s">
        <v>51</v>
      </c>
      <c r="C41" s="84" t="s">
        <v>141</v>
      </c>
      <c r="D41" s="81"/>
      <c r="E41" s="81"/>
      <c r="F41" s="81"/>
      <c r="G41" s="81" t="s">
        <v>141</v>
      </c>
      <c r="H41" s="81"/>
      <c r="I41" s="81"/>
      <c r="J41" s="82">
        <v>17.5</v>
      </c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78">
        <v>3.0</v>
      </c>
      <c r="B42" s="83" t="s">
        <v>52</v>
      </c>
      <c r="C42" s="60" t="s">
        <v>141</v>
      </c>
      <c r="D42" s="80"/>
      <c r="E42" s="81"/>
      <c r="F42" s="81" t="s">
        <v>141</v>
      </c>
      <c r="G42" s="81"/>
      <c r="H42" s="81"/>
      <c r="I42" s="81"/>
      <c r="J42" s="82">
        <v>32.5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78">
        <v>4.0</v>
      </c>
      <c r="B43" s="83" t="s">
        <v>53</v>
      </c>
      <c r="C43" s="84" t="s">
        <v>141</v>
      </c>
      <c r="D43" s="81"/>
      <c r="E43" s="81"/>
      <c r="F43" s="81" t="s">
        <v>141</v>
      </c>
      <c r="G43" s="81"/>
      <c r="H43" s="81"/>
      <c r="I43" s="81" t="s">
        <v>141</v>
      </c>
      <c r="J43" s="82">
        <v>47.5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78">
        <v>5.0</v>
      </c>
      <c r="B44" s="92"/>
      <c r="C44" s="80"/>
      <c r="D44" s="81"/>
      <c r="E44" s="81"/>
      <c r="F44" s="81"/>
      <c r="G44" s="81"/>
      <c r="H44" s="81"/>
      <c r="I44" s="81"/>
      <c r="J44" s="82">
        <v>0.0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78">
        <v>6.0</v>
      </c>
      <c r="B45" s="86"/>
      <c r="C45" s="80"/>
      <c r="D45" s="81"/>
      <c r="E45" s="81"/>
      <c r="F45" s="81"/>
      <c r="G45" s="81"/>
      <c r="H45" s="81"/>
      <c r="I45" s="81"/>
      <c r="J45" s="82">
        <v>0.0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60"/>
      <c r="B46" s="65"/>
      <c r="C46" s="60"/>
      <c r="D46" s="60"/>
      <c r="E46" s="60"/>
      <c r="F46" s="60"/>
      <c r="G46" s="60"/>
      <c r="H46" s="87" t="s">
        <v>139</v>
      </c>
      <c r="J46" s="88">
        <v>120.0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58" t="s">
        <v>126</v>
      </c>
      <c r="B48" s="139" t="s">
        <v>150</v>
      </c>
      <c r="C48" s="60"/>
      <c r="D48" s="60"/>
      <c r="E48" s="60"/>
      <c r="F48" s="60"/>
      <c r="G48" s="60"/>
      <c r="H48" s="60"/>
      <c r="I48" s="60"/>
      <c r="J48" s="60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62" t="s">
        <v>128</v>
      </c>
      <c r="B49" s="140">
        <v>6.0</v>
      </c>
      <c r="C49" s="60"/>
      <c r="D49" s="60"/>
      <c r="E49" s="60"/>
      <c r="F49" s="60"/>
      <c r="G49" s="60"/>
      <c r="H49" s="60"/>
      <c r="I49" s="60"/>
      <c r="J49" s="60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62" t="s">
        <v>22</v>
      </c>
      <c r="B50" s="138" t="s">
        <v>174</v>
      </c>
      <c r="C50" s="60"/>
      <c r="D50" s="60"/>
      <c r="E50" s="60"/>
      <c r="F50" s="60"/>
      <c r="G50" s="60"/>
      <c r="H50" s="60"/>
      <c r="I50" s="60"/>
      <c r="J50" s="60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62" t="s">
        <v>24</v>
      </c>
      <c r="B51" s="65" t="s">
        <v>173</v>
      </c>
      <c r="C51" s="60"/>
      <c r="D51" s="60"/>
      <c r="E51" s="60"/>
      <c r="F51" s="60"/>
      <c r="G51" s="60"/>
      <c r="H51" s="60"/>
      <c r="I51" s="60"/>
      <c r="J51" s="60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60"/>
      <c r="B52" s="65"/>
      <c r="C52" s="60"/>
      <c r="D52" s="60"/>
      <c r="E52" s="60"/>
      <c r="F52" s="60"/>
      <c r="G52" s="60"/>
      <c r="H52" s="60"/>
      <c r="I52" s="60"/>
      <c r="J52" s="60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66" t="s">
        <v>25</v>
      </c>
      <c r="B53" s="67" t="s">
        <v>130</v>
      </c>
      <c r="C53" s="68" t="s">
        <v>131</v>
      </c>
      <c r="D53" s="69" t="s">
        <v>132</v>
      </c>
      <c r="E53" s="69" t="s">
        <v>133</v>
      </c>
      <c r="F53" s="70" t="s">
        <v>134</v>
      </c>
      <c r="G53" s="71"/>
      <c r="H53" s="70" t="s">
        <v>135</v>
      </c>
      <c r="I53" s="71"/>
      <c r="J53" s="72" t="s">
        <v>136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73"/>
      <c r="B54" s="74" t="s">
        <v>137</v>
      </c>
      <c r="C54" s="75">
        <v>7.5</v>
      </c>
      <c r="D54" s="76">
        <v>10.0</v>
      </c>
      <c r="E54" s="76">
        <v>10.0</v>
      </c>
      <c r="F54" s="76">
        <v>25.0</v>
      </c>
      <c r="G54" s="76">
        <v>10.0</v>
      </c>
      <c r="H54" s="76">
        <v>5.0</v>
      </c>
      <c r="I54" s="76">
        <v>15.0</v>
      </c>
      <c r="J54" s="7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77"/>
      <c r="B55" s="74" t="s">
        <v>24</v>
      </c>
      <c r="C55" s="77"/>
      <c r="D55" s="77"/>
      <c r="E55" s="77"/>
      <c r="F55" s="77"/>
      <c r="G55" s="77"/>
      <c r="H55" s="77"/>
      <c r="I55" s="77"/>
      <c r="J55" s="77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78">
        <v>1.0</v>
      </c>
      <c r="B56" s="91" t="s">
        <v>62</v>
      </c>
      <c r="C56" s="60" t="s">
        <v>141</v>
      </c>
      <c r="D56" s="80"/>
      <c r="E56" s="81"/>
      <c r="F56" s="81"/>
      <c r="G56" s="81" t="s">
        <v>141</v>
      </c>
      <c r="H56" s="81"/>
      <c r="I56" s="81"/>
      <c r="J56" s="82">
        <v>17.5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78">
        <v>2.0</v>
      </c>
      <c r="B57" s="92" t="s">
        <v>63</v>
      </c>
      <c r="C57" s="84" t="s">
        <v>141</v>
      </c>
      <c r="D57" s="81"/>
      <c r="E57" s="81"/>
      <c r="F57" s="81" t="s">
        <v>141</v>
      </c>
      <c r="G57" s="81"/>
      <c r="H57" s="81"/>
      <c r="I57" s="81"/>
      <c r="J57" s="82">
        <v>32.5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78">
        <v>3.0</v>
      </c>
      <c r="B58" s="92" t="s">
        <v>64</v>
      </c>
      <c r="C58" s="60" t="s">
        <v>141</v>
      </c>
      <c r="D58" s="80"/>
      <c r="E58" s="81"/>
      <c r="F58" s="81" t="s">
        <v>141</v>
      </c>
      <c r="G58" s="81"/>
      <c r="H58" s="81"/>
      <c r="I58" s="81"/>
      <c r="J58" s="82">
        <v>32.5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78">
        <v>4.0</v>
      </c>
      <c r="B59" s="92" t="s">
        <v>65</v>
      </c>
      <c r="C59" s="84" t="s">
        <v>141</v>
      </c>
      <c r="D59" s="81"/>
      <c r="E59" s="81"/>
      <c r="F59" s="81" t="s">
        <v>141</v>
      </c>
      <c r="G59" s="81"/>
      <c r="H59" s="81" t="s">
        <v>141</v>
      </c>
      <c r="I59" s="81"/>
      <c r="J59" s="82">
        <v>37.5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78">
        <v>5.0</v>
      </c>
      <c r="B60" s="92"/>
      <c r="C60" s="80"/>
      <c r="D60" s="81"/>
      <c r="E60" s="81"/>
      <c r="F60" s="81"/>
      <c r="G60" s="81"/>
      <c r="H60" s="81"/>
      <c r="I60" s="81"/>
      <c r="J60" s="82">
        <v>0.0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78">
        <v>6.0</v>
      </c>
      <c r="B61" s="141"/>
      <c r="C61" s="80"/>
      <c r="D61" s="81"/>
      <c r="E61" s="81"/>
      <c r="F61" s="81"/>
      <c r="G61" s="81"/>
      <c r="H61" s="81"/>
      <c r="I61" s="81"/>
      <c r="J61" s="82">
        <v>0.0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60"/>
      <c r="B62" s="65"/>
      <c r="C62" s="60"/>
      <c r="D62" s="60"/>
      <c r="E62" s="60"/>
      <c r="F62" s="60"/>
      <c r="G62" s="60"/>
      <c r="H62" s="87" t="s">
        <v>139</v>
      </c>
      <c r="J62" s="88">
        <v>120.0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58" t="s">
        <v>126</v>
      </c>
      <c r="B63" s="59" t="s">
        <v>150</v>
      </c>
      <c r="C63" s="89"/>
      <c r="D63" s="89"/>
      <c r="E63" s="89"/>
      <c r="F63" s="89"/>
      <c r="G63" s="89"/>
      <c r="H63" s="89"/>
      <c r="I63" s="89"/>
      <c r="J63" s="89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62" t="s">
        <v>128</v>
      </c>
      <c r="B64" s="63">
        <v>5.0</v>
      </c>
      <c r="C64" s="89"/>
      <c r="D64" s="89"/>
      <c r="E64" s="89"/>
      <c r="F64" s="89"/>
      <c r="G64" s="89"/>
      <c r="H64" s="89"/>
      <c r="I64" s="89"/>
      <c r="J64" s="89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62" t="s">
        <v>22</v>
      </c>
      <c r="B65" s="138" t="s">
        <v>55</v>
      </c>
      <c r="C65" s="89"/>
      <c r="D65" s="89"/>
      <c r="E65" s="89"/>
      <c r="F65" s="89"/>
      <c r="G65" s="89"/>
      <c r="H65" s="89"/>
      <c r="I65" s="89"/>
      <c r="J65" s="89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62" t="s">
        <v>24</v>
      </c>
      <c r="B66" s="65" t="s">
        <v>175</v>
      </c>
      <c r="C66" s="89"/>
      <c r="D66" s="89"/>
      <c r="E66" s="89"/>
      <c r="F66" s="89"/>
      <c r="G66" s="89"/>
      <c r="H66" s="89"/>
      <c r="I66" s="89"/>
      <c r="J66" s="89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89"/>
      <c r="B67" s="90"/>
      <c r="C67" s="89"/>
      <c r="D67" s="142"/>
      <c r="E67" s="89"/>
      <c r="F67" s="89"/>
      <c r="G67" s="89"/>
      <c r="H67" s="89"/>
      <c r="I67" s="89"/>
      <c r="J67" s="89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66" t="s">
        <v>25</v>
      </c>
      <c r="B68" s="67" t="s">
        <v>130</v>
      </c>
      <c r="C68" s="68" t="s">
        <v>131</v>
      </c>
      <c r="D68" s="69" t="s">
        <v>132</v>
      </c>
      <c r="E68" s="69" t="s">
        <v>133</v>
      </c>
      <c r="F68" s="70" t="s">
        <v>134</v>
      </c>
      <c r="G68" s="71"/>
      <c r="H68" s="70" t="s">
        <v>135</v>
      </c>
      <c r="I68" s="71"/>
      <c r="J68" s="72" t="s">
        <v>136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73"/>
      <c r="B69" s="74" t="s">
        <v>137</v>
      </c>
      <c r="C69" s="75">
        <v>7.5</v>
      </c>
      <c r="D69" s="76">
        <v>10.0</v>
      </c>
      <c r="E69" s="76">
        <v>10.0</v>
      </c>
      <c r="F69" s="76">
        <v>30.0</v>
      </c>
      <c r="G69" s="76">
        <v>10.0</v>
      </c>
      <c r="H69" s="76">
        <v>5.0</v>
      </c>
      <c r="I69" s="76">
        <v>15.0</v>
      </c>
      <c r="J69" s="7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77"/>
      <c r="B70" s="74" t="s">
        <v>24</v>
      </c>
      <c r="C70" s="77"/>
      <c r="D70" s="77"/>
      <c r="E70" s="77"/>
      <c r="F70" s="77"/>
      <c r="G70" s="77"/>
      <c r="H70" s="77"/>
      <c r="I70" s="77"/>
      <c r="J70" s="77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78">
        <v>1.0</v>
      </c>
      <c r="B71" s="79" t="s">
        <v>56</v>
      </c>
      <c r="C71" s="60" t="s">
        <v>141</v>
      </c>
      <c r="D71" s="80" t="s">
        <v>141</v>
      </c>
      <c r="E71" s="81"/>
      <c r="F71" s="81" t="s">
        <v>141</v>
      </c>
      <c r="G71" s="81"/>
      <c r="H71" s="81"/>
      <c r="I71" s="81"/>
      <c r="J71" s="82">
        <v>47.5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78">
        <v>2.0</v>
      </c>
      <c r="B72" s="83" t="s">
        <v>57</v>
      </c>
      <c r="C72" s="84" t="s">
        <v>141</v>
      </c>
      <c r="D72" s="81"/>
      <c r="E72" s="81"/>
      <c r="F72" s="81"/>
      <c r="G72" s="81" t="s">
        <v>141</v>
      </c>
      <c r="H72" s="81"/>
      <c r="I72" s="81"/>
      <c r="J72" s="82">
        <v>17.5</v>
      </c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78">
        <v>3.0</v>
      </c>
      <c r="B73" s="83" t="s">
        <v>58</v>
      </c>
      <c r="C73" s="60" t="s">
        <v>141</v>
      </c>
      <c r="D73" s="80"/>
      <c r="E73" s="81"/>
      <c r="F73" s="81"/>
      <c r="G73" s="81" t="s">
        <v>141</v>
      </c>
      <c r="H73" s="81"/>
      <c r="I73" s="81"/>
      <c r="J73" s="82">
        <v>17.5</v>
      </c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78">
        <v>4.0</v>
      </c>
      <c r="B74" s="83" t="s">
        <v>59</v>
      </c>
      <c r="C74" s="84" t="s">
        <v>141</v>
      </c>
      <c r="D74" s="81"/>
      <c r="E74" s="81"/>
      <c r="F74" s="81" t="s">
        <v>141</v>
      </c>
      <c r="G74" s="81"/>
      <c r="H74" s="81"/>
      <c r="I74" s="81"/>
      <c r="J74" s="82">
        <v>37.5</v>
      </c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78">
        <v>5.0</v>
      </c>
      <c r="B75" s="92"/>
      <c r="C75" s="80"/>
      <c r="D75" s="81"/>
      <c r="E75" s="81"/>
      <c r="F75" s="81"/>
      <c r="G75" s="81"/>
      <c r="H75" s="81"/>
      <c r="I75" s="81"/>
      <c r="J75" s="82">
        <v>0.0</v>
      </c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78">
        <v>6.0</v>
      </c>
      <c r="B76" s="141"/>
      <c r="C76" s="80"/>
      <c r="D76" s="81"/>
      <c r="E76" s="81"/>
      <c r="F76" s="81"/>
      <c r="G76" s="81"/>
      <c r="H76" s="81"/>
      <c r="I76" s="81"/>
      <c r="J76" s="82">
        <v>0.0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89"/>
      <c r="B77" s="90"/>
      <c r="C77" s="60"/>
      <c r="D77" s="60"/>
      <c r="E77" s="60"/>
      <c r="F77" s="60"/>
      <c r="G77" s="60"/>
      <c r="H77" s="87" t="s">
        <v>139</v>
      </c>
      <c r="J77" s="88">
        <v>120.0</v>
      </c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60">
    <mergeCell ref="F54:F55"/>
    <mergeCell ref="G54:G55"/>
    <mergeCell ref="F38:F39"/>
    <mergeCell ref="G38:G39"/>
    <mergeCell ref="A53:A55"/>
    <mergeCell ref="F53:G53"/>
    <mergeCell ref="C54:C55"/>
    <mergeCell ref="D54:D55"/>
    <mergeCell ref="E54:E55"/>
    <mergeCell ref="H69:H70"/>
    <mergeCell ref="I69:I70"/>
    <mergeCell ref="A68:A70"/>
    <mergeCell ref="F68:G68"/>
    <mergeCell ref="H68:I68"/>
    <mergeCell ref="J68:J70"/>
    <mergeCell ref="C69:C70"/>
    <mergeCell ref="D69:D70"/>
    <mergeCell ref="E69:E70"/>
    <mergeCell ref="H7:H8"/>
    <mergeCell ref="I7:I8"/>
    <mergeCell ref="H15:I15"/>
    <mergeCell ref="H21:I21"/>
    <mergeCell ref="J21:J23"/>
    <mergeCell ref="H22:H23"/>
    <mergeCell ref="I22:I23"/>
    <mergeCell ref="H30:I30"/>
    <mergeCell ref="A6:A8"/>
    <mergeCell ref="F6:G6"/>
    <mergeCell ref="H6:I6"/>
    <mergeCell ref="J6:J8"/>
    <mergeCell ref="C7:C8"/>
    <mergeCell ref="D7:D8"/>
    <mergeCell ref="E7:E8"/>
    <mergeCell ref="F22:F23"/>
    <mergeCell ref="G22:G23"/>
    <mergeCell ref="F7:F8"/>
    <mergeCell ref="G7:G8"/>
    <mergeCell ref="A21:A23"/>
    <mergeCell ref="F21:G21"/>
    <mergeCell ref="C22:C23"/>
    <mergeCell ref="D22:D23"/>
    <mergeCell ref="E22:E23"/>
    <mergeCell ref="H38:H39"/>
    <mergeCell ref="I38:I39"/>
    <mergeCell ref="H46:I46"/>
    <mergeCell ref="H53:I53"/>
    <mergeCell ref="J53:J55"/>
    <mergeCell ref="H54:H55"/>
    <mergeCell ref="I54:I55"/>
    <mergeCell ref="H62:I62"/>
    <mergeCell ref="A37:A39"/>
    <mergeCell ref="F37:G37"/>
    <mergeCell ref="H37:I37"/>
    <mergeCell ref="J37:J39"/>
    <mergeCell ref="C38:C39"/>
    <mergeCell ref="D38:D39"/>
    <mergeCell ref="E38:E39"/>
    <mergeCell ref="F69:F70"/>
    <mergeCell ref="G69:G70"/>
    <mergeCell ref="H77:I7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</cols>
  <sheetData>
    <row r="1" ht="15.75" customHeight="1">
      <c r="A1" s="93" t="s">
        <v>126</v>
      </c>
      <c r="B1" s="143" t="s">
        <v>127</v>
      </c>
      <c r="C1" s="95"/>
      <c r="D1" s="95"/>
      <c r="E1" s="95"/>
      <c r="F1" s="95"/>
      <c r="G1" s="95"/>
      <c r="H1" s="95"/>
      <c r="I1" s="95"/>
      <c r="J1" s="95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2" ht="15.75" customHeight="1">
      <c r="A2" s="93" t="s">
        <v>128</v>
      </c>
      <c r="B2" s="144">
        <v>3.0</v>
      </c>
      <c r="C2" s="95"/>
      <c r="D2" s="95"/>
      <c r="E2" s="95"/>
      <c r="F2" s="95"/>
      <c r="G2" s="95"/>
      <c r="H2" s="95"/>
      <c r="I2" s="95"/>
      <c r="J2" s="95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ht="15.75" customHeight="1">
      <c r="A3" s="93" t="s">
        <v>22</v>
      </c>
      <c r="B3" s="61" t="s">
        <v>54</v>
      </c>
      <c r="C3" s="95"/>
      <c r="D3" s="95"/>
      <c r="E3" s="95"/>
      <c r="F3" s="95"/>
      <c r="G3" s="95"/>
      <c r="H3" s="95"/>
      <c r="I3" s="95"/>
      <c r="J3" s="95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ht="15.75" customHeight="1">
      <c r="A4" s="93" t="s">
        <v>24</v>
      </c>
      <c r="B4" s="61" t="s">
        <v>44</v>
      </c>
      <c r="C4" s="95"/>
      <c r="D4" s="95"/>
      <c r="E4" s="95"/>
      <c r="F4" s="95"/>
      <c r="G4" s="95"/>
      <c r="H4" s="95"/>
      <c r="I4" s="95"/>
      <c r="J4" s="95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</row>
    <row r="5" ht="15.75" customHeight="1">
      <c r="A5" s="95"/>
      <c r="B5" s="95"/>
      <c r="C5" s="95"/>
      <c r="D5" s="95"/>
      <c r="E5" s="95"/>
      <c r="F5" s="95"/>
      <c r="G5" s="95"/>
      <c r="H5" s="95"/>
      <c r="I5" s="95"/>
      <c r="J5" s="95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</row>
    <row r="6" ht="15.75" customHeight="1">
      <c r="A6" s="98" t="s">
        <v>25</v>
      </c>
      <c r="B6" s="99" t="s">
        <v>130</v>
      </c>
      <c r="C6" s="100" t="s">
        <v>131</v>
      </c>
      <c r="D6" s="101" t="s">
        <v>132</v>
      </c>
      <c r="E6" s="101" t="s">
        <v>133</v>
      </c>
      <c r="F6" s="102" t="s">
        <v>134</v>
      </c>
      <c r="G6" s="71"/>
      <c r="H6" s="102" t="s">
        <v>135</v>
      </c>
      <c r="I6" s="71"/>
      <c r="J6" s="100" t="s">
        <v>136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</row>
    <row r="7" ht="15.75" customHeight="1">
      <c r="A7" s="73"/>
      <c r="B7" s="99" t="s">
        <v>137</v>
      </c>
      <c r="C7" s="75">
        <v>5.0</v>
      </c>
      <c r="D7" s="76">
        <v>10.0</v>
      </c>
      <c r="E7" s="76">
        <v>10.0</v>
      </c>
      <c r="F7" s="76">
        <v>25.0</v>
      </c>
      <c r="G7" s="76">
        <v>5.0</v>
      </c>
      <c r="H7" s="76">
        <v>5.0</v>
      </c>
      <c r="I7" s="76">
        <v>15.0</v>
      </c>
      <c r="J7" s="73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</row>
    <row r="8" ht="15.75" customHeight="1">
      <c r="A8" s="77"/>
      <c r="B8" s="99" t="s">
        <v>24</v>
      </c>
      <c r="C8" s="77"/>
      <c r="D8" s="77"/>
      <c r="E8" s="77"/>
      <c r="F8" s="77"/>
      <c r="G8" s="77"/>
      <c r="H8" s="77"/>
      <c r="I8" s="77"/>
      <c r="J8" s="77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</row>
    <row r="9" ht="27.0" customHeight="1">
      <c r="A9" s="104">
        <v>1.0</v>
      </c>
      <c r="B9" s="97" t="s">
        <v>151</v>
      </c>
      <c r="C9" s="145" t="s">
        <v>138</v>
      </c>
      <c r="D9" s="146"/>
      <c r="E9" s="146"/>
      <c r="F9" s="145" t="s">
        <v>138</v>
      </c>
      <c r="G9" s="145" t="s">
        <v>138</v>
      </c>
      <c r="H9" s="146"/>
      <c r="I9" s="147"/>
      <c r="J9" s="146">
        <v>35.0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</row>
    <row r="10" ht="15.75" customHeight="1">
      <c r="A10" s="107">
        <v>2.0</v>
      </c>
      <c r="B10" s="108" t="s">
        <v>152</v>
      </c>
      <c r="C10" s="148" t="s">
        <v>138</v>
      </c>
      <c r="D10" s="149"/>
      <c r="E10" s="148"/>
      <c r="F10" s="149" t="s">
        <v>141</v>
      </c>
      <c r="G10" s="145" t="s">
        <v>138</v>
      </c>
      <c r="H10" s="148"/>
      <c r="I10" s="148"/>
      <c r="J10" s="146">
        <v>35.0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</row>
    <row r="11" ht="15.75" customHeight="1">
      <c r="A11" s="107">
        <v>3.0</v>
      </c>
      <c r="B11" s="97" t="s">
        <v>47</v>
      </c>
      <c r="C11" s="145" t="s">
        <v>138</v>
      </c>
      <c r="D11" s="149"/>
      <c r="E11" s="149" t="s">
        <v>141</v>
      </c>
      <c r="F11" s="148"/>
      <c r="G11" s="148"/>
      <c r="H11" s="149" t="s">
        <v>141</v>
      </c>
      <c r="I11" s="148"/>
      <c r="J11" s="146">
        <v>25.0</v>
      </c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</row>
    <row r="12" ht="15.75" customHeight="1">
      <c r="A12" s="107">
        <v>4.0</v>
      </c>
      <c r="B12" s="108" t="s">
        <v>153</v>
      </c>
      <c r="C12" s="148" t="s">
        <v>138</v>
      </c>
      <c r="D12" s="149" t="s">
        <v>141</v>
      </c>
      <c r="E12" s="145" t="s">
        <v>138</v>
      </c>
      <c r="F12" s="149"/>
      <c r="G12" s="148"/>
      <c r="H12" s="148"/>
      <c r="I12" s="148"/>
      <c r="J12" s="146">
        <v>25.0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</row>
    <row r="13" ht="15.75" customHeight="1">
      <c r="A13" s="107">
        <v>5.0</v>
      </c>
      <c r="B13" s="108"/>
      <c r="C13" s="109"/>
      <c r="D13" s="109"/>
      <c r="E13" s="110"/>
      <c r="F13" s="110"/>
      <c r="G13" s="109"/>
      <c r="H13" s="109"/>
      <c r="I13" s="109"/>
      <c r="J13" s="104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</row>
    <row r="14" ht="15.75" customHeight="1">
      <c r="A14" s="107">
        <v>6.0</v>
      </c>
      <c r="B14" s="108"/>
      <c r="C14" s="109"/>
      <c r="D14" s="109"/>
      <c r="E14" s="109"/>
      <c r="F14" s="109"/>
      <c r="G14" s="110"/>
      <c r="H14" s="109"/>
      <c r="I14" s="110"/>
      <c r="J14" s="104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</row>
    <row r="15" ht="15.75" customHeight="1">
      <c r="A15" s="95"/>
      <c r="B15" s="95"/>
      <c r="C15" s="95"/>
      <c r="D15" s="95"/>
      <c r="E15" s="95"/>
      <c r="F15" s="95"/>
      <c r="G15" s="95"/>
      <c r="H15" s="111" t="s">
        <v>139</v>
      </c>
      <c r="J15" s="112">
        <f>SUM(J7:J14)</f>
        <v>120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</row>
    <row r="16" ht="15.75" customHeight="1">
      <c r="A16" s="61"/>
      <c r="B16" s="85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</row>
    <row r="17" ht="15.75" customHeight="1">
      <c r="A17" s="61"/>
      <c r="B17" s="85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</row>
    <row r="18" ht="15.75" customHeight="1">
      <c r="A18" s="61"/>
      <c r="B18" s="85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</row>
    <row r="19" ht="15.75" customHeight="1">
      <c r="A19" s="61"/>
      <c r="B19" s="85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</row>
    <row r="20" ht="15.75" customHeight="1">
      <c r="A20" s="61"/>
      <c r="B20" s="85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</row>
    <row r="21" ht="15.75" customHeight="1">
      <c r="A21" s="93" t="s">
        <v>126</v>
      </c>
      <c r="B21" s="94" t="s">
        <v>150</v>
      </c>
      <c r="C21" s="95"/>
      <c r="D21" s="95"/>
      <c r="E21" s="95"/>
      <c r="F21" s="95"/>
      <c r="G21" s="95"/>
      <c r="H21" s="95"/>
      <c r="I21" s="95"/>
      <c r="J21" s="95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</row>
    <row r="22" ht="15.75" customHeight="1">
      <c r="A22" s="93" t="s">
        <v>128</v>
      </c>
      <c r="B22" s="96">
        <v>7.0</v>
      </c>
      <c r="C22" s="95"/>
      <c r="D22" s="95"/>
      <c r="E22" s="95"/>
      <c r="F22" s="95"/>
      <c r="G22" s="95"/>
      <c r="H22" s="95"/>
      <c r="I22" s="95"/>
      <c r="J22" s="95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</row>
    <row r="23" ht="15.75" customHeight="1">
      <c r="A23" s="93" t="s">
        <v>22</v>
      </c>
      <c r="B23" s="61" t="s">
        <v>54</v>
      </c>
      <c r="C23" s="95"/>
      <c r="D23" s="95"/>
      <c r="E23" s="95"/>
      <c r="F23" s="95"/>
      <c r="G23" s="95"/>
      <c r="H23" s="95"/>
      <c r="I23" s="95"/>
      <c r="J23" s="95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</row>
    <row r="24" ht="15.75" customHeight="1">
      <c r="A24" s="93" t="s">
        <v>24</v>
      </c>
      <c r="B24" s="61" t="s">
        <v>66</v>
      </c>
      <c r="C24" s="95"/>
      <c r="D24" s="95"/>
      <c r="E24" s="95"/>
      <c r="F24" s="95"/>
      <c r="G24" s="95"/>
      <c r="H24" s="95"/>
      <c r="I24" s="95"/>
      <c r="J24" s="95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 ht="15.75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</row>
    <row r="26" ht="15.75" customHeight="1">
      <c r="A26" s="98" t="s">
        <v>25</v>
      </c>
      <c r="B26" s="99" t="s">
        <v>130</v>
      </c>
      <c r="C26" s="100" t="s">
        <v>131</v>
      </c>
      <c r="D26" s="101" t="s">
        <v>132</v>
      </c>
      <c r="E26" s="101" t="s">
        <v>133</v>
      </c>
      <c r="F26" s="102" t="s">
        <v>134</v>
      </c>
      <c r="G26" s="71"/>
      <c r="H26" s="102" t="s">
        <v>135</v>
      </c>
      <c r="I26" s="71"/>
      <c r="J26" s="100" t="s">
        <v>136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 ht="15.75" customHeight="1">
      <c r="A27" s="73"/>
      <c r="B27" s="99" t="s">
        <v>137</v>
      </c>
      <c r="C27" s="75">
        <v>5.0</v>
      </c>
      <c r="D27" s="76">
        <v>10.0</v>
      </c>
      <c r="E27" s="76">
        <v>10.0</v>
      </c>
      <c r="F27" s="76">
        <v>25.0</v>
      </c>
      <c r="G27" s="76">
        <v>5.0</v>
      </c>
      <c r="H27" s="76">
        <v>5.0</v>
      </c>
      <c r="I27" s="76">
        <v>15.0</v>
      </c>
      <c r="J27" s="73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 ht="15.75" customHeight="1">
      <c r="A28" s="77"/>
      <c r="B28" s="99" t="s">
        <v>24</v>
      </c>
      <c r="C28" s="77"/>
      <c r="D28" s="77"/>
      <c r="E28" s="77"/>
      <c r="F28" s="77"/>
      <c r="G28" s="77"/>
      <c r="H28" s="77"/>
      <c r="I28" s="77"/>
      <c r="J28" s="77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 ht="15.75" customHeight="1">
      <c r="A29" s="104">
        <v>1.0</v>
      </c>
      <c r="B29" s="97" t="s">
        <v>154</v>
      </c>
      <c r="C29" s="145" t="s">
        <v>138</v>
      </c>
      <c r="D29" s="105"/>
      <c r="E29" s="148" t="s">
        <v>138</v>
      </c>
      <c r="F29" s="106"/>
      <c r="G29" s="148" t="s">
        <v>138</v>
      </c>
      <c r="H29" s="148" t="s">
        <v>138</v>
      </c>
      <c r="I29" s="106"/>
      <c r="J29" s="104">
        <v>25.0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</row>
    <row r="30" ht="15.75" customHeight="1">
      <c r="A30" s="107">
        <v>2.0</v>
      </c>
      <c r="B30" s="108" t="s">
        <v>68</v>
      </c>
      <c r="C30" s="148" t="s">
        <v>138</v>
      </c>
      <c r="D30" s="110"/>
      <c r="E30" s="148" t="s">
        <v>138</v>
      </c>
      <c r="F30" s="110"/>
      <c r="G30" s="148" t="s">
        <v>138</v>
      </c>
      <c r="H30" s="148" t="s">
        <v>138</v>
      </c>
      <c r="I30" s="109"/>
      <c r="J30" s="104">
        <v>25.0</v>
      </c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 ht="15.75" customHeight="1">
      <c r="A31" s="107">
        <v>3.0</v>
      </c>
      <c r="B31" s="97" t="s">
        <v>69</v>
      </c>
      <c r="C31" s="145" t="s">
        <v>138</v>
      </c>
      <c r="D31" s="148" t="s">
        <v>138</v>
      </c>
      <c r="E31" s="148" t="s">
        <v>138</v>
      </c>
      <c r="F31" s="148"/>
      <c r="G31" s="148"/>
      <c r="H31" s="148" t="s">
        <v>138</v>
      </c>
      <c r="I31" s="109"/>
      <c r="J31" s="104">
        <v>30.0</v>
      </c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</row>
    <row r="32" ht="15.75" customHeight="1">
      <c r="A32" s="107">
        <v>4.0</v>
      </c>
      <c r="B32" s="108" t="s">
        <v>155</v>
      </c>
      <c r="C32" s="148" t="s">
        <v>138</v>
      </c>
      <c r="D32" s="110"/>
      <c r="E32" s="109"/>
      <c r="F32" s="148" t="s">
        <v>138</v>
      </c>
      <c r="G32" s="148" t="s">
        <v>138</v>
      </c>
      <c r="H32" s="148" t="s">
        <v>138</v>
      </c>
      <c r="I32" s="109"/>
      <c r="J32" s="104">
        <v>40.0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 ht="15.75" customHeight="1">
      <c r="A33" s="107">
        <v>5.0</v>
      </c>
      <c r="B33" s="108"/>
      <c r="C33" s="109"/>
      <c r="D33" s="109"/>
      <c r="E33" s="110"/>
      <c r="F33" s="110"/>
      <c r="G33" s="109"/>
      <c r="H33" s="109"/>
      <c r="I33" s="109"/>
      <c r="J33" s="104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</row>
    <row r="34" ht="15.75" customHeight="1">
      <c r="A34" s="107">
        <v>6.0</v>
      </c>
      <c r="B34" s="108"/>
      <c r="C34" s="109"/>
      <c r="D34" s="109"/>
      <c r="E34" s="109"/>
      <c r="F34" s="109"/>
      <c r="G34" s="110"/>
      <c r="H34" s="109"/>
      <c r="I34" s="110"/>
      <c r="J34" s="104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 ht="15.75" customHeight="1">
      <c r="A35" s="95"/>
      <c r="B35" s="95"/>
      <c r="C35" s="95"/>
      <c r="D35" s="95"/>
      <c r="E35" s="95"/>
      <c r="F35" s="95"/>
      <c r="G35" s="95"/>
      <c r="H35" s="111" t="s">
        <v>139</v>
      </c>
      <c r="J35" s="112">
        <f>SUM(J27:J34)</f>
        <v>120</v>
      </c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</row>
    <row r="36" ht="15.75" customHeight="1">
      <c r="A36" s="61"/>
      <c r="B36" s="85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 ht="15.75" customHeight="1">
      <c r="A37" s="61"/>
      <c r="B37" s="85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</row>
    <row r="38" ht="15.75" customHeight="1">
      <c r="A38" s="61"/>
      <c r="B38" s="85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 ht="15.75" customHeight="1">
      <c r="A39" s="61"/>
      <c r="B39" s="85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</row>
    <row r="40" ht="15.75" customHeight="1">
      <c r="A40" s="61"/>
      <c r="B40" s="85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 ht="15.75" customHeight="1">
      <c r="A41" s="93" t="s">
        <v>126</v>
      </c>
      <c r="B41" s="94" t="s">
        <v>150</v>
      </c>
      <c r="C41" s="95"/>
      <c r="D41" s="95"/>
      <c r="E41" s="95"/>
      <c r="F41" s="95"/>
      <c r="G41" s="95"/>
      <c r="H41" s="95"/>
      <c r="I41" s="95"/>
      <c r="J41" s="95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</row>
    <row r="42" ht="15.75" customHeight="1">
      <c r="A42" s="93" t="s">
        <v>128</v>
      </c>
      <c r="B42" s="96">
        <v>8.0</v>
      </c>
      <c r="C42" s="95"/>
      <c r="D42" s="95"/>
      <c r="E42" s="95"/>
      <c r="F42" s="95"/>
      <c r="G42" s="95"/>
      <c r="H42" s="95"/>
      <c r="I42" s="95"/>
      <c r="J42" s="95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 ht="15.75" customHeight="1">
      <c r="A43" s="93" t="s">
        <v>22</v>
      </c>
      <c r="B43" s="61" t="s">
        <v>54</v>
      </c>
      <c r="C43" s="95"/>
      <c r="D43" s="95"/>
      <c r="E43" s="95"/>
      <c r="F43" s="95"/>
      <c r="G43" s="95"/>
      <c r="H43" s="95"/>
      <c r="I43" s="95"/>
      <c r="J43" s="95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</row>
    <row r="44" ht="15.75" customHeight="1">
      <c r="A44" s="93" t="s">
        <v>24</v>
      </c>
      <c r="B44" s="61" t="s">
        <v>156</v>
      </c>
      <c r="C44" s="95"/>
      <c r="D44" s="95"/>
      <c r="E44" s="95"/>
      <c r="F44" s="95"/>
      <c r="G44" s="95"/>
      <c r="H44" s="95"/>
      <c r="I44" s="95"/>
      <c r="J44" s="95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</row>
    <row r="46" ht="15.75" customHeight="1">
      <c r="A46" s="98" t="s">
        <v>25</v>
      </c>
      <c r="B46" s="99" t="s">
        <v>130</v>
      </c>
      <c r="C46" s="100" t="s">
        <v>131</v>
      </c>
      <c r="D46" s="101" t="s">
        <v>132</v>
      </c>
      <c r="E46" s="101" t="s">
        <v>133</v>
      </c>
      <c r="F46" s="102" t="s">
        <v>134</v>
      </c>
      <c r="G46" s="71"/>
      <c r="H46" s="102" t="s">
        <v>135</v>
      </c>
      <c r="I46" s="71"/>
      <c r="J46" s="100" t="s">
        <v>136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 ht="15.75" customHeight="1">
      <c r="A47" s="73"/>
      <c r="B47" s="99" t="s">
        <v>137</v>
      </c>
      <c r="C47" s="75">
        <v>5.0</v>
      </c>
      <c r="D47" s="76">
        <v>10.0</v>
      </c>
      <c r="E47" s="76">
        <v>10.0</v>
      </c>
      <c r="F47" s="76">
        <v>25.0</v>
      </c>
      <c r="G47" s="76">
        <v>5.0</v>
      </c>
      <c r="H47" s="76">
        <v>5.0</v>
      </c>
      <c r="I47" s="76">
        <v>15.0</v>
      </c>
      <c r="J47" s="73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</row>
    <row r="48" ht="15.75" customHeight="1">
      <c r="A48" s="77"/>
      <c r="B48" s="113" t="s">
        <v>24</v>
      </c>
      <c r="C48" s="77"/>
      <c r="D48" s="77"/>
      <c r="E48" s="77"/>
      <c r="F48" s="77"/>
      <c r="G48" s="77"/>
      <c r="H48" s="77"/>
      <c r="I48" s="77"/>
      <c r="J48" s="7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</row>
    <row r="49" ht="15.75" customHeight="1">
      <c r="A49" s="104">
        <v>1.0</v>
      </c>
      <c r="B49" s="108" t="s">
        <v>157</v>
      </c>
      <c r="C49" s="145" t="s">
        <v>138</v>
      </c>
      <c r="D49" s="148" t="s">
        <v>138</v>
      </c>
      <c r="E49" s="148" t="s">
        <v>138</v>
      </c>
      <c r="F49" s="106"/>
      <c r="G49" s="148" t="s">
        <v>138</v>
      </c>
      <c r="H49" s="105"/>
      <c r="I49" s="106"/>
      <c r="J49" s="104">
        <v>30.0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</row>
    <row r="50" ht="15.75" customHeight="1">
      <c r="A50" s="107">
        <v>2.0</v>
      </c>
      <c r="B50" s="108" t="s">
        <v>74</v>
      </c>
      <c r="C50" s="148" t="s">
        <v>138</v>
      </c>
      <c r="D50" s="110"/>
      <c r="E50" s="109"/>
      <c r="F50" s="110"/>
      <c r="G50" s="148" t="s">
        <v>138</v>
      </c>
      <c r="H50" s="148" t="s">
        <v>138</v>
      </c>
      <c r="I50" s="109"/>
      <c r="J50" s="104">
        <v>15.0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</row>
    <row r="51" ht="15.75" customHeight="1">
      <c r="A51" s="107">
        <v>3.0</v>
      </c>
      <c r="B51" s="108" t="s">
        <v>158</v>
      </c>
      <c r="C51" s="145" t="s">
        <v>138</v>
      </c>
      <c r="D51" s="110"/>
      <c r="E51" s="148" t="s">
        <v>138</v>
      </c>
      <c r="F51" s="109"/>
      <c r="G51" s="148" t="s">
        <v>138</v>
      </c>
      <c r="H51" s="110"/>
      <c r="I51" s="109"/>
      <c r="J51" s="104">
        <v>20.0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</row>
    <row r="52" ht="15.75" customHeight="1">
      <c r="A52" s="107">
        <v>4.0</v>
      </c>
      <c r="B52" s="108" t="s">
        <v>76</v>
      </c>
      <c r="C52" s="148" t="s">
        <v>138</v>
      </c>
      <c r="D52" s="110"/>
      <c r="E52" s="148" t="s">
        <v>138</v>
      </c>
      <c r="F52" s="148"/>
      <c r="G52" s="148" t="s">
        <v>138</v>
      </c>
      <c r="H52" s="148"/>
      <c r="I52" s="109"/>
      <c r="J52" s="104">
        <v>20.0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</row>
    <row r="53" ht="15.75" customHeight="1">
      <c r="A53" s="107">
        <v>5.0</v>
      </c>
      <c r="B53" s="108" t="s">
        <v>159</v>
      </c>
      <c r="C53" s="109"/>
      <c r="D53" s="109"/>
      <c r="E53" s="110"/>
      <c r="F53" s="148" t="s">
        <v>138</v>
      </c>
      <c r="G53" s="148" t="s">
        <v>138</v>
      </c>
      <c r="H53" s="148" t="s">
        <v>138</v>
      </c>
      <c r="I53" s="109"/>
      <c r="J53" s="104">
        <v>35.0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</row>
    <row r="54" ht="15.75" customHeight="1">
      <c r="A54" s="107">
        <v>6.0</v>
      </c>
      <c r="B54" s="108"/>
      <c r="C54" s="109"/>
      <c r="D54" s="109"/>
      <c r="E54" s="109"/>
      <c r="F54" s="109"/>
      <c r="G54" s="110"/>
      <c r="H54" s="109"/>
      <c r="I54" s="110"/>
      <c r="J54" s="104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</row>
    <row r="55" ht="15.75" customHeight="1">
      <c r="A55" s="95"/>
      <c r="B55" s="95"/>
      <c r="C55" s="95"/>
      <c r="D55" s="95"/>
      <c r="E55" s="95"/>
      <c r="F55" s="95"/>
      <c r="G55" s="95"/>
      <c r="H55" s="111" t="s">
        <v>139</v>
      </c>
      <c r="J55" s="112">
        <f>SUM(J47:J54)</f>
        <v>120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</row>
    <row r="56" ht="15.75" customHeight="1">
      <c r="A56" s="61"/>
      <c r="B56" s="85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</row>
    <row r="57" ht="15.75" customHeight="1">
      <c r="A57" s="61"/>
      <c r="B57" s="85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</row>
    <row r="58" ht="15.75" customHeight="1">
      <c r="A58" s="61"/>
      <c r="B58" s="85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</row>
    <row r="59" ht="15.75" customHeight="1">
      <c r="A59" s="61"/>
      <c r="B59" s="85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</row>
    <row r="60" ht="15.75" customHeight="1">
      <c r="A60" s="93" t="s">
        <v>126</v>
      </c>
      <c r="B60" s="94" t="s">
        <v>160</v>
      </c>
      <c r="C60" s="95"/>
      <c r="D60" s="95"/>
      <c r="E60" s="95"/>
      <c r="F60" s="95"/>
      <c r="G60" s="95"/>
      <c r="H60" s="95"/>
      <c r="I60" s="95"/>
      <c r="J60" s="95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</row>
    <row r="61" ht="15.75" customHeight="1">
      <c r="A61" s="93" t="s">
        <v>128</v>
      </c>
      <c r="B61" s="96">
        <v>9.0</v>
      </c>
      <c r="C61" s="95"/>
      <c r="D61" s="95"/>
      <c r="E61" s="95"/>
      <c r="F61" s="95"/>
      <c r="G61" s="95"/>
      <c r="H61" s="95"/>
      <c r="I61" s="95"/>
      <c r="J61" s="95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</row>
    <row r="62" ht="15.75" customHeight="1">
      <c r="A62" s="93" t="s">
        <v>22</v>
      </c>
      <c r="B62" s="61" t="s">
        <v>78</v>
      </c>
      <c r="C62" s="95"/>
      <c r="D62" s="95"/>
      <c r="E62" s="95"/>
      <c r="F62" s="95"/>
      <c r="G62" s="95"/>
      <c r="H62" s="95"/>
      <c r="I62" s="95"/>
      <c r="J62" s="95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</row>
    <row r="63" ht="15.75" customHeight="1">
      <c r="A63" s="93" t="s">
        <v>24</v>
      </c>
      <c r="B63" s="61" t="s">
        <v>79</v>
      </c>
      <c r="C63" s="95"/>
      <c r="D63" s="95"/>
      <c r="E63" s="95"/>
      <c r="F63" s="95"/>
      <c r="G63" s="95"/>
      <c r="H63" s="95"/>
      <c r="I63" s="95"/>
      <c r="J63" s="95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</row>
    <row r="65" ht="15.75" customHeight="1">
      <c r="A65" s="98" t="s">
        <v>25</v>
      </c>
      <c r="B65" s="99" t="s">
        <v>130</v>
      </c>
      <c r="C65" s="100" t="s">
        <v>131</v>
      </c>
      <c r="D65" s="101" t="s">
        <v>132</v>
      </c>
      <c r="E65" s="101" t="s">
        <v>133</v>
      </c>
      <c r="F65" s="102" t="s">
        <v>134</v>
      </c>
      <c r="G65" s="71"/>
      <c r="H65" s="102" t="s">
        <v>135</v>
      </c>
      <c r="I65" s="71"/>
      <c r="J65" s="100" t="s">
        <v>136</v>
      </c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</row>
    <row r="66" ht="15.75" customHeight="1">
      <c r="A66" s="73"/>
      <c r="B66" s="99" t="s">
        <v>137</v>
      </c>
      <c r="C66" s="75">
        <v>5.0</v>
      </c>
      <c r="D66" s="76">
        <v>10.0</v>
      </c>
      <c r="E66" s="76">
        <v>10.0</v>
      </c>
      <c r="F66" s="76">
        <v>25.0</v>
      </c>
      <c r="G66" s="76">
        <v>5.0</v>
      </c>
      <c r="H66" s="76">
        <v>5.0</v>
      </c>
      <c r="I66" s="76">
        <v>15.0</v>
      </c>
      <c r="J66" s="73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</row>
    <row r="67" ht="15.75" customHeight="1">
      <c r="A67" s="77"/>
      <c r="B67" s="99" t="s">
        <v>24</v>
      </c>
      <c r="C67" s="77"/>
      <c r="D67" s="77"/>
      <c r="E67" s="77"/>
      <c r="F67" s="77"/>
      <c r="G67" s="77"/>
      <c r="H67" s="77"/>
      <c r="I67" s="77"/>
      <c r="J67" s="7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</row>
    <row r="68" ht="15.75" customHeight="1">
      <c r="A68" s="104">
        <v>1.0</v>
      </c>
      <c r="B68" s="97" t="s">
        <v>161</v>
      </c>
      <c r="C68" s="145" t="s">
        <v>138</v>
      </c>
      <c r="D68" s="148" t="s">
        <v>138</v>
      </c>
      <c r="E68" s="148" t="s">
        <v>138</v>
      </c>
      <c r="F68" s="106"/>
      <c r="G68" s="106"/>
      <c r="H68" s="105"/>
      <c r="I68" s="106"/>
      <c r="J68" s="104">
        <v>25.0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</row>
    <row r="69" ht="15.75" customHeight="1">
      <c r="A69" s="107">
        <v>2.0</v>
      </c>
      <c r="B69" s="108" t="s">
        <v>162</v>
      </c>
      <c r="C69" s="148"/>
      <c r="D69" s="148" t="s">
        <v>138</v>
      </c>
      <c r="E69" s="148" t="s">
        <v>138</v>
      </c>
      <c r="F69" s="110"/>
      <c r="G69" s="148" t="s">
        <v>138</v>
      </c>
      <c r="H69" s="109"/>
      <c r="I69" s="148"/>
      <c r="J69" s="104">
        <v>25.0</v>
      </c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</row>
    <row r="70" ht="15.75" customHeight="1">
      <c r="A70" s="107">
        <v>3.0</v>
      </c>
      <c r="B70" s="97" t="s">
        <v>82</v>
      </c>
      <c r="C70" s="145" t="s">
        <v>138</v>
      </c>
      <c r="D70" s="110"/>
      <c r="E70" s="148" t="s">
        <v>138</v>
      </c>
      <c r="F70" s="109"/>
      <c r="G70" s="148" t="s">
        <v>138</v>
      </c>
      <c r="H70" s="148" t="s">
        <v>138</v>
      </c>
      <c r="I70" s="109"/>
      <c r="J70" s="104">
        <v>25.0</v>
      </c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</row>
    <row r="71" ht="15.75" customHeight="1">
      <c r="A71" s="107">
        <v>4.0</v>
      </c>
      <c r="B71" s="108" t="s">
        <v>159</v>
      </c>
      <c r="C71" s="148"/>
      <c r="D71" s="110"/>
      <c r="E71" s="148" t="s">
        <v>138</v>
      </c>
      <c r="F71" s="148" t="s">
        <v>138</v>
      </c>
      <c r="G71" s="148" t="s">
        <v>138</v>
      </c>
      <c r="H71" s="148" t="s">
        <v>138</v>
      </c>
      <c r="I71" s="109"/>
      <c r="J71" s="104">
        <v>45.0</v>
      </c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</row>
    <row r="72" ht="15.75" customHeight="1">
      <c r="A72" s="107">
        <v>5.0</v>
      </c>
      <c r="B72" s="108"/>
      <c r="C72" s="109"/>
      <c r="D72" s="109"/>
      <c r="E72" s="110"/>
      <c r="F72" s="110"/>
      <c r="G72" s="109"/>
      <c r="H72" s="109"/>
      <c r="I72" s="109"/>
      <c r="J72" s="104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</row>
    <row r="73" ht="15.75" customHeight="1">
      <c r="A73" s="107">
        <v>6.0</v>
      </c>
      <c r="B73" s="108"/>
      <c r="C73" s="109"/>
      <c r="D73" s="109"/>
      <c r="E73" s="109"/>
      <c r="F73" s="109"/>
      <c r="G73" s="110"/>
      <c r="H73" s="109"/>
      <c r="I73" s="110"/>
      <c r="J73" s="104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</row>
    <row r="74" ht="15.75" customHeight="1">
      <c r="A74" s="95"/>
      <c r="B74" s="95"/>
      <c r="C74" s="95"/>
      <c r="D74" s="95"/>
      <c r="E74" s="95"/>
      <c r="F74" s="95"/>
      <c r="G74" s="95"/>
      <c r="H74" s="111" t="s">
        <v>139</v>
      </c>
      <c r="J74" s="112">
        <f>SUM(J66:J73)</f>
        <v>120</v>
      </c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</row>
    <row r="75" ht="15.75" customHeight="1">
      <c r="A75" s="61"/>
      <c r="B75" s="85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</row>
    <row r="76" ht="15.75" customHeight="1">
      <c r="A76" s="61"/>
      <c r="B76" s="85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</row>
    <row r="77" ht="15.75" customHeight="1">
      <c r="A77" s="61"/>
      <c r="B77" s="85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</row>
    <row r="78" ht="15.75" customHeight="1">
      <c r="A78" s="61"/>
      <c r="B78" s="85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</row>
    <row r="79" ht="15.75" customHeight="1">
      <c r="A79" s="93" t="s">
        <v>126</v>
      </c>
      <c r="B79" s="94" t="s">
        <v>160</v>
      </c>
      <c r="C79" s="95"/>
      <c r="D79" s="95"/>
      <c r="E79" s="95"/>
      <c r="F79" s="95"/>
      <c r="G79" s="95"/>
      <c r="H79" s="95"/>
      <c r="I79" s="95"/>
      <c r="J79" s="95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</row>
    <row r="80" ht="15.75" customHeight="1">
      <c r="A80" s="93" t="s">
        <v>128</v>
      </c>
      <c r="B80" s="96">
        <v>10.0</v>
      </c>
      <c r="C80" s="95"/>
      <c r="D80" s="95"/>
      <c r="E80" s="95"/>
      <c r="F80" s="95"/>
      <c r="G80" s="95"/>
      <c r="H80" s="95"/>
      <c r="I80" s="95"/>
      <c r="J80" s="95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</row>
    <row r="81" ht="15.75" customHeight="1">
      <c r="A81" s="93" t="s">
        <v>22</v>
      </c>
      <c r="B81" s="61" t="s">
        <v>78</v>
      </c>
      <c r="C81" s="95"/>
      <c r="D81" s="95"/>
      <c r="E81" s="95"/>
      <c r="F81" s="95"/>
      <c r="G81" s="95"/>
      <c r="H81" s="95"/>
      <c r="I81" s="95"/>
      <c r="J81" s="95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</row>
    <row r="82" ht="15.75" customHeight="1">
      <c r="A82" s="93" t="s">
        <v>24</v>
      </c>
      <c r="B82" s="61" t="s">
        <v>83</v>
      </c>
      <c r="C82" s="95"/>
      <c r="D82" s="95"/>
      <c r="E82" s="95"/>
      <c r="F82" s="95"/>
      <c r="G82" s="95"/>
      <c r="H82" s="95"/>
      <c r="I82" s="95"/>
      <c r="J82" s="95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</row>
    <row r="84" ht="15.75" customHeight="1">
      <c r="A84" s="98" t="s">
        <v>25</v>
      </c>
      <c r="B84" s="99" t="s">
        <v>130</v>
      </c>
      <c r="C84" s="100" t="s">
        <v>131</v>
      </c>
      <c r="D84" s="101" t="s">
        <v>132</v>
      </c>
      <c r="E84" s="101" t="s">
        <v>133</v>
      </c>
      <c r="F84" s="102" t="s">
        <v>134</v>
      </c>
      <c r="G84" s="71"/>
      <c r="H84" s="102" t="s">
        <v>135</v>
      </c>
      <c r="I84" s="71"/>
      <c r="J84" s="100" t="s">
        <v>136</v>
      </c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</row>
    <row r="85" ht="15.75" customHeight="1">
      <c r="A85" s="73"/>
      <c r="B85" s="99" t="s">
        <v>137</v>
      </c>
      <c r="C85" s="75">
        <v>5.0</v>
      </c>
      <c r="D85" s="76">
        <v>10.0</v>
      </c>
      <c r="E85" s="76">
        <v>10.0</v>
      </c>
      <c r="F85" s="76">
        <v>25.0</v>
      </c>
      <c r="G85" s="76">
        <v>5.0</v>
      </c>
      <c r="H85" s="76">
        <v>5.0</v>
      </c>
      <c r="I85" s="76">
        <v>15.0</v>
      </c>
      <c r="J85" s="73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</row>
    <row r="86" ht="15.75" customHeight="1">
      <c r="A86" s="77"/>
      <c r="B86" s="99" t="s">
        <v>24</v>
      </c>
      <c r="C86" s="77"/>
      <c r="D86" s="77"/>
      <c r="E86" s="77"/>
      <c r="F86" s="77"/>
      <c r="G86" s="77"/>
      <c r="H86" s="77"/>
      <c r="I86" s="77"/>
      <c r="J86" s="77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</row>
    <row r="87" ht="15.75" customHeight="1">
      <c r="A87" s="104">
        <v>1.0</v>
      </c>
      <c r="B87" s="97" t="s">
        <v>84</v>
      </c>
      <c r="C87" s="145" t="s">
        <v>138</v>
      </c>
      <c r="D87" s="148" t="s">
        <v>138</v>
      </c>
      <c r="E87" s="105"/>
      <c r="F87" s="106"/>
      <c r="G87" s="106"/>
      <c r="H87" s="105"/>
      <c r="I87" s="148" t="s">
        <v>138</v>
      </c>
      <c r="J87" s="104">
        <v>30.0</v>
      </c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</row>
    <row r="88" ht="15.75" customHeight="1">
      <c r="A88" s="107">
        <v>2.0</v>
      </c>
      <c r="B88" s="108" t="s">
        <v>85</v>
      </c>
      <c r="C88" s="148" t="s">
        <v>138</v>
      </c>
      <c r="D88" s="148" t="s">
        <v>138</v>
      </c>
      <c r="E88" s="109"/>
      <c r="F88" s="110"/>
      <c r="G88" s="109"/>
      <c r="H88" s="148" t="s">
        <v>138</v>
      </c>
      <c r="I88" s="109"/>
      <c r="J88" s="104">
        <v>20.0</v>
      </c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</row>
    <row r="89" ht="15.75" customHeight="1">
      <c r="A89" s="107">
        <v>3.0</v>
      </c>
      <c r="B89" s="97" t="s">
        <v>86</v>
      </c>
      <c r="C89" s="145" t="s">
        <v>138</v>
      </c>
      <c r="D89" s="148" t="s">
        <v>138</v>
      </c>
      <c r="E89" s="110"/>
      <c r="F89" s="109"/>
      <c r="G89" s="109"/>
      <c r="H89" s="110"/>
      <c r="I89" s="148" t="s">
        <v>138</v>
      </c>
      <c r="J89" s="104">
        <v>30.0</v>
      </c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</row>
    <row r="90" ht="15.75" customHeight="1">
      <c r="A90" s="107">
        <v>4.0</v>
      </c>
      <c r="B90" s="108" t="s">
        <v>163</v>
      </c>
      <c r="C90" s="148" t="s">
        <v>138</v>
      </c>
      <c r="D90" s="110"/>
      <c r="E90" s="109"/>
      <c r="F90" s="148" t="s">
        <v>138</v>
      </c>
      <c r="G90" s="148" t="s">
        <v>138</v>
      </c>
      <c r="H90" s="148" t="s">
        <v>138</v>
      </c>
      <c r="I90" s="109"/>
      <c r="J90" s="104">
        <v>40.0</v>
      </c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</row>
    <row r="91" ht="15.75" customHeight="1">
      <c r="A91" s="107">
        <v>5.0</v>
      </c>
      <c r="B91" s="108"/>
      <c r="C91" s="109"/>
      <c r="D91" s="109"/>
      <c r="E91" s="110"/>
      <c r="F91" s="110"/>
      <c r="G91" s="109"/>
      <c r="H91" s="109"/>
      <c r="I91" s="109"/>
      <c r="J91" s="104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</row>
    <row r="92" ht="15.75" customHeight="1">
      <c r="A92" s="107">
        <v>6.0</v>
      </c>
      <c r="B92" s="108"/>
      <c r="C92" s="109"/>
      <c r="D92" s="109"/>
      <c r="E92" s="109"/>
      <c r="F92" s="109"/>
      <c r="G92" s="110"/>
      <c r="H92" s="109"/>
      <c r="I92" s="110"/>
      <c r="J92" s="104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</row>
    <row r="93" ht="15.75" customHeight="1">
      <c r="A93" s="95"/>
      <c r="B93" s="95"/>
      <c r="C93" s="95"/>
      <c r="D93" s="95"/>
      <c r="E93" s="95"/>
      <c r="F93" s="95"/>
      <c r="G93" s="95"/>
      <c r="H93" s="111" t="s">
        <v>139</v>
      </c>
      <c r="J93" s="112">
        <f>SUM(J85:J92)</f>
        <v>120</v>
      </c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F66:F67"/>
    <mergeCell ref="G66:G67"/>
    <mergeCell ref="F47:F48"/>
    <mergeCell ref="G47:G48"/>
    <mergeCell ref="A65:A67"/>
    <mergeCell ref="F65:G65"/>
    <mergeCell ref="C66:C67"/>
    <mergeCell ref="D66:D67"/>
    <mergeCell ref="E66:E67"/>
    <mergeCell ref="H85:H86"/>
    <mergeCell ref="I85:I86"/>
    <mergeCell ref="A84:A86"/>
    <mergeCell ref="F84:G84"/>
    <mergeCell ref="H84:I84"/>
    <mergeCell ref="J84:J86"/>
    <mergeCell ref="C85:C86"/>
    <mergeCell ref="D85:D86"/>
    <mergeCell ref="E85:E86"/>
    <mergeCell ref="H7:H8"/>
    <mergeCell ref="I7:I8"/>
    <mergeCell ref="H15:I15"/>
    <mergeCell ref="H26:I26"/>
    <mergeCell ref="J26:J28"/>
    <mergeCell ref="H27:H28"/>
    <mergeCell ref="I27:I28"/>
    <mergeCell ref="H35:I35"/>
    <mergeCell ref="A6:A8"/>
    <mergeCell ref="F6:G6"/>
    <mergeCell ref="H6:I6"/>
    <mergeCell ref="J6:J8"/>
    <mergeCell ref="C7:C8"/>
    <mergeCell ref="D7:D8"/>
    <mergeCell ref="E7:E8"/>
    <mergeCell ref="F27:F28"/>
    <mergeCell ref="G27:G28"/>
    <mergeCell ref="F7:F8"/>
    <mergeCell ref="G7:G8"/>
    <mergeCell ref="A26:A28"/>
    <mergeCell ref="F26:G26"/>
    <mergeCell ref="C27:C28"/>
    <mergeCell ref="D27:D28"/>
    <mergeCell ref="E27:E28"/>
    <mergeCell ref="H47:H48"/>
    <mergeCell ref="I47:I48"/>
    <mergeCell ref="H55:I55"/>
    <mergeCell ref="H65:I65"/>
    <mergeCell ref="J65:J67"/>
    <mergeCell ref="H66:H67"/>
    <mergeCell ref="I66:I67"/>
    <mergeCell ref="H74:I74"/>
    <mergeCell ref="A46:A48"/>
    <mergeCell ref="F46:G46"/>
    <mergeCell ref="H46:I46"/>
    <mergeCell ref="J46:J48"/>
    <mergeCell ref="C47:C48"/>
    <mergeCell ref="D47:D48"/>
    <mergeCell ref="E47:E48"/>
    <mergeCell ref="F85:F86"/>
    <mergeCell ref="G85:G86"/>
    <mergeCell ref="H93:I9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13"/>
    <col customWidth="1" min="3" max="3" width="9.0"/>
    <col customWidth="1" min="4" max="4" width="4.38"/>
    <col customWidth="1" min="5" max="5" width="6.5"/>
    <col customWidth="1" min="6" max="6" width="4.0"/>
    <col customWidth="1" min="7" max="7" width="2.5"/>
    <col customWidth="1" min="8" max="8" width="5.38"/>
    <col customWidth="1" min="9" max="9" width="4.63"/>
    <col customWidth="1" min="10" max="10" width="9.25"/>
  </cols>
  <sheetData>
    <row r="1">
      <c r="A1" s="150" t="s">
        <v>126</v>
      </c>
      <c r="B1" s="151" t="s">
        <v>176</v>
      </c>
      <c r="C1" s="60"/>
      <c r="D1" s="60"/>
      <c r="E1" s="60"/>
      <c r="F1" s="60"/>
      <c r="G1" s="60"/>
      <c r="H1" s="60"/>
      <c r="I1" s="60"/>
      <c r="J1" s="60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52" t="s">
        <v>128</v>
      </c>
      <c r="B2" s="153">
        <v>11.0</v>
      </c>
      <c r="C2" s="60"/>
      <c r="D2" s="60"/>
      <c r="E2" s="60"/>
      <c r="F2" s="60"/>
      <c r="G2" s="60"/>
      <c r="H2" s="60"/>
      <c r="I2" s="60"/>
      <c r="J2" s="60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52" t="s">
        <v>22</v>
      </c>
      <c r="B3" s="154" t="s">
        <v>78</v>
      </c>
      <c r="C3" s="60"/>
      <c r="D3" s="60"/>
      <c r="E3" s="60"/>
      <c r="F3" s="60"/>
      <c r="G3" s="60"/>
      <c r="H3" s="60"/>
      <c r="I3" s="60"/>
      <c r="J3" s="60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52" t="s">
        <v>24</v>
      </c>
      <c r="B4" s="155" t="s">
        <v>89</v>
      </c>
      <c r="C4" s="60"/>
      <c r="D4" s="60"/>
      <c r="E4" s="60"/>
      <c r="F4" s="60"/>
      <c r="G4" s="60"/>
      <c r="H4" s="60"/>
      <c r="I4" s="60"/>
      <c r="J4" s="60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60"/>
      <c r="B5" s="65"/>
      <c r="C5" s="60"/>
      <c r="D5" s="60"/>
      <c r="E5" s="60"/>
      <c r="F5" s="60"/>
      <c r="G5" s="60"/>
      <c r="H5" s="60"/>
      <c r="I5" s="60"/>
      <c r="J5" s="6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56" t="s">
        <v>25</v>
      </c>
      <c r="B6" s="157" t="s">
        <v>130</v>
      </c>
      <c r="C6" s="158" t="s">
        <v>131</v>
      </c>
      <c r="D6" s="159" t="s">
        <v>132</v>
      </c>
      <c r="E6" s="159" t="s">
        <v>133</v>
      </c>
      <c r="F6" s="160" t="s">
        <v>134</v>
      </c>
      <c r="G6" s="71"/>
      <c r="H6" s="160" t="s">
        <v>135</v>
      </c>
      <c r="I6" s="71"/>
      <c r="J6" s="161" t="s">
        <v>136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73"/>
      <c r="B7" s="162" t="s">
        <v>137</v>
      </c>
      <c r="C7" s="163">
        <v>5.0</v>
      </c>
      <c r="D7" s="164">
        <v>10.0</v>
      </c>
      <c r="E7" s="164">
        <v>10.0</v>
      </c>
      <c r="F7" s="164">
        <v>25.0</v>
      </c>
      <c r="G7" s="164">
        <v>5.0</v>
      </c>
      <c r="H7" s="164">
        <v>5.0</v>
      </c>
      <c r="I7" s="164">
        <v>15.0</v>
      </c>
      <c r="J7" s="7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77"/>
      <c r="B8" s="162" t="s">
        <v>24</v>
      </c>
      <c r="C8" s="77"/>
      <c r="D8" s="77"/>
      <c r="E8" s="77"/>
      <c r="F8" s="77"/>
      <c r="G8" s="77"/>
      <c r="H8" s="77"/>
      <c r="I8" s="77"/>
      <c r="J8" s="77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78">
        <v>1.0</v>
      </c>
      <c r="B9" s="11" t="s">
        <v>90</v>
      </c>
      <c r="C9" s="60" t="s">
        <v>138</v>
      </c>
      <c r="D9" s="80"/>
      <c r="E9" s="81" t="s">
        <v>138</v>
      </c>
      <c r="F9" s="81"/>
      <c r="G9" s="81"/>
      <c r="H9" s="81"/>
      <c r="I9" s="81"/>
      <c r="J9" s="82">
        <v>15.0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78">
        <v>2.0</v>
      </c>
      <c r="B10" s="11" t="s">
        <v>91</v>
      </c>
      <c r="C10" s="84" t="s">
        <v>138</v>
      </c>
      <c r="D10" s="81"/>
      <c r="E10" s="81" t="s">
        <v>138</v>
      </c>
      <c r="F10" s="81"/>
      <c r="G10" s="81"/>
      <c r="H10" s="81"/>
      <c r="I10" s="81"/>
      <c r="J10" s="82">
        <v>15.0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78">
        <v>3.0</v>
      </c>
      <c r="B11" s="11" t="s">
        <v>92</v>
      </c>
      <c r="C11" s="60" t="s">
        <v>138</v>
      </c>
      <c r="D11" s="80"/>
      <c r="E11" s="81" t="s">
        <v>138</v>
      </c>
      <c r="F11" s="81" t="s">
        <v>138</v>
      </c>
      <c r="G11" s="81" t="s">
        <v>138</v>
      </c>
      <c r="H11" s="81"/>
      <c r="I11" s="81"/>
      <c r="J11" s="82">
        <v>45.0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78">
        <v>4.0</v>
      </c>
      <c r="B12" s="11" t="s">
        <v>93</v>
      </c>
      <c r="C12" s="84" t="s">
        <v>141</v>
      </c>
      <c r="D12" s="81"/>
      <c r="E12" s="81" t="s">
        <v>138</v>
      </c>
      <c r="F12" s="81"/>
      <c r="G12" s="81"/>
      <c r="H12" s="81"/>
      <c r="I12" s="81"/>
      <c r="J12" s="82">
        <v>15.0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78">
        <v>5.0</v>
      </c>
      <c r="B13" s="83"/>
      <c r="C13" s="80"/>
      <c r="D13" s="81"/>
      <c r="E13" s="81"/>
      <c r="F13" s="81"/>
      <c r="G13" s="81"/>
      <c r="H13" s="81"/>
      <c r="I13" s="81"/>
      <c r="J13" s="82">
        <v>30.0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78">
        <v>6.0</v>
      </c>
      <c r="B14" s="86"/>
      <c r="C14" s="80"/>
      <c r="D14" s="81"/>
      <c r="E14" s="81"/>
      <c r="F14" s="81"/>
      <c r="G14" s="81"/>
      <c r="H14" s="81"/>
      <c r="I14" s="81"/>
      <c r="J14" s="82">
        <v>0.0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60"/>
      <c r="B15" s="65"/>
      <c r="C15" s="60"/>
      <c r="D15" s="60"/>
      <c r="E15" s="60"/>
      <c r="F15" s="60"/>
      <c r="G15" s="60"/>
      <c r="H15" s="87" t="s">
        <v>139</v>
      </c>
      <c r="J15" s="88">
        <v>120.0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50" t="s">
        <v>126</v>
      </c>
      <c r="B16" s="151" t="s">
        <v>176</v>
      </c>
      <c r="C16" s="60"/>
      <c r="D16" s="60"/>
      <c r="E16" s="60"/>
      <c r="F16" s="60"/>
      <c r="G16" s="60"/>
      <c r="H16" s="60"/>
      <c r="I16" s="60"/>
      <c r="J16" s="6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52" t="s">
        <v>128</v>
      </c>
      <c r="B17" s="153">
        <v>12.0</v>
      </c>
      <c r="C17" s="60"/>
      <c r="D17" s="60"/>
      <c r="E17" s="60"/>
      <c r="F17" s="60"/>
      <c r="G17" s="60"/>
      <c r="H17" s="60"/>
      <c r="I17" s="60"/>
      <c r="J17" s="6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52" t="s">
        <v>22</v>
      </c>
      <c r="B18" s="154" t="s">
        <v>78</v>
      </c>
      <c r="C18" s="60"/>
      <c r="D18" s="60"/>
      <c r="E18" s="60"/>
      <c r="F18" s="60"/>
      <c r="G18" s="60"/>
      <c r="H18" s="60"/>
      <c r="I18" s="60"/>
      <c r="J18" s="6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52" t="s">
        <v>24</v>
      </c>
      <c r="B19" s="155" t="s">
        <v>94</v>
      </c>
      <c r="C19" s="60"/>
      <c r="D19" s="60"/>
      <c r="E19" s="60"/>
      <c r="F19" s="60"/>
      <c r="G19" s="60"/>
      <c r="H19" s="60"/>
      <c r="I19" s="60"/>
      <c r="J19" s="6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60"/>
      <c r="B20" s="65"/>
      <c r="C20" s="60"/>
      <c r="D20" s="60"/>
      <c r="E20" s="60"/>
      <c r="F20" s="60"/>
      <c r="G20" s="60"/>
      <c r="H20" s="60"/>
      <c r="I20" s="60"/>
      <c r="J20" s="6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56" t="s">
        <v>25</v>
      </c>
      <c r="B21" s="157" t="s">
        <v>130</v>
      </c>
      <c r="C21" s="158" t="s">
        <v>131</v>
      </c>
      <c r="D21" s="159" t="s">
        <v>132</v>
      </c>
      <c r="E21" s="159" t="s">
        <v>133</v>
      </c>
      <c r="F21" s="160" t="s">
        <v>134</v>
      </c>
      <c r="G21" s="71"/>
      <c r="H21" s="160" t="s">
        <v>135</v>
      </c>
      <c r="I21" s="71"/>
      <c r="J21" s="161" t="s">
        <v>136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73"/>
      <c r="B22" s="162" t="s">
        <v>137</v>
      </c>
      <c r="C22" s="163">
        <v>5.0</v>
      </c>
      <c r="D22" s="164">
        <v>10.0</v>
      </c>
      <c r="E22" s="164">
        <v>10.0</v>
      </c>
      <c r="F22" s="164">
        <v>25.0</v>
      </c>
      <c r="G22" s="164">
        <v>10.0</v>
      </c>
      <c r="H22" s="164">
        <v>5.0</v>
      </c>
      <c r="I22" s="164">
        <v>15.0</v>
      </c>
      <c r="J22" s="7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77"/>
      <c r="B23" s="162" t="s">
        <v>24</v>
      </c>
      <c r="C23" s="77"/>
      <c r="D23" s="77"/>
      <c r="E23" s="77"/>
      <c r="F23" s="77"/>
      <c r="G23" s="77"/>
      <c r="H23" s="77"/>
      <c r="I23" s="77"/>
      <c r="J23" s="77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26.25" customHeight="1">
      <c r="A24" s="78">
        <v>1.0</v>
      </c>
      <c r="B24" s="11" t="s">
        <v>95</v>
      </c>
      <c r="C24" s="60" t="s">
        <v>141</v>
      </c>
      <c r="D24" s="80"/>
      <c r="E24" s="81"/>
      <c r="F24" s="81"/>
      <c r="G24" s="81" t="s">
        <v>141</v>
      </c>
      <c r="H24" s="81"/>
      <c r="I24" s="81"/>
      <c r="J24" s="82">
        <v>15.0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78">
        <v>2.0</v>
      </c>
      <c r="B25" s="11" t="s">
        <v>96</v>
      </c>
      <c r="C25" s="84" t="s">
        <v>141</v>
      </c>
      <c r="D25" s="81"/>
      <c r="E25" s="81"/>
      <c r="F25" s="81"/>
      <c r="G25" s="81" t="s">
        <v>141</v>
      </c>
      <c r="H25" s="81"/>
      <c r="I25" s="81"/>
      <c r="J25" s="82">
        <v>15.0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78">
        <v>3.0</v>
      </c>
      <c r="B26" s="11" t="s">
        <v>97</v>
      </c>
      <c r="C26" s="60" t="s">
        <v>141</v>
      </c>
      <c r="D26" s="80"/>
      <c r="E26" s="81" t="s">
        <v>141</v>
      </c>
      <c r="F26" s="81" t="s">
        <v>141</v>
      </c>
      <c r="G26" s="81"/>
      <c r="H26" s="81"/>
      <c r="I26" s="81"/>
      <c r="J26" s="82">
        <v>40.0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78">
        <v>4.0</v>
      </c>
      <c r="B27" s="11" t="s">
        <v>98</v>
      </c>
      <c r="C27" s="84" t="s">
        <v>141</v>
      </c>
      <c r="D27" s="81"/>
      <c r="E27" s="81"/>
      <c r="F27" s="81"/>
      <c r="G27" s="81" t="s">
        <v>141</v>
      </c>
      <c r="H27" s="81"/>
      <c r="I27" s="81"/>
      <c r="J27" s="82">
        <v>15.0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78">
        <v>5.0</v>
      </c>
      <c r="B28" s="11" t="s">
        <v>99</v>
      </c>
      <c r="C28" s="80" t="s">
        <v>141</v>
      </c>
      <c r="D28" s="81"/>
      <c r="E28" s="81"/>
      <c r="F28" s="81" t="s">
        <v>141</v>
      </c>
      <c r="G28" s="81"/>
      <c r="H28" s="81" t="s">
        <v>141</v>
      </c>
      <c r="I28" s="81"/>
      <c r="J28" s="82">
        <v>35.0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78">
        <v>6.0</v>
      </c>
      <c r="B29" s="86"/>
      <c r="C29" s="80"/>
      <c r="D29" s="81"/>
      <c r="E29" s="81"/>
      <c r="F29" s="81"/>
      <c r="G29" s="81"/>
      <c r="H29" s="81"/>
      <c r="I29" s="81"/>
      <c r="J29" s="82">
        <v>0.0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60"/>
      <c r="B30" s="65"/>
      <c r="C30" s="60"/>
      <c r="D30" s="60"/>
      <c r="E30" s="60"/>
      <c r="F30" s="60"/>
      <c r="G30" s="60"/>
      <c r="H30" s="87" t="s">
        <v>139</v>
      </c>
      <c r="J30" s="88">
        <v>120.0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50" t="s">
        <v>126</v>
      </c>
      <c r="B32" s="151" t="s">
        <v>176</v>
      </c>
      <c r="C32" s="60"/>
      <c r="D32" s="60"/>
      <c r="E32" s="60"/>
      <c r="F32" s="60"/>
      <c r="G32" s="60"/>
      <c r="H32" s="60"/>
      <c r="I32" s="60"/>
      <c r="J32" s="6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52" t="s">
        <v>128</v>
      </c>
      <c r="B33" s="153">
        <v>13.0</v>
      </c>
      <c r="C33" s="60"/>
      <c r="D33" s="60"/>
      <c r="E33" s="60"/>
      <c r="F33" s="60"/>
      <c r="G33" s="60"/>
      <c r="H33" s="60"/>
      <c r="I33" s="60"/>
      <c r="J33" s="60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2" t="s">
        <v>22</v>
      </c>
      <c r="B34" s="165" t="s">
        <v>100</v>
      </c>
      <c r="C34" s="60"/>
      <c r="D34" s="60"/>
      <c r="E34" s="60"/>
      <c r="F34" s="60"/>
      <c r="G34" s="60"/>
      <c r="H34" s="60"/>
      <c r="I34" s="60"/>
      <c r="J34" s="60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52" t="s">
        <v>24</v>
      </c>
      <c r="B35" s="155" t="s">
        <v>101</v>
      </c>
      <c r="C35" s="60"/>
      <c r="D35" s="60"/>
      <c r="E35" s="60"/>
      <c r="F35" s="60"/>
      <c r="G35" s="60"/>
      <c r="H35" s="60"/>
      <c r="I35" s="60"/>
      <c r="J35" s="60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60"/>
      <c r="B36" s="65"/>
      <c r="C36" s="60"/>
      <c r="D36" s="60"/>
      <c r="E36" s="60"/>
      <c r="F36" s="60"/>
      <c r="G36" s="60"/>
      <c r="H36" s="60"/>
      <c r="I36" s="60"/>
      <c r="J36" s="60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56" t="s">
        <v>25</v>
      </c>
      <c r="B37" s="157" t="s">
        <v>130</v>
      </c>
      <c r="C37" s="158" t="s">
        <v>131</v>
      </c>
      <c r="D37" s="159" t="s">
        <v>132</v>
      </c>
      <c r="E37" s="159" t="s">
        <v>133</v>
      </c>
      <c r="F37" s="160" t="s">
        <v>134</v>
      </c>
      <c r="G37" s="71"/>
      <c r="H37" s="160" t="s">
        <v>135</v>
      </c>
      <c r="I37" s="71"/>
      <c r="J37" s="161" t="s">
        <v>136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73"/>
      <c r="B38" s="162" t="s">
        <v>137</v>
      </c>
      <c r="C38" s="163">
        <v>7.5</v>
      </c>
      <c r="D38" s="164">
        <v>10.0</v>
      </c>
      <c r="E38" s="164">
        <v>10.0</v>
      </c>
      <c r="F38" s="164">
        <v>25.0</v>
      </c>
      <c r="G38" s="164">
        <v>10.0</v>
      </c>
      <c r="H38" s="164">
        <v>5.0</v>
      </c>
      <c r="I38" s="164">
        <v>15.0</v>
      </c>
      <c r="J38" s="7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77"/>
      <c r="B39" s="162" t="s">
        <v>24</v>
      </c>
      <c r="C39" s="77"/>
      <c r="D39" s="77"/>
      <c r="E39" s="77"/>
      <c r="F39" s="77"/>
      <c r="G39" s="77"/>
      <c r="H39" s="77"/>
      <c r="I39" s="77"/>
      <c r="J39" s="77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78">
        <v>1.0</v>
      </c>
      <c r="B40" s="11" t="s">
        <v>102</v>
      </c>
      <c r="C40" s="60" t="s">
        <v>141</v>
      </c>
      <c r="D40" s="80"/>
      <c r="E40" s="81"/>
      <c r="F40" s="81"/>
      <c r="G40" s="81" t="s">
        <v>141</v>
      </c>
      <c r="H40" s="81" t="s">
        <v>141</v>
      </c>
      <c r="I40" s="81"/>
      <c r="J40" s="82">
        <v>22.5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78">
        <v>2.0</v>
      </c>
      <c r="B41" s="11" t="s">
        <v>103</v>
      </c>
      <c r="C41" s="84" t="s">
        <v>141</v>
      </c>
      <c r="D41" s="81"/>
      <c r="E41" s="81"/>
      <c r="F41" s="81"/>
      <c r="G41" s="81" t="s">
        <v>141</v>
      </c>
      <c r="H41" s="81"/>
      <c r="I41" s="81"/>
      <c r="J41" s="82">
        <v>17.5</v>
      </c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78">
        <v>3.0</v>
      </c>
      <c r="B42" s="11" t="s">
        <v>104</v>
      </c>
      <c r="C42" s="60" t="s">
        <v>141</v>
      </c>
      <c r="D42" s="80"/>
      <c r="E42" s="81"/>
      <c r="F42" s="81" t="s">
        <v>141</v>
      </c>
      <c r="G42" s="81"/>
      <c r="H42" s="81"/>
      <c r="I42" s="81"/>
      <c r="J42" s="82">
        <v>32.5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78">
        <v>4.0</v>
      </c>
      <c r="B43" s="11" t="s">
        <v>105</v>
      </c>
      <c r="C43" s="84" t="s">
        <v>141</v>
      </c>
      <c r="D43" s="81"/>
      <c r="E43" s="81"/>
      <c r="F43" s="81" t="s">
        <v>141</v>
      </c>
      <c r="G43" s="81"/>
      <c r="H43" s="81"/>
      <c r="I43" s="81" t="s">
        <v>141</v>
      </c>
      <c r="J43" s="82">
        <v>47.5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78">
        <v>5.0</v>
      </c>
      <c r="B44" s="92"/>
      <c r="C44" s="80"/>
      <c r="D44" s="81"/>
      <c r="E44" s="81"/>
      <c r="F44" s="81"/>
      <c r="G44" s="81"/>
      <c r="H44" s="81"/>
      <c r="I44" s="81"/>
      <c r="J44" s="82">
        <v>0.0</v>
      </c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78">
        <v>6.0</v>
      </c>
      <c r="B45" s="86"/>
      <c r="C45" s="80"/>
      <c r="D45" s="81"/>
      <c r="E45" s="81"/>
      <c r="F45" s="81"/>
      <c r="G45" s="81"/>
      <c r="H45" s="81"/>
      <c r="I45" s="81"/>
      <c r="J45" s="82">
        <v>0.0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60"/>
      <c r="B46" s="65"/>
      <c r="C46" s="60"/>
      <c r="D46" s="60"/>
      <c r="E46" s="60"/>
      <c r="F46" s="60"/>
      <c r="G46" s="60"/>
      <c r="H46" s="87" t="s">
        <v>139</v>
      </c>
      <c r="J46" s="88">
        <v>120.0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50" t="s">
        <v>126</v>
      </c>
      <c r="B48" s="151" t="s">
        <v>176</v>
      </c>
      <c r="C48" s="60"/>
      <c r="D48" s="60"/>
      <c r="E48" s="60"/>
      <c r="F48" s="60"/>
      <c r="G48" s="60"/>
      <c r="H48" s="60"/>
      <c r="I48" s="60"/>
      <c r="J48" s="60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52" t="s">
        <v>128</v>
      </c>
      <c r="B49" s="153">
        <v>14.0</v>
      </c>
      <c r="C49" s="60"/>
      <c r="D49" s="60"/>
      <c r="E49" s="60"/>
      <c r="F49" s="60"/>
      <c r="G49" s="60"/>
      <c r="H49" s="60"/>
      <c r="I49" s="60"/>
      <c r="J49" s="60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52" t="s">
        <v>22</v>
      </c>
      <c r="B50" s="165" t="s">
        <v>100</v>
      </c>
      <c r="C50" s="60"/>
      <c r="D50" s="60"/>
      <c r="E50" s="60"/>
      <c r="F50" s="60"/>
      <c r="G50" s="60"/>
      <c r="H50" s="60"/>
      <c r="I50" s="60"/>
      <c r="J50" s="60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52" t="s">
        <v>24</v>
      </c>
      <c r="B51" s="155" t="s">
        <v>106</v>
      </c>
      <c r="C51" s="60"/>
      <c r="D51" s="60"/>
      <c r="E51" s="60"/>
      <c r="F51" s="60"/>
      <c r="G51" s="60"/>
      <c r="H51" s="60"/>
      <c r="I51" s="60"/>
      <c r="J51" s="60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60"/>
      <c r="B52" s="65"/>
      <c r="C52" s="60"/>
      <c r="D52" s="60"/>
      <c r="E52" s="60"/>
      <c r="F52" s="60"/>
      <c r="G52" s="60"/>
      <c r="H52" s="60"/>
      <c r="I52" s="60"/>
      <c r="J52" s="60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56" t="s">
        <v>25</v>
      </c>
      <c r="B53" s="157" t="s">
        <v>130</v>
      </c>
      <c r="C53" s="158" t="s">
        <v>131</v>
      </c>
      <c r="D53" s="159" t="s">
        <v>132</v>
      </c>
      <c r="E53" s="159" t="s">
        <v>133</v>
      </c>
      <c r="F53" s="160" t="s">
        <v>134</v>
      </c>
      <c r="G53" s="71"/>
      <c r="H53" s="160" t="s">
        <v>135</v>
      </c>
      <c r="I53" s="71"/>
      <c r="J53" s="166" t="s">
        <v>136</v>
      </c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73"/>
      <c r="B54" s="162" t="s">
        <v>137</v>
      </c>
      <c r="C54" s="163">
        <v>7.5</v>
      </c>
      <c r="D54" s="164">
        <v>10.0</v>
      </c>
      <c r="E54" s="164">
        <v>10.0</v>
      </c>
      <c r="F54" s="164">
        <v>25.0</v>
      </c>
      <c r="G54" s="164">
        <v>10.0</v>
      </c>
      <c r="H54" s="164">
        <v>5.0</v>
      </c>
      <c r="I54" s="164">
        <v>15.0</v>
      </c>
      <c r="J54" s="7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77"/>
      <c r="B55" s="162" t="s">
        <v>24</v>
      </c>
      <c r="C55" s="77"/>
      <c r="D55" s="77"/>
      <c r="E55" s="77"/>
      <c r="F55" s="77"/>
      <c r="G55" s="77"/>
      <c r="H55" s="77"/>
      <c r="I55" s="77"/>
      <c r="J55" s="77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78">
        <v>1.0</v>
      </c>
      <c r="B56" s="11" t="s">
        <v>107</v>
      </c>
      <c r="C56" s="60" t="s">
        <v>141</v>
      </c>
      <c r="D56" s="80"/>
      <c r="E56" s="81"/>
      <c r="F56" s="81"/>
      <c r="G56" s="81" t="s">
        <v>141</v>
      </c>
      <c r="H56" s="81"/>
      <c r="I56" s="81"/>
      <c r="J56" s="82">
        <v>17.5</v>
      </c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78">
        <v>2.0</v>
      </c>
      <c r="B57" s="11" t="s">
        <v>108</v>
      </c>
      <c r="C57" s="84" t="s">
        <v>141</v>
      </c>
      <c r="D57" s="81"/>
      <c r="E57" s="81"/>
      <c r="F57" s="81" t="s">
        <v>141</v>
      </c>
      <c r="G57" s="81"/>
      <c r="H57" s="81"/>
      <c r="I57" s="81"/>
      <c r="J57" s="82">
        <v>32.5</v>
      </c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78">
        <v>3.0</v>
      </c>
      <c r="B58" s="11" t="s">
        <v>109</v>
      </c>
      <c r="C58" s="60" t="s">
        <v>141</v>
      </c>
      <c r="D58" s="80"/>
      <c r="E58" s="81"/>
      <c r="F58" s="81" t="s">
        <v>141</v>
      </c>
      <c r="G58" s="81"/>
      <c r="H58" s="81"/>
      <c r="I58" s="81"/>
      <c r="J58" s="82">
        <v>32.5</v>
      </c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78">
        <v>4.0</v>
      </c>
      <c r="B59" s="11" t="s">
        <v>110</v>
      </c>
      <c r="C59" s="84" t="s">
        <v>141</v>
      </c>
      <c r="D59" s="81"/>
      <c r="E59" s="81"/>
      <c r="F59" s="81" t="s">
        <v>141</v>
      </c>
      <c r="G59" s="81"/>
      <c r="H59" s="81" t="s">
        <v>141</v>
      </c>
      <c r="I59" s="81"/>
      <c r="J59" s="82">
        <v>37.5</v>
      </c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78">
        <v>5.0</v>
      </c>
      <c r="B60" s="92"/>
      <c r="C60" s="80"/>
      <c r="D60" s="81"/>
      <c r="E60" s="81"/>
      <c r="F60" s="81"/>
      <c r="G60" s="81"/>
      <c r="H60" s="81"/>
      <c r="I60" s="81"/>
      <c r="J60" s="82">
        <v>0.0</v>
      </c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78">
        <v>6.0</v>
      </c>
      <c r="B61" s="141"/>
      <c r="C61" s="80"/>
      <c r="D61" s="81"/>
      <c r="E61" s="81"/>
      <c r="F61" s="81"/>
      <c r="G61" s="81"/>
      <c r="H61" s="81"/>
      <c r="I61" s="81"/>
      <c r="J61" s="82">
        <v>0.0</v>
      </c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60"/>
      <c r="B62" s="65"/>
      <c r="C62" s="60"/>
      <c r="D62" s="60"/>
      <c r="E62" s="60"/>
      <c r="F62" s="60"/>
      <c r="G62" s="60"/>
      <c r="H62" s="87" t="s">
        <v>139</v>
      </c>
      <c r="J62" s="88">
        <v>120.0</v>
      </c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48">
    <mergeCell ref="H7:H8"/>
    <mergeCell ref="I7:I8"/>
    <mergeCell ref="H15:I15"/>
    <mergeCell ref="H21:I21"/>
    <mergeCell ref="J21:J23"/>
    <mergeCell ref="H22:H23"/>
    <mergeCell ref="I22:I23"/>
    <mergeCell ref="H30:I30"/>
    <mergeCell ref="A6:A8"/>
    <mergeCell ref="F6:G6"/>
    <mergeCell ref="H6:I6"/>
    <mergeCell ref="J6:J8"/>
    <mergeCell ref="C7:C8"/>
    <mergeCell ref="D7:D8"/>
    <mergeCell ref="E7:E8"/>
    <mergeCell ref="F22:F23"/>
    <mergeCell ref="G22:G23"/>
    <mergeCell ref="F7:F8"/>
    <mergeCell ref="G7:G8"/>
    <mergeCell ref="A21:A23"/>
    <mergeCell ref="F21:G21"/>
    <mergeCell ref="C22:C23"/>
    <mergeCell ref="D22:D23"/>
    <mergeCell ref="E22:E23"/>
    <mergeCell ref="H38:H39"/>
    <mergeCell ref="I38:I39"/>
    <mergeCell ref="H46:I46"/>
    <mergeCell ref="H53:I53"/>
    <mergeCell ref="J53:J55"/>
    <mergeCell ref="H54:H55"/>
    <mergeCell ref="I54:I55"/>
    <mergeCell ref="H62:I62"/>
    <mergeCell ref="A37:A39"/>
    <mergeCell ref="F37:G37"/>
    <mergeCell ref="H37:I37"/>
    <mergeCell ref="J37:J39"/>
    <mergeCell ref="C38:C39"/>
    <mergeCell ref="D38:D39"/>
    <mergeCell ref="E38:E39"/>
    <mergeCell ref="F54:F55"/>
    <mergeCell ref="G54:G55"/>
    <mergeCell ref="F38:F39"/>
    <mergeCell ref="G38:G39"/>
    <mergeCell ref="A53:A55"/>
    <mergeCell ref="F53:G53"/>
    <mergeCell ref="C54:C55"/>
    <mergeCell ref="D54:D55"/>
    <mergeCell ref="E54:E55"/>
  </mergeCells>
  <drawing r:id="rId1"/>
</worksheet>
</file>