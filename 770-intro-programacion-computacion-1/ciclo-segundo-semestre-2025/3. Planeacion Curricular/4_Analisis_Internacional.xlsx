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entes Internacionales" sheetId="1" r:id="rId5"/>
    <sheet state="visible" name="Análisis Contenido" sheetId="2" r:id="rId6"/>
    <sheet state="visible" name="Análisis Tecnologico" sheetId="3" r:id="rId7"/>
  </sheets>
  <definedNames/>
  <calcPr/>
</workbook>
</file>

<file path=xl/sharedStrings.xml><?xml version="1.0" encoding="utf-8"?>
<sst xmlns="http://schemas.openxmlformats.org/spreadsheetml/2006/main" count="581" uniqueCount="200">
  <si>
    <t>Identificación de referentes internacionales</t>
  </si>
  <si>
    <t>Nombre</t>
  </si>
  <si>
    <t>Introducción a la Programación y Computación 1</t>
  </si>
  <si>
    <t>Codigo del Curso</t>
  </si>
  <si>
    <t>770</t>
  </si>
  <si>
    <t>1. Universidad Refente</t>
  </si>
  <si>
    <t>Analiza cursos similares en universidades internacionales reconocidas (como MIT, Stanford o ETH Zurich) para comparar temas, herramientas y competencias. Esto permite identificar buenas prácticas y alinear el laboratorio con tendencias globales en educación tecnológica.</t>
  </si>
  <si>
    <t>Universidad</t>
  </si>
  <si>
    <t>Stanford University</t>
  </si>
  <si>
    <t>Pais</t>
  </si>
  <si>
    <t>Estados Unidos</t>
  </si>
  <si>
    <t>Curso</t>
  </si>
  <si>
    <t>CS106A - Programming Methodology</t>
  </si>
  <si>
    <t>Información</t>
  </si>
  <si>
    <r>
      <rPr>
        <rFont val="Calibri"/>
        <color theme="1"/>
        <sz val="11.0"/>
      </rPr>
      <t xml:space="preserve">Este curso es la introducción principal de Stanford a la ingeniería de aplicaciones informáticas, centrada en principios de diseño orientado a objetos, descomposición, encapsulamiento y abstracción. Utiliza Java como lenguaje principal para enseñar metodología de programación y buenas prácticas de ingeniería. </t>
    </r>
    <r>
      <rPr>
        <rFont val="Calibri"/>
        <color rgb="FF1155CC"/>
        <sz val="11.0"/>
        <u/>
      </rPr>
      <t>https://see.stanford.edu/course/cs106a</t>
    </r>
    <r>
      <rPr>
        <rFont val="Calibri"/>
        <color theme="1"/>
        <sz val="11.0"/>
      </rPr>
      <t xml:space="preserve"> </t>
    </r>
  </si>
  <si>
    <t>No.</t>
  </si>
  <si>
    <t>Contenido de la Universidad Referente</t>
  </si>
  <si>
    <t xml:space="preserve">Metodología de resolución de problemas y descomposición de software </t>
  </si>
  <si>
    <t xml:space="preserve">Programación lógica inicial (Uso de Karel the Robot para estructuras de control) </t>
  </si>
  <si>
    <t xml:space="preserve">Fundamentos de Java: variables, tipos de datos y expresiones aritméticas </t>
  </si>
  <si>
    <t xml:space="preserve">Jerarquía de clases y principios de Diseño Orientado a Objetos (POO) </t>
  </si>
  <si>
    <t xml:space="preserve">Métodos, paso de parámetros y mecanismos de retorno </t>
  </si>
  <si>
    <t xml:space="preserve">Programación interactiva y manejo de eventos (Event-driven programming) </t>
  </si>
  <si>
    <t xml:space="preserve">Manipulación de hilos de texto (Strings) y procesamiento de caracteres </t>
  </si>
  <si>
    <t xml:space="preserve">Persistencia de datos: Procesamiento de archivos y manejo de excepciones </t>
  </si>
  <si>
    <t xml:space="preserve">Estructuras de datos lineales y colecciones (Arrays, ArrayList, HashMap) </t>
  </si>
  <si>
    <t xml:space="preserve">Introducción al análisis de algoritmos: búsqueda y ordenamiento </t>
  </si>
  <si>
    <t>2. Estandar Internacional</t>
  </si>
  <si>
    <t>Se identifican estándares internacionales relevantes (como ABET, CDIO o IEEE/ACM) para verificar si el laboratorio cumple con criterios de calidad educativa, competencias clave y buenas prácticas recomendadas a nivel global.</t>
  </si>
  <si>
    <t>Estandar</t>
  </si>
  <si>
    <t xml:space="preserve">ACM/IEEE CS2023 - Software Development Fundamentals (SDF) </t>
  </si>
  <si>
    <t>Capitulo , etc,</t>
  </si>
  <si>
    <t xml:space="preserve">Knowledge Area: Software Development Fundamentals </t>
  </si>
  <si>
    <r>
      <rPr>
        <rFont val="Calibri"/>
        <color theme="1"/>
        <sz val="11.0"/>
      </rPr>
      <t xml:space="preserve">El área SDF agrupa conceptos esenciales que deben enseñarse al inicio de un programa de ciencias de la computación. Incluye fluidez en la escritura de programas, uso de estructuras de datos integradas, prácticas de calidad de software y una comprensión inicial de la eficiencia algorítmica. </t>
    </r>
    <r>
      <rPr>
        <rFont val="Calibri"/>
        <color rgb="FF1155CC"/>
        <sz val="11.0"/>
        <u/>
      </rPr>
      <t>https://csed.acm.org/wp-content/uploads/2023/09/SDF-Version-Gamma.pdf</t>
    </r>
    <r>
      <rPr>
        <rFont val="Calibri"/>
        <color theme="1"/>
        <sz val="11.0"/>
      </rPr>
      <t xml:space="preserve"> </t>
    </r>
  </si>
  <si>
    <t>Contenido del Estandar</t>
  </si>
  <si>
    <t xml:space="preserve">Conceptos fundamentales: variables, tipos primitivos y evaluación de expresiones </t>
  </si>
  <si>
    <t xml:space="preserve">Mecánica de programas imperativos: estado y transiciones de flujo de control </t>
  </si>
  <si>
    <t xml:space="preserve">Modularidad: funciones, métodos y clases con énfasis en encapsulamiento </t>
  </si>
  <si>
    <t xml:space="preserve">Entrada y salida de datos a través de consola, archivos y APIs externas </t>
  </si>
  <si>
    <t xml:space="preserve">Tipos de datos estructurados: arreglos, listas, diccionarios, mapas y conjuntos </t>
  </si>
  <si>
    <t xml:space="preserve">Algoritmos fundamentales: ordenamiento, búsqueda y recorridos básicos </t>
  </si>
  <si>
    <t xml:space="preserve">Prácticas de desarrollo: pruebas unitarias (unit testing) y depuración visual </t>
  </si>
  <si>
    <t xml:space="preserve">Recursividad y su aplicación en la resolución de problemas computacionales </t>
  </si>
  <si>
    <t xml:space="preserve">Manejo de errores y excepciones para la robustez del sistema </t>
  </si>
  <si>
    <t xml:space="preserve">Ética profesional, propiedad intelectual y responsabilidad social del programador </t>
  </si>
  <si>
    <t>3. Tecnologias y/o herramientas en Tendencia</t>
  </si>
  <si>
    <t>*Investiga las tecnologias y/o herramientas que estan en tendencia actualmente a nivel internacional, como por ejemplo en cuadrante de gartner</t>
  </si>
  <si>
    <t>Link de referencia</t>
  </si>
  <si>
    <t>GitHub Copilot</t>
  </si>
  <si>
    <t>https://github.com/features/copilot</t>
  </si>
  <si>
    <t>Visual Studio Code</t>
  </si>
  <si>
    <t>https://code.visualstudio.com/</t>
  </si>
  <si>
    <t>JavaFX (OpenJFX)</t>
  </si>
  <si>
    <t>https://openjfx.io/</t>
  </si>
  <si>
    <t>Docker</t>
  </si>
  <si>
    <t>https://www.docker.com/</t>
  </si>
  <si>
    <t>AWS Academy</t>
  </si>
  <si>
    <t>https://aws.amazon.com/training/awsacademy/</t>
  </si>
  <si>
    <t>Terraform</t>
  </si>
  <si>
    <t>https://www.terraform.io/</t>
  </si>
  <si>
    <t>Spring Boot</t>
  </si>
  <si>
    <t>https://spring.io/projects/spring-boot</t>
  </si>
  <si>
    <t>Flutter</t>
  </si>
  <si>
    <t>https://flutter.dev/</t>
  </si>
  <si>
    <t>Google Cloud for Education</t>
  </si>
  <si>
    <t>https://cloud.google.com/edu</t>
  </si>
  <si>
    <t>Cursor</t>
  </si>
  <si>
    <t>https://cursor.sh/</t>
  </si>
  <si>
    <t>Contenido Curricular Introducción a la Programación y Computación 1 1S 2026</t>
  </si>
  <si>
    <t>Universidad Referente</t>
  </si>
  <si>
    <t>Estándar Internacional</t>
  </si>
  <si>
    <t>Unidad</t>
  </si>
  <si>
    <t>Tema</t>
  </si>
  <si>
    <t>Subtema</t>
  </si>
  <si>
    <t>Mes</t>
  </si>
  <si>
    <t>Semana</t>
  </si>
  <si>
    <t>Competencia</t>
  </si>
  <si>
    <t>1. Introducción a la Programación</t>
  </si>
  <si>
    <t>Introducción a los fundamentos de Programación</t>
  </si>
  <si>
    <t>Algoritmos</t>
  </si>
  <si>
    <t>Julio</t>
  </si>
  <si>
    <t>Analiza Estructuras de datos complejas y algoritmos de ordenamiento Utilizando técnicas de análisis de complejidad temporal y Para optimizar el rendimiento y eficiencia de aplicaciones</t>
  </si>
  <si>
    <t>Diagramas de Flujo</t>
  </si>
  <si>
    <t>Pseudocódigo</t>
  </si>
  <si>
    <t>Agosto</t>
  </si>
  <si>
    <t>2. Introducción al versionamiento</t>
  </si>
  <si>
    <t>Introducción al manejo de control de versiones</t>
  </si>
  <si>
    <t>Introducción a versionamiento</t>
  </si>
  <si>
    <t>Colabora En equipos multidiciplinarios de desarrollo de software Aplicando metodologías ágiles, herramientas de gestión y comunicación efectiva Adaptando el nivel de detalle según el contexto y audiencia objetivo</t>
  </si>
  <si>
    <t>Herramientas de control de versiones</t>
  </si>
  <si>
    <t>Tareas básicas de Git</t>
  </si>
  <si>
    <t>Colaboración en repositorios remotos</t>
  </si>
  <si>
    <t>3. Introducción a Java</t>
  </si>
  <si>
    <t>Introducción a Java - Parte 1</t>
  </si>
  <si>
    <t>¿Qué es Java?</t>
  </si>
  <si>
    <t>Comunica Soluciones técnicas complejas a audiencias diversas Utilizando documentación técnica, presentaciones y demostraciones interactivas Adaptando el nivel de detalle según el contexto y audiencia objetivo</t>
  </si>
  <si>
    <t>Introducción a Java - Parte 2</t>
  </si>
  <si>
    <t>Versiones y ambientes de java (JDK, JRE, JVM)</t>
  </si>
  <si>
    <t>Operadores aritméticos, relacionales y lógicos</t>
  </si>
  <si>
    <t>Introducción a Java - Parte 3</t>
  </si>
  <si>
    <t>Características de Java</t>
  </si>
  <si>
    <t>Input y output</t>
  </si>
  <si>
    <t>Introducción a Java - Parte 4</t>
  </si>
  <si>
    <t>Comentarios de una línea y multilínea</t>
  </si>
  <si>
    <t>Estructuras de control (if, else if, else y switch)</t>
  </si>
  <si>
    <t>Introducción a Java - Parte 5</t>
  </si>
  <si>
    <t>Variables</t>
  </si>
  <si>
    <t>Ciclos (for, while, do-while)</t>
  </si>
  <si>
    <t>Introducción a Java - Parte 6</t>
  </si>
  <si>
    <t>Tipos primitivos y no primitivos</t>
  </si>
  <si>
    <t>Try-catch-finally</t>
  </si>
  <si>
    <t>Evalua Arquitecturas de software y calidad de código Empleando métricas de software, patrones de diseño y técnicas de testing Para garantizar mantenibilidad, escalabilidad y robustez del sistema</t>
  </si>
  <si>
    <t>Introducción a Java - Parte 7</t>
  </si>
  <si>
    <t>Casteos implícitos y explícitos</t>
  </si>
  <si>
    <t>Procedimientos y funciones</t>
  </si>
  <si>
    <t>Introducción a Java - Parte 8</t>
  </si>
  <si>
    <t>Debugging (Breakpoint [Inline, function], start, pause, continue, stop)</t>
  </si>
  <si>
    <t>4. Manejo de Memoria</t>
  </si>
  <si>
    <t>Manejo de memoria</t>
  </si>
  <si>
    <t>Arreglos y Matrices</t>
  </si>
  <si>
    <t>Listas Dinámicas</t>
  </si>
  <si>
    <t>Métodos de Ordenamiento</t>
  </si>
  <si>
    <t>5. Recursividad y Archivos</t>
  </si>
  <si>
    <t>Recursividad y Archivos de texto plano</t>
  </si>
  <si>
    <t>Pila de ejecución (Call Stack)</t>
  </si>
  <si>
    <t>Febrero</t>
  </si>
  <si>
    <t>Recursividad</t>
  </si>
  <si>
    <t>Manejo de archivos de texto plano</t>
  </si>
  <si>
    <t>Septiembre</t>
  </si>
  <si>
    <t>Implementa Sistemas de software con persistencia de datos Utilizando bases de datos relacionales, archivos estructurados y APIs Conforme a especificaciones de integridad, consistencia y seguridad</t>
  </si>
  <si>
    <t>6. Introducción a POO</t>
  </si>
  <si>
    <t>Conceptos y Pilares de POO</t>
  </si>
  <si>
    <t>Concepto de abstracción y clasificación</t>
  </si>
  <si>
    <t>Clases y objetos</t>
  </si>
  <si>
    <t>Mensajes y métodos</t>
  </si>
  <si>
    <t>Pilares de POO: Abstracción, Encapsulamiento, Polimorfismo, Herencia</t>
  </si>
  <si>
    <t>Los miembros de una clase</t>
  </si>
  <si>
    <t>Atributos y métodos (operaciones)</t>
  </si>
  <si>
    <t>Constructores y Destructores</t>
  </si>
  <si>
    <t>Modificadores de visibilidad: Privado, Público, Protegido</t>
  </si>
  <si>
    <t>7. Introducción a Interfaces Graficas</t>
  </si>
  <si>
    <t>Introducción a Swing y Awt</t>
  </si>
  <si>
    <t>Elementos basicos de swing</t>
  </si>
  <si>
    <t>Diseña Interfaces gráficas de usuario intuitivas y funcionales Aplicando frameworks de desarrollo GUI, principios UX/UI y manejo de eventos Considerando usabilidad, accesibilidad y experiencia del usuario final</t>
  </si>
  <si>
    <t>8. Patrones de diseño</t>
  </si>
  <si>
    <t>Patron de diseño: MVC</t>
  </si>
  <si>
    <t>Definición y sus componentes</t>
  </si>
  <si>
    <t>Modelo</t>
  </si>
  <si>
    <t>Vista</t>
  </si>
  <si>
    <t>Controlador</t>
  </si>
  <si>
    <t>7. POO Avanzado</t>
  </si>
  <si>
    <t>Conceptos Avanzados de POO</t>
  </si>
  <si>
    <t>Construcciones abstractas: Clase abstracta y Interface</t>
  </si>
  <si>
    <t>Miembros estáticos (static) vs. miembros de instancia</t>
  </si>
  <si>
    <t>Referencia this</t>
  </si>
  <si>
    <t>Serialización de objetos en archivos</t>
  </si>
  <si>
    <t>9. Hilos</t>
  </si>
  <si>
    <t>Manejo de Hilos en Java</t>
  </si>
  <si>
    <t>Definición de Hilos</t>
  </si>
  <si>
    <t>Ciclo de vida de un hilo</t>
  </si>
  <si>
    <t>Creación de hilos</t>
  </si>
  <si>
    <t>Multihilos</t>
  </si>
  <si>
    <t>10. Fundamentos de GUI</t>
  </si>
  <si>
    <t>Fundamentos de GUI, AWT y SWING</t>
  </si>
  <si>
    <t>Concepto de GUI (Interfaz gráfica de usuario).</t>
  </si>
  <si>
    <t>¿Que es AWT?</t>
  </si>
  <si>
    <t>Componentes basicos de AWT</t>
  </si>
  <si>
    <t>Gestores de diseño (Layout Managers) en AWT</t>
  </si>
  <si>
    <t>Manejo de eventos en AWT</t>
  </si>
  <si>
    <t>¿Que es SWING?</t>
  </si>
  <si>
    <t>Componentes basicos de SWING</t>
  </si>
  <si>
    <t>11. Swing Avanzado y UML</t>
  </si>
  <si>
    <t>SWING avanzado, UML y diagramas de clases</t>
  </si>
  <si>
    <t>Gestores de diseño (Layout Managers) en SWING</t>
  </si>
  <si>
    <t>Manejo de eventos en SWING</t>
  </si>
  <si>
    <t>Diferencias entre AWT y SWING</t>
  </si>
  <si>
    <t>Drag and Drop</t>
  </si>
  <si>
    <t>¿Que es UML?</t>
  </si>
  <si>
    <t>Octubre</t>
  </si>
  <si>
    <t>Diagrama de clases</t>
  </si>
  <si>
    <t>Notaciones del diagrama de clases (clases, visibilidad, relaciones)</t>
  </si>
  <si>
    <t>12. Cloud computing</t>
  </si>
  <si>
    <t>Cloud Computing</t>
  </si>
  <si>
    <t>Ventajas y Desventajas</t>
  </si>
  <si>
    <t>Reflexiona Críticamente sobre el impacto ético y social de las soluciones tecnológicas Considerando principios de responsabilidad social, privacidad y sostenibilidad Para tomar decisiones técnicas éticamente informadas y responsables</t>
  </si>
  <si>
    <t>Tipos de Nube</t>
  </si>
  <si>
    <t>Publica, privada, hibrida</t>
  </si>
  <si>
    <t>Modelos en la Nube</t>
  </si>
  <si>
    <t>SaaS, PaaS, IaaS</t>
  </si>
  <si>
    <t>Servicios en la nube</t>
  </si>
  <si>
    <t>Proveedores de Nube</t>
  </si>
  <si>
    <t>Comparación con referentes internacionales</t>
  </si>
  <si>
    <t>**Este ejercicio de analisis de servira para mejorar el laboratorio para el siguiente semestre.</t>
  </si>
  <si>
    <t>Tecnologias y/o Herramientas actuales en el laboratorio</t>
  </si>
  <si>
    <t>Tendencia</t>
  </si>
  <si>
    <t>Uso de agentes de IA para tutoría personalizada y generación de esqueletos de código (boilerplate).</t>
  </si>
  <si>
    <t>Despliegue de proyectos finales en plataformas como Heroku, AWS o Google Cloud utilizando contenedores.</t>
  </si>
  <si>
    <t>Inclusión de validación de entradas y saneamiento de datos desde las primeras unidades de Java.</t>
  </si>
  <si>
    <t>Introducción a herramientas que permiten prototipado rápido para validar la lógica de negocio antes de la codificación profunda.</t>
  </si>
  <si>
    <t>Consulta con el catedratico de los hallazgos y si debes hacer algun cambio en tecnologias y/o herramientas para el proximo semestre</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</si>
</sst>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FF6600"/>
      <name val="Calibri"/>
      <scheme val="minor"/>
    </font>
    <font>
      <sz val="11.0"/>
      <color theme="1"/>
      <name val="Calibri"/>
    </font>
    <font/>
    <font>
      <b/>
      <sz val="12.0"/>
      <color rgb="FF4472C4"/>
      <name val="Calibri"/>
      <scheme val="minor"/>
    </font>
    <font>
      <color rgb="FF808080"/>
      <name val="Calibri"/>
      <scheme val="minor"/>
    </font>
    <font>
      <sz val="11.0"/>
      <color rgb="FF1F1F1F"/>
      <name val="Calibri"/>
    </font>
    <font>
      <u/>
      <sz val="11.0"/>
      <color theme="1"/>
      <name val="Calibri"/>
    </font>
    <font>
      <b/>
      <color theme="1"/>
      <name val="Calibri"/>
      <scheme val="minor"/>
    </font>
    <font>
      <u/>
      <sz val="11.0"/>
      <color theme="1"/>
      <name val="Calibri"/>
    </font>
    <font>
      <b/>
      <sz val="14.0"/>
      <color theme="1"/>
      <name val="Calibri"/>
      <scheme val="minor"/>
    </font>
    <font>
      <b/>
      <sz val="10.0"/>
      <color theme="1"/>
      <name val="Calibri"/>
      <scheme val="minor"/>
    </font>
    <font>
      <b/>
      <color rgb="FF4472C4"/>
      <name val="Calibri"/>
      <scheme val="minor"/>
    </font>
  </fonts>
  <fills count="8">
    <fill>
      <patternFill patternType="none"/>
    </fill>
    <fill>
      <patternFill patternType="lightGray"/>
    </fill>
    <fill>
      <patternFill patternType="solid">
        <fgColor rgb="FFEDEDED"/>
        <bgColor rgb="FFEDEDED"/>
      </patternFill>
    </fill>
    <fill>
      <patternFill patternType="solid">
        <fgColor rgb="FFF8FAFD"/>
        <bgColor rgb="FFF8FAFD"/>
      </patternFill>
    </fill>
    <fill>
      <patternFill patternType="solid">
        <fgColor rgb="FFBFBFBF"/>
        <bgColor rgb="FFBFBFBF"/>
      </patternFill>
    </fill>
    <fill>
      <patternFill patternType="solid">
        <fgColor rgb="FFD9E1F2"/>
        <bgColor rgb="FFD9E1F2"/>
      </patternFill>
    </fill>
    <fill>
      <patternFill patternType="solid">
        <fgColor rgb="FFFFF2CC"/>
        <bgColor rgb="FFFFF2CC"/>
      </patternFill>
    </fill>
    <fill>
      <patternFill patternType="solid">
        <fgColor rgb="FFD9D9D9"/>
        <bgColor rgb="FFD9D9D9"/>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2" numFmtId="0" xfId="0" applyBorder="1" applyFont="1"/>
    <xf borderId="3" fillId="0" fontId="3" numFmtId="0" xfId="0" applyBorder="1" applyFont="1"/>
    <xf borderId="4" fillId="0" fontId="3" numFmtId="0" xfId="0" applyBorder="1" applyFont="1"/>
    <xf borderId="0" fillId="0" fontId="4" numFmtId="0" xfId="0" applyFont="1"/>
    <xf borderId="0" fillId="0" fontId="5" numFmtId="0" xfId="0" applyAlignment="1" applyFont="1">
      <alignment shrinkToFit="0" vertical="top" wrapText="1"/>
    </xf>
    <xf borderId="2" fillId="3" fontId="6" numFmtId="0" xfId="0" applyAlignment="1" applyBorder="1" applyFill="1" applyFont="1">
      <alignment readingOrder="0"/>
    </xf>
    <xf borderId="3" fillId="0" fontId="2" numFmtId="0" xfId="0" applyAlignment="1" applyBorder="1" applyFont="1">
      <alignment readingOrder="0"/>
    </xf>
    <xf borderId="4" fillId="0" fontId="2" numFmtId="0" xfId="0" applyAlignment="1" applyBorder="1" applyFont="1">
      <alignment readingOrder="0"/>
    </xf>
    <xf borderId="5" fillId="3" fontId="6" numFmtId="0" xfId="0" applyAlignment="1" applyBorder="1" applyFont="1">
      <alignment readingOrder="0"/>
    </xf>
    <xf borderId="2" fillId="0" fontId="7" numFmtId="0" xfId="0" applyAlignment="1" applyBorder="1" applyFont="1">
      <alignment readingOrder="0" shrinkToFit="0" wrapText="1"/>
    </xf>
    <xf borderId="1" fillId="4" fontId="8" numFmtId="0" xfId="0" applyAlignment="1" applyBorder="1" applyFill="1" applyFont="1">
      <alignment horizontal="left" vertical="center"/>
    </xf>
    <xf borderId="2" fillId="4" fontId="8" numFmtId="0" xfId="0" applyAlignment="1" applyBorder="1" applyFont="1">
      <alignment horizontal="left" vertical="center"/>
    </xf>
    <xf borderId="1" fillId="0" fontId="2" numFmtId="0" xfId="0" applyAlignment="1" applyBorder="1" applyFont="1">
      <alignment horizontal="right" vertical="center"/>
    </xf>
    <xf borderId="2" fillId="0" fontId="2" numFmtId="0" xfId="0" applyAlignment="1" applyBorder="1" applyFont="1">
      <alignment readingOrder="0" shrinkToFit="0" vertical="center" wrapText="1"/>
    </xf>
    <xf borderId="2" fillId="0" fontId="2" numFmtId="0" xfId="0" applyAlignment="1" applyBorder="1" applyFont="1">
      <alignment readingOrder="0"/>
    </xf>
    <xf borderId="1" fillId="0" fontId="9" numFmtId="0" xfId="0" applyAlignment="1" applyBorder="1" applyFont="1">
      <alignment readingOrder="0" shrinkToFit="0" vertical="center" wrapText="1"/>
    </xf>
    <xf borderId="0" fillId="0" fontId="10" numFmtId="0" xfId="0" applyAlignment="1" applyFont="1">
      <alignment horizontal="center"/>
    </xf>
    <xf borderId="1" fillId="5" fontId="8" numFmtId="0" xfId="0" applyAlignment="1" applyBorder="1" applyFill="1" applyFont="1">
      <alignment horizontal="center" vertical="center"/>
    </xf>
    <xf borderId="1" fillId="6" fontId="8" numFmtId="0" xfId="0" applyAlignment="1" applyBorder="1" applyFill="1" applyFont="1">
      <alignment horizontal="center" vertical="center"/>
    </xf>
    <xf borderId="1" fillId="4" fontId="8" numFmtId="0" xfId="0" applyAlignment="1" applyBorder="1" applyFont="1">
      <alignment horizontal="center" vertical="center"/>
    </xf>
    <xf borderId="1" fillId="5" fontId="11"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2" fillId="7" fontId="8" numFmtId="0" xfId="0" applyAlignment="1" applyBorder="1" applyFill="1" applyFont="1">
      <alignment shrinkToFit="0" vertical="center" wrapText="1"/>
    </xf>
    <xf borderId="2" fillId="7" fontId="8" numFmtId="0" xfId="0" applyAlignment="1" applyBorder="1" applyFont="1">
      <alignment vertical="center"/>
    </xf>
    <xf borderId="2" fillId="0" fontId="2" numFmtId="0" xfId="0" applyAlignment="1" applyBorder="1" applyFont="1">
      <alignment shrinkToFit="0" vertical="center" wrapText="1"/>
    </xf>
    <xf borderId="0" fillId="0" fontId="1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cloud.google.com/edu" TargetMode="External"/><Relationship Id="rId10" Type="http://schemas.openxmlformats.org/officeDocument/2006/relationships/hyperlink" Target="https://flutter.dev/" TargetMode="External"/><Relationship Id="rId13" Type="http://schemas.openxmlformats.org/officeDocument/2006/relationships/drawing" Target="../drawings/drawing1.xml"/><Relationship Id="rId12" Type="http://schemas.openxmlformats.org/officeDocument/2006/relationships/hyperlink" Target="https://cursor.sh/" TargetMode="External"/><Relationship Id="rId1" Type="http://schemas.openxmlformats.org/officeDocument/2006/relationships/hyperlink" Target="https://see.stanford.edu/course/cs106a" TargetMode="External"/><Relationship Id="rId2" Type="http://schemas.openxmlformats.org/officeDocument/2006/relationships/hyperlink" Target="https://csed.acm.org/wp-content/uploads/2023/09/SDF-Version-Gamma.pdf" TargetMode="External"/><Relationship Id="rId3" Type="http://schemas.openxmlformats.org/officeDocument/2006/relationships/hyperlink" Target="https://github.com/features/copilot" TargetMode="External"/><Relationship Id="rId4" Type="http://schemas.openxmlformats.org/officeDocument/2006/relationships/hyperlink" Target="https://code.visualstudio.com/" TargetMode="External"/><Relationship Id="rId9" Type="http://schemas.openxmlformats.org/officeDocument/2006/relationships/hyperlink" Target="https://spring.io/projects/spring-boot" TargetMode="External"/><Relationship Id="rId5" Type="http://schemas.openxmlformats.org/officeDocument/2006/relationships/hyperlink" Target="https://openjfx.io/" TargetMode="External"/><Relationship Id="rId6" Type="http://schemas.openxmlformats.org/officeDocument/2006/relationships/hyperlink" Target="https://www.docker.com/" TargetMode="External"/><Relationship Id="rId7" Type="http://schemas.openxmlformats.org/officeDocument/2006/relationships/hyperlink" Target="https://aws.amazon.com/training/awsacademy/" TargetMode="External"/><Relationship Id="rId8" Type="http://schemas.openxmlformats.org/officeDocument/2006/relationships/hyperlink" Target="https://www.terraform.i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2.0"/>
    <col customWidth="1" min="3" max="6" width="16.0"/>
    <col customWidth="1" min="7" max="7" width="20.0"/>
    <col customWidth="1" min="8" max="8" width="28.0"/>
    <col customWidth="1" min="9" max="26" width="8.71"/>
  </cols>
  <sheetData>
    <row r="1" ht="19.5" customHeight="1"/>
    <row r="2">
      <c r="B2" s="1" t="s">
        <v>0</v>
      </c>
    </row>
    <row r="4">
      <c r="B4" s="2" t="s">
        <v>1</v>
      </c>
      <c r="C4" s="3" t="s">
        <v>2</v>
      </c>
      <c r="D4" s="4"/>
      <c r="E4" s="4"/>
      <c r="F4" s="4"/>
      <c r="G4" s="4"/>
      <c r="H4" s="5"/>
    </row>
    <row r="5">
      <c r="B5" s="2" t="s">
        <v>3</v>
      </c>
      <c r="C5" s="3" t="s">
        <v>4</v>
      </c>
      <c r="D5" s="4"/>
      <c r="E5" s="4"/>
      <c r="F5" s="4"/>
      <c r="G5" s="4"/>
      <c r="H5" s="5"/>
    </row>
    <row r="7">
      <c r="B7" s="6" t="s">
        <v>5</v>
      </c>
    </row>
    <row r="8">
      <c r="B8" s="7" t="s">
        <v>6</v>
      </c>
    </row>
    <row r="10">
      <c r="B10" s="2" t="s">
        <v>7</v>
      </c>
      <c r="C10" s="8" t="s">
        <v>8</v>
      </c>
      <c r="D10" s="9"/>
      <c r="E10" s="9"/>
      <c r="F10" s="9"/>
      <c r="G10" s="9"/>
      <c r="H10" s="10"/>
    </row>
    <row r="11">
      <c r="B11" s="2" t="s">
        <v>9</v>
      </c>
      <c r="C11" s="8" t="s">
        <v>10</v>
      </c>
      <c r="D11" s="9"/>
      <c r="E11" s="9"/>
      <c r="F11" s="9"/>
      <c r="G11" s="9"/>
      <c r="H11" s="10"/>
    </row>
    <row r="12">
      <c r="B12" s="2" t="s">
        <v>11</v>
      </c>
      <c r="C12" s="11" t="s">
        <v>12</v>
      </c>
      <c r="D12" s="9"/>
      <c r="E12" s="9"/>
      <c r="F12" s="9"/>
      <c r="G12" s="9"/>
      <c r="H12" s="10"/>
    </row>
    <row r="13">
      <c r="B13" s="2" t="s">
        <v>13</v>
      </c>
      <c r="C13" s="12" t="s">
        <v>14</v>
      </c>
      <c r="D13" s="4"/>
      <c r="E13" s="4"/>
      <c r="F13" s="4"/>
      <c r="G13" s="4"/>
      <c r="H13" s="5"/>
    </row>
    <row r="15">
      <c r="B15" s="13" t="s">
        <v>15</v>
      </c>
      <c r="C15" s="14" t="s">
        <v>16</v>
      </c>
      <c r="D15" s="4"/>
      <c r="E15" s="4"/>
      <c r="F15" s="4"/>
      <c r="G15" s="4"/>
      <c r="H15" s="5"/>
    </row>
    <row r="16">
      <c r="B16" s="15">
        <v>1.0</v>
      </c>
      <c r="C16" s="16" t="s">
        <v>17</v>
      </c>
      <c r="D16" s="4"/>
      <c r="E16" s="4"/>
      <c r="F16" s="4"/>
      <c r="G16" s="4"/>
      <c r="H16" s="5"/>
    </row>
    <row r="17">
      <c r="B17" s="15">
        <v>2.0</v>
      </c>
      <c r="C17" s="16" t="s">
        <v>18</v>
      </c>
      <c r="D17" s="4"/>
      <c r="E17" s="4"/>
      <c r="F17" s="4"/>
      <c r="G17" s="4"/>
      <c r="H17" s="5"/>
    </row>
    <row r="18">
      <c r="B18" s="15">
        <v>3.0</v>
      </c>
      <c r="C18" s="16" t="s">
        <v>19</v>
      </c>
      <c r="D18" s="4"/>
      <c r="E18" s="4"/>
      <c r="F18" s="4"/>
      <c r="G18" s="4"/>
      <c r="H18" s="5"/>
    </row>
    <row r="19">
      <c r="B19" s="15">
        <v>4.0</v>
      </c>
      <c r="C19" s="16" t="s">
        <v>20</v>
      </c>
      <c r="D19" s="4"/>
      <c r="E19" s="4"/>
      <c r="F19" s="4"/>
      <c r="G19" s="4"/>
      <c r="H19" s="5"/>
    </row>
    <row r="20">
      <c r="B20" s="15">
        <v>5.0</v>
      </c>
      <c r="C20" s="16" t="s">
        <v>21</v>
      </c>
      <c r="D20" s="4"/>
      <c r="E20" s="4"/>
      <c r="F20" s="4"/>
      <c r="G20" s="4"/>
      <c r="H20" s="5"/>
    </row>
    <row r="21" ht="15.75" customHeight="1">
      <c r="B21" s="15">
        <v>6.0</v>
      </c>
      <c r="C21" s="16" t="s">
        <v>22</v>
      </c>
      <c r="D21" s="4"/>
      <c r="E21" s="4"/>
      <c r="F21" s="4"/>
      <c r="G21" s="4"/>
      <c r="H21" s="5"/>
    </row>
    <row r="22" ht="15.75" customHeight="1">
      <c r="B22" s="15">
        <v>7.0</v>
      </c>
      <c r="C22" s="16" t="s">
        <v>23</v>
      </c>
      <c r="D22" s="4"/>
      <c r="E22" s="4"/>
      <c r="F22" s="4"/>
      <c r="G22" s="4"/>
      <c r="H22" s="5"/>
    </row>
    <row r="23" ht="15.75" customHeight="1">
      <c r="B23" s="15">
        <v>8.0</v>
      </c>
      <c r="C23" s="16" t="s">
        <v>24</v>
      </c>
      <c r="D23" s="4"/>
      <c r="E23" s="4"/>
      <c r="F23" s="4"/>
      <c r="G23" s="4"/>
      <c r="H23" s="5"/>
    </row>
    <row r="24" ht="15.75" customHeight="1">
      <c r="B24" s="15">
        <v>9.0</v>
      </c>
      <c r="C24" s="16" t="s">
        <v>25</v>
      </c>
      <c r="D24" s="4"/>
      <c r="E24" s="4"/>
      <c r="F24" s="4"/>
      <c r="G24" s="4"/>
      <c r="H24" s="5"/>
    </row>
    <row r="25" ht="15.75" customHeight="1">
      <c r="B25" s="15">
        <v>10.0</v>
      </c>
      <c r="C25" s="16" t="s">
        <v>26</v>
      </c>
      <c r="D25" s="4"/>
      <c r="E25" s="4"/>
      <c r="F25" s="4"/>
      <c r="G25" s="4"/>
      <c r="H25" s="5"/>
    </row>
    <row r="26" ht="15.75" customHeight="1"/>
    <row r="27" ht="15.75" customHeight="1">
      <c r="B27" s="6" t="s">
        <v>27</v>
      </c>
    </row>
    <row r="28" ht="15.75" customHeight="1">
      <c r="B28" s="7" t="s">
        <v>28</v>
      </c>
    </row>
    <row r="29" ht="15.75" customHeight="1"/>
    <row r="30" ht="15.75" customHeight="1">
      <c r="B30" s="2" t="s">
        <v>29</v>
      </c>
      <c r="C30" s="17" t="s">
        <v>30</v>
      </c>
      <c r="D30" s="4"/>
      <c r="E30" s="4"/>
      <c r="F30" s="4"/>
      <c r="G30" s="4"/>
      <c r="H30" s="5"/>
    </row>
    <row r="31" ht="15.75" customHeight="1">
      <c r="B31" s="2" t="s">
        <v>31</v>
      </c>
      <c r="C31" s="17" t="s">
        <v>32</v>
      </c>
      <c r="D31" s="4"/>
      <c r="E31" s="4"/>
      <c r="F31" s="4"/>
      <c r="G31" s="4"/>
      <c r="H31" s="5"/>
    </row>
    <row r="32" ht="15.75" customHeight="1">
      <c r="B32" s="2" t="s">
        <v>13</v>
      </c>
      <c r="C32" s="12" t="s">
        <v>33</v>
      </c>
      <c r="D32" s="4"/>
      <c r="E32" s="4"/>
      <c r="F32" s="4"/>
      <c r="G32" s="4"/>
      <c r="H32" s="5"/>
    </row>
    <row r="33" ht="15.75" customHeight="1"/>
    <row r="34" ht="15.75" customHeight="1">
      <c r="B34" s="13" t="s">
        <v>15</v>
      </c>
      <c r="C34" s="14" t="s">
        <v>34</v>
      </c>
      <c r="D34" s="4"/>
      <c r="E34" s="4"/>
      <c r="F34" s="4"/>
      <c r="G34" s="4"/>
      <c r="H34" s="5"/>
    </row>
    <row r="35" ht="15.75" customHeight="1">
      <c r="B35" s="15">
        <v>1.0</v>
      </c>
      <c r="C35" s="16" t="s">
        <v>35</v>
      </c>
      <c r="D35" s="4"/>
      <c r="E35" s="4"/>
      <c r="F35" s="4"/>
      <c r="G35" s="4"/>
      <c r="H35" s="5"/>
    </row>
    <row r="36" ht="15.75" customHeight="1">
      <c r="B36" s="15">
        <v>2.0</v>
      </c>
      <c r="C36" s="16" t="s">
        <v>36</v>
      </c>
      <c r="D36" s="4"/>
      <c r="E36" s="4"/>
      <c r="F36" s="4"/>
      <c r="G36" s="4"/>
      <c r="H36" s="5"/>
    </row>
    <row r="37" ht="15.75" customHeight="1">
      <c r="B37" s="15">
        <v>3.0</v>
      </c>
      <c r="C37" s="16" t="s">
        <v>37</v>
      </c>
      <c r="D37" s="4"/>
      <c r="E37" s="4"/>
      <c r="F37" s="4"/>
      <c r="G37" s="4"/>
      <c r="H37" s="5"/>
    </row>
    <row r="38" ht="15.75" customHeight="1">
      <c r="B38" s="15">
        <v>4.0</v>
      </c>
      <c r="C38" s="16" t="s">
        <v>38</v>
      </c>
      <c r="D38" s="4"/>
      <c r="E38" s="4"/>
      <c r="F38" s="4"/>
      <c r="G38" s="4"/>
      <c r="H38" s="5"/>
    </row>
    <row r="39" ht="15.75" customHeight="1">
      <c r="B39" s="15">
        <v>5.0</v>
      </c>
      <c r="C39" s="16" t="s">
        <v>39</v>
      </c>
      <c r="D39" s="4"/>
      <c r="E39" s="4"/>
      <c r="F39" s="4"/>
      <c r="G39" s="4"/>
      <c r="H39" s="5"/>
    </row>
    <row r="40" ht="15.75" customHeight="1">
      <c r="B40" s="15">
        <v>6.0</v>
      </c>
      <c r="C40" s="16" t="s">
        <v>40</v>
      </c>
      <c r="D40" s="4"/>
      <c r="E40" s="4"/>
      <c r="F40" s="4"/>
      <c r="G40" s="4"/>
      <c r="H40" s="5"/>
    </row>
    <row r="41" ht="15.75" customHeight="1">
      <c r="B41" s="15">
        <v>7.0</v>
      </c>
      <c r="C41" s="16" t="s">
        <v>41</v>
      </c>
      <c r="D41" s="4"/>
      <c r="E41" s="4"/>
      <c r="F41" s="4"/>
      <c r="G41" s="4"/>
      <c r="H41" s="5"/>
    </row>
    <row r="42" ht="15.75" customHeight="1">
      <c r="B42" s="15">
        <v>8.0</v>
      </c>
      <c r="C42" s="16" t="s">
        <v>42</v>
      </c>
      <c r="D42" s="4"/>
      <c r="E42" s="4"/>
      <c r="F42" s="4"/>
      <c r="G42" s="4"/>
      <c r="H42" s="5"/>
    </row>
    <row r="43" ht="15.75" customHeight="1">
      <c r="B43" s="15">
        <v>9.0</v>
      </c>
      <c r="C43" s="16" t="s">
        <v>43</v>
      </c>
      <c r="D43" s="4"/>
      <c r="E43" s="4"/>
      <c r="F43" s="4"/>
      <c r="G43" s="4"/>
      <c r="H43" s="5"/>
    </row>
    <row r="44" ht="15.75" customHeight="1">
      <c r="B44" s="15">
        <v>10.0</v>
      </c>
      <c r="C44" s="16" t="s">
        <v>44</v>
      </c>
      <c r="D44" s="4"/>
      <c r="E44" s="4"/>
      <c r="F44" s="4"/>
      <c r="G44" s="4"/>
      <c r="H44" s="5"/>
    </row>
    <row r="45" ht="15.75" customHeight="1"/>
    <row r="46" ht="15.75" customHeight="1">
      <c r="A46" s="6" t="s">
        <v>45</v>
      </c>
    </row>
    <row r="47" ht="15.75" customHeight="1">
      <c r="A47" s="7" t="s">
        <v>46</v>
      </c>
    </row>
    <row r="48" ht="15.75" customHeight="1">
      <c r="B48" s="13" t="s">
        <v>15</v>
      </c>
      <c r="C48" s="14" t="s">
        <v>1</v>
      </c>
      <c r="D48" s="4"/>
      <c r="E48" s="4"/>
      <c r="F48" s="4"/>
      <c r="G48" s="5"/>
      <c r="H48" s="13" t="s">
        <v>47</v>
      </c>
    </row>
    <row r="49" ht="15.75" customHeight="1">
      <c r="B49" s="15">
        <v>1.0</v>
      </c>
      <c r="C49" s="16" t="s">
        <v>48</v>
      </c>
      <c r="D49" s="4"/>
      <c r="E49" s="4"/>
      <c r="F49" s="4"/>
      <c r="G49" s="5"/>
      <c r="H49" s="18" t="s">
        <v>49</v>
      </c>
    </row>
    <row r="50" ht="15.75" customHeight="1">
      <c r="B50" s="15">
        <v>2.0</v>
      </c>
      <c r="C50" s="16" t="s">
        <v>50</v>
      </c>
      <c r="D50" s="4"/>
      <c r="E50" s="4"/>
      <c r="F50" s="4"/>
      <c r="G50" s="5"/>
      <c r="H50" s="18" t="s">
        <v>51</v>
      </c>
    </row>
    <row r="51" ht="15.75" customHeight="1">
      <c r="B51" s="15">
        <v>3.0</v>
      </c>
      <c r="C51" s="16" t="s">
        <v>52</v>
      </c>
      <c r="D51" s="4"/>
      <c r="E51" s="4"/>
      <c r="F51" s="4"/>
      <c r="G51" s="5"/>
      <c r="H51" s="18" t="s">
        <v>53</v>
      </c>
    </row>
    <row r="52" ht="15.75" customHeight="1">
      <c r="B52" s="15">
        <v>4.0</v>
      </c>
      <c r="C52" s="16" t="s">
        <v>54</v>
      </c>
      <c r="D52" s="4"/>
      <c r="E52" s="4"/>
      <c r="F52" s="4"/>
      <c r="G52" s="5"/>
      <c r="H52" s="18" t="s">
        <v>55</v>
      </c>
    </row>
    <row r="53" ht="15.75" customHeight="1">
      <c r="B53" s="15">
        <v>5.0</v>
      </c>
      <c r="C53" s="16" t="s">
        <v>56</v>
      </c>
      <c r="D53" s="4"/>
      <c r="E53" s="4"/>
      <c r="F53" s="4"/>
      <c r="G53" s="5"/>
      <c r="H53" s="18" t="s">
        <v>57</v>
      </c>
    </row>
    <row r="54" ht="15.75" customHeight="1">
      <c r="B54" s="15">
        <v>6.0</v>
      </c>
      <c r="C54" s="16" t="s">
        <v>58</v>
      </c>
      <c r="D54" s="4"/>
      <c r="E54" s="4"/>
      <c r="F54" s="4"/>
      <c r="G54" s="5"/>
      <c r="H54" s="18" t="s">
        <v>59</v>
      </c>
    </row>
    <row r="55" ht="15.75" customHeight="1">
      <c r="B55" s="15">
        <v>7.0</v>
      </c>
      <c r="C55" s="16" t="s">
        <v>60</v>
      </c>
      <c r="D55" s="4"/>
      <c r="E55" s="4"/>
      <c r="F55" s="4"/>
      <c r="G55" s="5"/>
      <c r="H55" s="18" t="s">
        <v>61</v>
      </c>
    </row>
    <row r="56" ht="15.75" customHeight="1">
      <c r="B56" s="15">
        <v>8.0</v>
      </c>
      <c r="C56" s="16" t="s">
        <v>62</v>
      </c>
      <c r="D56" s="4"/>
      <c r="E56" s="4"/>
      <c r="F56" s="4"/>
      <c r="G56" s="5"/>
      <c r="H56" s="18" t="s">
        <v>63</v>
      </c>
    </row>
    <row r="57" ht="15.75" customHeight="1">
      <c r="B57" s="15">
        <v>9.0</v>
      </c>
      <c r="C57" s="16" t="s">
        <v>64</v>
      </c>
      <c r="D57" s="4"/>
      <c r="E57" s="4"/>
      <c r="F57" s="4"/>
      <c r="G57" s="5"/>
      <c r="H57" s="18" t="s">
        <v>65</v>
      </c>
    </row>
    <row r="58" ht="15.75" customHeight="1">
      <c r="B58" s="15">
        <v>10.0</v>
      </c>
      <c r="C58" s="16" t="s">
        <v>66</v>
      </c>
      <c r="D58" s="4"/>
      <c r="E58" s="4"/>
      <c r="F58" s="4"/>
      <c r="G58" s="5"/>
      <c r="H58" s="18" t="s">
        <v>67</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C4:H4"/>
    <mergeCell ref="C5:H5"/>
    <mergeCell ref="B8:H8"/>
    <mergeCell ref="C13:H13"/>
    <mergeCell ref="C15:H15"/>
    <mergeCell ref="C16:H16"/>
    <mergeCell ref="C17:H17"/>
    <mergeCell ref="C18:H18"/>
    <mergeCell ref="C19:H19"/>
    <mergeCell ref="C20:H20"/>
    <mergeCell ref="C21:H21"/>
    <mergeCell ref="C22:H22"/>
    <mergeCell ref="C23:H23"/>
    <mergeCell ref="C24:H24"/>
    <mergeCell ref="C25:H25"/>
    <mergeCell ref="B28:H28"/>
    <mergeCell ref="C30:H30"/>
    <mergeCell ref="C31:H31"/>
    <mergeCell ref="C32:H32"/>
    <mergeCell ref="C34:H34"/>
    <mergeCell ref="C35:H35"/>
    <mergeCell ref="C36:H36"/>
    <mergeCell ref="C37:H37"/>
    <mergeCell ref="C38:H38"/>
    <mergeCell ref="C39:H39"/>
    <mergeCell ref="C40:H40"/>
    <mergeCell ref="C41:H41"/>
    <mergeCell ref="C42:H42"/>
    <mergeCell ref="C52:G52"/>
    <mergeCell ref="C53:G53"/>
    <mergeCell ref="C54:G54"/>
    <mergeCell ref="C55:G55"/>
    <mergeCell ref="C56:G56"/>
    <mergeCell ref="C57:G57"/>
    <mergeCell ref="C58:G58"/>
    <mergeCell ref="C43:H43"/>
    <mergeCell ref="C44:H44"/>
    <mergeCell ref="A47:H47"/>
    <mergeCell ref="C48:G48"/>
    <mergeCell ref="C49:G49"/>
    <mergeCell ref="C50:G50"/>
    <mergeCell ref="C51:G51"/>
  </mergeCells>
  <hyperlinks>
    <hyperlink r:id="rId1" ref="C13"/>
    <hyperlink r:id="rId2" ref="C32"/>
    <hyperlink r:id="rId3" ref="H49"/>
    <hyperlink r:id="rId4" ref="H50"/>
    <hyperlink r:id="rId5" ref="H51"/>
    <hyperlink r:id="rId6" ref="H52"/>
    <hyperlink r:id="rId7" ref="H53"/>
    <hyperlink r:id="rId8" ref="H54"/>
    <hyperlink r:id="rId9" ref="H55"/>
    <hyperlink r:id="rId10" ref="H56"/>
    <hyperlink r:id="rId11" ref="H57"/>
    <hyperlink r:id="rId12" ref="H58"/>
  </hyperlinks>
  <printOptions/>
  <pageMargins bottom="0.75" footer="0.0" header="0.0" left="0.7" right="0.7" top="0.75"/>
  <pageSetup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25.0"/>
    <col customWidth="1" min="4" max="4" width="30.0"/>
    <col customWidth="1" min="5" max="5" width="15.0"/>
    <col customWidth="1" min="6" max="6" width="10.0"/>
    <col customWidth="1" min="7" max="7" width="60.0"/>
    <col customWidth="1" min="8" max="9" width="32.0"/>
    <col customWidth="1" min="10" max="26" width="8.71"/>
  </cols>
  <sheetData>
    <row r="1" ht="19.5" customHeight="1">
      <c r="B1" s="19" t="s">
        <v>68</v>
      </c>
    </row>
    <row r="2" ht="24.75" customHeight="1">
      <c r="H2" s="20" t="s">
        <v>69</v>
      </c>
      <c r="I2" s="21" t="s">
        <v>70</v>
      </c>
    </row>
    <row r="3" ht="45.0" customHeight="1">
      <c r="B3" s="22" t="s">
        <v>71</v>
      </c>
      <c r="C3" s="22" t="s">
        <v>72</v>
      </c>
      <c r="D3" s="22" t="s">
        <v>73</v>
      </c>
      <c r="E3" s="22" t="s">
        <v>74</v>
      </c>
      <c r="F3" s="22" t="s">
        <v>75</v>
      </c>
      <c r="G3" s="22" t="s">
        <v>76</v>
      </c>
      <c r="H3" s="23" t="str">
        <f>IF('Referentes Internacionales'!C10="","Universidad (sin nombre)",'Referentes Internacionales'!C10)</f>
        <v>Stanford University</v>
      </c>
      <c r="I3" s="24" t="str">
        <f>IF('Referentes Internacionales'!C30="","Estándar (sin nombre)",'Referentes Internacionales'!C30)</f>
        <v>ACM/IEEE CS2023 - Software Development Fundamentals (SDF) </v>
      </c>
    </row>
    <row r="4">
      <c r="B4" s="25" t="s">
        <v>77</v>
      </c>
      <c r="C4" s="25" t="s">
        <v>78</v>
      </c>
      <c r="D4" s="25" t="s">
        <v>79</v>
      </c>
      <c r="E4" s="26" t="s">
        <v>80</v>
      </c>
      <c r="F4" s="25">
        <v>2.0</v>
      </c>
      <c r="G4" s="25" t="s">
        <v>81</v>
      </c>
      <c r="H4" s="26" t="s">
        <v>19</v>
      </c>
      <c r="I4" s="26" t="s">
        <v>35</v>
      </c>
    </row>
    <row r="5">
      <c r="B5" s="25" t="s">
        <v>77</v>
      </c>
      <c r="C5" s="25" t="s">
        <v>78</v>
      </c>
      <c r="D5" s="25" t="s">
        <v>82</v>
      </c>
      <c r="E5" s="26" t="s">
        <v>80</v>
      </c>
      <c r="F5" s="25">
        <v>2.0</v>
      </c>
      <c r="G5" s="25" t="s">
        <v>81</v>
      </c>
      <c r="H5" s="26" t="s">
        <v>19</v>
      </c>
      <c r="I5" s="26" t="s">
        <v>35</v>
      </c>
    </row>
    <row r="6">
      <c r="B6" s="25" t="s">
        <v>77</v>
      </c>
      <c r="C6" s="25" t="s">
        <v>78</v>
      </c>
      <c r="D6" s="25" t="s">
        <v>83</v>
      </c>
      <c r="E6" s="26" t="s">
        <v>84</v>
      </c>
      <c r="F6" s="25">
        <v>3.0</v>
      </c>
      <c r="G6" s="25" t="s">
        <v>81</v>
      </c>
      <c r="H6" s="26" t="s">
        <v>19</v>
      </c>
      <c r="I6" s="26" t="s">
        <v>35</v>
      </c>
    </row>
    <row r="7">
      <c r="B7" s="25" t="s">
        <v>85</v>
      </c>
      <c r="C7" s="25" t="s">
        <v>86</v>
      </c>
      <c r="D7" s="25" t="s">
        <v>87</v>
      </c>
      <c r="E7" s="26" t="s">
        <v>84</v>
      </c>
      <c r="F7" s="25">
        <v>3.0</v>
      </c>
      <c r="G7" s="25" t="s">
        <v>88</v>
      </c>
      <c r="H7" s="26" t="s">
        <v>24</v>
      </c>
      <c r="I7" s="26" t="s">
        <v>37</v>
      </c>
    </row>
    <row r="8">
      <c r="B8" s="25" t="s">
        <v>85</v>
      </c>
      <c r="C8" s="25" t="s">
        <v>86</v>
      </c>
      <c r="D8" s="25" t="s">
        <v>89</v>
      </c>
      <c r="E8" s="26" t="s">
        <v>84</v>
      </c>
      <c r="F8" s="25">
        <v>3.0</v>
      </c>
      <c r="G8" s="25" t="s">
        <v>88</v>
      </c>
      <c r="H8" s="26" t="s">
        <v>24</v>
      </c>
      <c r="I8" s="26" t="s">
        <v>37</v>
      </c>
    </row>
    <row r="9">
      <c r="B9" s="25" t="s">
        <v>85</v>
      </c>
      <c r="C9" s="25" t="s">
        <v>86</v>
      </c>
      <c r="D9" s="25" t="s">
        <v>90</v>
      </c>
      <c r="E9" s="26" t="s">
        <v>84</v>
      </c>
      <c r="F9" s="25">
        <v>3.0</v>
      </c>
      <c r="G9" s="25" t="s">
        <v>88</v>
      </c>
      <c r="H9" s="26" t="s">
        <v>24</v>
      </c>
      <c r="I9" s="26" t="s">
        <v>37</v>
      </c>
    </row>
    <row r="10">
      <c r="B10" s="25" t="s">
        <v>85</v>
      </c>
      <c r="C10" s="25" t="s">
        <v>86</v>
      </c>
      <c r="D10" s="25" t="s">
        <v>91</v>
      </c>
      <c r="E10" s="26" t="s">
        <v>84</v>
      </c>
      <c r="F10" s="25">
        <v>3.0</v>
      </c>
      <c r="G10" s="25" t="s">
        <v>88</v>
      </c>
      <c r="H10" s="26" t="s">
        <v>24</v>
      </c>
      <c r="I10" s="26" t="s">
        <v>37</v>
      </c>
    </row>
    <row r="11">
      <c r="B11" s="25" t="s">
        <v>92</v>
      </c>
      <c r="C11" s="25" t="s">
        <v>93</v>
      </c>
      <c r="D11" s="25" t="s">
        <v>94</v>
      </c>
      <c r="E11" s="26" t="s">
        <v>84</v>
      </c>
      <c r="F11" s="25">
        <v>4.0</v>
      </c>
      <c r="G11" s="25" t="s">
        <v>95</v>
      </c>
      <c r="H11" s="26" t="s">
        <v>17</v>
      </c>
      <c r="I11" s="26" t="s">
        <v>35</v>
      </c>
    </row>
    <row r="12">
      <c r="B12" s="25" t="s">
        <v>92</v>
      </c>
      <c r="C12" s="25" t="s">
        <v>96</v>
      </c>
      <c r="D12" s="25" t="s">
        <v>97</v>
      </c>
      <c r="E12" s="26" t="s">
        <v>84</v>
      </c>
      <c r="F12" s="25">
        <v>4.0</v>
      </c>
      <c r="G12" s="25" t="s">
        <v>95</v>
      </c>
      <c r="H12" s="26" t="s">
        <v>17</v>
      </c>
      <c r="I12" s="26" t="s">
        <v>35</v>
      </c>
    </row>
    <row r="13">
      <c r="B13" s="25" t="s">
        <v>92</v>
      </c>
      <c r="C13" s="25" t="s">
        <v>96</v>
      </c>
      <c r="D13" s="25" t="s">
        <v>98</v>
      </c>
      <c r="E13" s="26" t="s">
        <v>84</v>
      </c>
      <c r="F13" s="25">
        <v>4.0</v>
      </c>
      <c r="G13" s="25" t="s">
        <v>81</v>
      </c>
      <c r="H13" s="26" t="s">
        <v>17</v>
      </c>
      <c r="I13" s="26" t="s">
        <v>35</v>
      </c>
    </row>
    <row r="14">
      <c r="B14" s="25" t="s">
        <v>92</v>
      </c>
      <c r="C14" s="25" t="s">
        <v>99</v>
      </c>
      <c r="D14" s="25" t="s">
        <v>100</v>
      </c>
      <c r="E14" s="26" t="s">
        <v>84</v>
      </c>
      <c r="F14" s="25">
        <v>4.0</v>
      </c>
      <c r="G14" s="25" t="s">
        <v>95</v>
      </c>
      <c r="H14" s="26" t="s">
        <v>17</v>
      </c>
      <c r="I14" s="26" t="s">
        <v>35</v>
      </c>
    </row>
    <row r="15">
      <c r="B15" s="25" t="s">
        <v>92</v>
      </c>
      <c r="C15" s="25" t="s">
        <v>99</v>
      </c>
      <c r="D15" s="25" t="s">
        <v>101</v>
      </c>
      <c r="E15" s="26" t="s">
        <v>84</v>
      </c>
      <c r="F15" s="25">
        <v>4.0</v>
      </c>
      <c r="G15" s="25" t="s">
        <v>81</v>
      </c>
      <c r="H15" s="26" t="s">
        <v>17</v>
      </c>
      <c r="I15" s="26" t="s">
        <v>35</v>
      </c>
    </row>
    <row r="16">
      <c r="B16" s="25" t="s">
        <v>92</v>
      </c>
      <c r="C16" s="25" t="s">
        <v>102</v>
      </c>
      <c r="D16" s="25" t="s">
        <v>103</v>
      </c>
      <c r="E16" s="26" t="s">
        <v>84</v>
      </c>
      <c r="F16" s="25">
        <v>4.0</v>
      </c>
      <c r="G16" s="25" t="s">
        <v>95</v>
      </c>
      <c r="H16" s="26" t="s">
        <v>17</v>
      </c>
      <c r="I16" s="26" t="s">
        <v>35</v>
      </c>
    </row>
    <row r="17">
      <c r="B17" s="25" t="s">
        <v>92</v>
      </c>
      <c r="C17" s="25" t="s">
        <v>102</v>
      </c>
      <c r="D17" s="25" t="s">
        <v>104</v>
      </c>
      <c r="E17" s="26" t="s">
        <v>84</v>
      </c>
      <c r="F17" s="25">
        <v>5.0</v>
      </c>
      <c r="G17" s="25" t="s">
        <v>81</v>
      </c>
      <c r="H17" s="26" t="s">
        <v>17</v>
      </c>
      <c r="I17" s="26" t="s">
        <v>35</v>
      </c>
    </row>
    <row r="18">
      <c r="B18" s="25" t="s">
        <v>92</v>
      </c>
      <c r="C18" s="25" t="s">
        <v>105</v>
      </c>
      <c r="D18" s="25" t="s">
        <v>106</v>
      </c>
      <c r="E18" s="26" t="s">
        <v>84</v>
      </c>
      <c r="F18" s="25">
        <v>4.0</v>
      </c>
      <c r="G18" s="25" t="s">
        <v>81</v>
      </c>
      <c r="H18" s="26" t="s">
        <v>17</v>
      </c>
      <c r="I18" s="26" t="s">
        <v>35</v>
      </c>
    </row>
    <row r="19">
      <c r="B19" s="25" t="s">
        <v>92</v>
      </c>
      <c r="C19" s="25" t="s">
        <v>105</v>
      </c>
      <c r="D19" s="25" t="s">
        <v>107</v>
      </c>
      <c r="E19" s="26" t="s">
        <v>84</v>
      </c>
      <c r="F19" s="25">
        <v>5.0</v>
      </c>
      <c r="G19" s="25" t="s">
        <v>81</v>
      </c>
      <c r="H19" s="26" t="s">
        <v>17</v>
      </c>
      <c r="I19" s="26" t="s">
        <v>35</v>
      </c>
    </row>
    <row r="20">
      <c r="B20" s="25" t="s">
        <v>92</v>
      </c>
      <c r="C20" s="25" t="s">
        <v>108</v>
      </c>
      <c r="D20" s="25" t="s">
        <v>109</v>
      </c>
      <c r="E20" s="26" t="s">
        <v>84</v>
      </c>
      <c r="F20" s="25">
        <v>4.0</v>
      </c>
      <c r="G20" s="25" t="s">
        <v>81</v>
      </c>
      <c r="H20" s="26" t="s">
        <v>17</v>
      </c>
      <c r="I20" s="26" t="s">
        <v>35</v>
      </c>
    </row>
    <row r="21" ht="15.75" customHeight="1">
      <c r="B21" s="25" t="s">
        <v>92</v>
      </c>
      <c r="C21" s="25" t="s">
        <v>108</v>
      </c>
      <c r="D21" s="25" t="s">
        <v>110</v>
      </c>
      <c r="E21" s="26" t="s">
        <v>84</v>
      </c>
      <c r="F21" s="25">
        <v>5.0</v>
      </c>
      <c r="G21" s="25" t="s">
        <v>111</v>
      </c>
      <c r="H21" s="26" t="s">
        <v>17</v>
      </c>
      <c r="I21" s="26" t="s">
        <v>35</v>
      </c>
    </row>
    <row r="22" ht="15.75" customHeight="1">
      <c r="B22" s="25" t="s">
        <v>92</v>
      </c>
      <c r="C22" s="25" t="s">
        <v>112</v>
      </c>
      <c r="D22" s="25" t="s">
        <v>113</v>
      </c>
      <c r="E22" s="26" t="s">
        <v>84</v>
      </c>
      <c r="F22" s="25">
        <v>4.0</v>
      </c>
      <c r="G22" s="25" t="s">
        <v>81</v>
      </c>
      <c r="H22" s="26" t="s">
        <v>17</v>
      </c>
      <c r="I22" s="26" t="s">
        <v>35</v>
      </c>
    </row>
    <row r="23" ht="15.75" customHeight="1">
      <c r="B23" s="25" t="s">
        <v>92</v>
      </c>
      <c r="C23" s="25" t="s">
        <v>112</v>
      </c>
      <c r="D23" s="25" t="s">
        <v>114</v>
      </c>
      <c r="E23" s="26" t="s">
        <v>84</v>
      </c>
      <c r="F23" s="25">
        <v>5.0</v>
      </c>
      <c r="G23" s="25" t="s">
        <v>81</v>
      </c>
      <c r="H23" s="26" t="s">
        <v>17</v>
      </c>
      <c r="I23" s="26" t="s">
        <v>35</v>
      </c>
    </row>
    <row r="24" ht="15.75" customHeight="1">
      <c r="B24" s="25" t="s">
        <v>92</v>
      </c>
      <c r="C24" s="25" t="s">
        <v>115</v>
      </c>
      <c r="D24" s="25" t="s">
        <v>116</v>
      </c>
      <c r="E24" s="26" t="s">
        <v>84</v>
      </c>
      <c r="F24" s="25">
        <v>5.0</v>
      </c>
      <c r="G24" s="25" t="s">
        <v>111</v>
      </c>
      <c r="H24" s="26" t="s">
        <v>17</v>
      </c>
      <c r="I24" s="26" t="s">
        <v>35</v>
      </c>
    </row>
    <row r="25" ht="15.75" customHeight="1">
      <c r="B25" s="25" t="s">
        <v>117</v>
      </c>
      <c r="C25" s="25" t="s">
        <v>118</v>
      </c>
      <c r="D25" s="25" t="s">
        <v>119</v>
      </c>
      <c r="E25" s="26" t="s">
        <v>84</v>
      </c>
      <c r="F25" s="25">
        <v>5.0</v>
      </c>
      <c r="G25" s="25" t="s">
        <v>81</v>
      </c>
      <c r="H25" s="26" t="s">
        <v>17</v>
      </c>
      <c r="I25" s="26" t="s">
        <v>35</v>
      </c>
    </row>
    <row r="26" ht="15.75" customHeight="1">
      <c r="B26" s="25" t="s">
        <v>117</v>
      </c>
      <c r="C26" s="25" t="s">
        <v>118</v>
      </c>
      <c r="D26" s="25" t="s">
        <v>120</v>
      </c>
      <c r="E26" s="26" t="s">
        <v>84</v>
      </c>
      <c r="F26" s="25">
        <v>5.0</v>
      </c>
      <c r="G26" s="25" t="s">
        <v>81</v>
      </c>
      <c r="H26" s="26" t="s">
        <v>17</v>
      </c>
      <c r="I26" s="26" t="s">
        <v>35</v>
      </c>
    </row>
    <row r="27" ht="15.75" customHeight="1">
      <c r="B27" s="25" t="s">
        <v>117</v>
      </c>
      <c r="C27" s="25" t="s">
        <v>118</v>
      </c>
      <c r="D27" s="25" t="s">
        <v>121</v>
      </c>
      <c r="E27" s="26" t="s">
        <v>84</v>
      </c>
      <c r="F27" s="25">
        <v>6.0</v>
      </c>
      <c r="G27" s="25" t="s">
        <v>81</v>
      </c>
      <c r="H27" s="26" t="s">
        <v>17</v>
      </c>
      <c r="I27" s="26" t="s">
        <v>35</v>
      </c>
    </row>
    <row r="28" ht="15.75" customHeight="1">
      <c r="B28" s="25" t="s">
        <v>122</v>
      </c>
      <c r="C28" s="25" t="s">
        <v>123</v>
      </c>
      <c r="D28" s="25" t="s">
        <v>124</v>
      </c>
      <c r="E28" s="25" t="s">
        <v>125</v>
      </c>
      <c r="F28" s="25">
        <v>6.0</v>
      </c>
      <c r="G28" s="25" t="s">
        <v>81</v>
      </c>
      <c r="H28" s="26" t="s">
        <v>18</v>
      </c>
      <c r="I28" s="26" t="s">
        <v>35</v>
      </c>
    </row>
    <row r="29" ht="15.75" customHeight="1">
      <c r="B29" s="25" t="s">
        <v>122</v>
      </c>
      <c r="C29" s="25" t="s">
        <v>123</v>
      </c>
      <c r="D29" s="25" t="s">
        <v>126</v>
      </c>
      <c r="E29" s="26" t="s">
        <v>84</v>
      </c>
      <c r="F29" s="25">
        <v>6.0</v>
      </c>
      <c r="G29" s="25" t="s">
        <v>81</v>
      </c>
      <c r="H29" s="26" t="s">
        <v>18</v>
      </c>
      <c r="I29" s="26" t="s">
        <v>35</v>
      </c>
    </row>
    <row r="30" ht="15.75" customHeight="1">
      <c r="B30" s="25" t="s">
        <v>122</v>
      </c>
      <c r="C30" s="25" t="s">
        <v>123</v>
      </c>
      <c r="D30" s="25" t="s">
        <v>127</v>
      </c>
      <c r="E30" s="26" t="s">
        <v>128</v>
      </c>
      <c r="F30" s="25">
        <v>6.0</v>
      </c>
      <c r="G30" s="25" t="s">
        <v>129</v>
      </c>
      <c r="H30" s="26" t="s">
        <v>18</v>
      </c>
      <c r="I30" s="26" t="s">
        <v>35</v>
      </c>
    </row>
    <row r="31" ht="15.75" customHeight="1">
      <c r="B31" s="25" t="s">
        <v>130</v>
      </c>
      <c r="C31" s="25" t="s">
        <v>131</v>
      </c>
      <c r="D31" s="25" t="s">
        <v>132</v>
      </c>
      <c r="E31" s="26" t="s">
        <v>128</v>
      </c>
      <c r="F31" s="25">
        <v>7.0</v>
      </c>
      <c r="G31" s="25" t="s">
        <v>111</v>
      </c>
      <c r="H31" s="26" t="s">
        <v>20</v>
      </c>
      <c r="I31" s="26" t="s">
        <v>36</v>
      </c>
    </row>
    <row r="32" ht="15.75" customHeight="1">
      <c r="B32" s="25" t="s">
        <v>130</v>
      </c>
      <c r="C32" s="25" t="s">
        <v>131</v>
      </c>
      <c r="D32" s="25" t="s">
        <v>133</v>
      </c>
      <c r="E32" s="26" t="s">
        <v>128</v>
      </c>
      <c r="F32" s="25">
        <v>7.0</v>
      </c>
      <c r="G32" s="25" t="s">
        <v>111</v>
      </c>
      <c r="H32" s="26" t="s">
        <v>20</v>
      </c>
      <c r="I32" s="26" t="s">
        <v>36</v>
      </c>
    </row>
    <row r="33" ht="15.75" customHeight="1">
      <c r="B33" s="25" t="s">
        <v>130</v>
      </c>
      <c r="C33" s="25" t="s">
        <v>131</v>
      </c>
      <c r="D33" s="25" t="s">
        <v>134</v>
      </c>
      <c r="E33" s="26" t="s">
        <v>128</v>
      </c>
      <c r="F33" s="25">
        <v>7.0</v>
      </c>
      <c r="G33" s="25" t="s">
        <v>111</v>
      </c>
      <c r="H33" s="26" t="s">
        <v>20</v>
      </c>
      <c r="I33" s="26" t="s">
        <v>36</v>
      </c>
    </row>
    <row r="34" ht="15.75" customHeight="1">
      <c r="B34" s="25" t="s">
        <v>130</v>
      </c>
      <c r="C34" s="25" t="s">
        <v>131</v>
      </c>
      <c r="D34" s="25" t="s">
        <v>135</v>
      </c>
      <c r="E34" s="26" t="s">
        <v>128</v>
      </c>
      <c r="F34" s="25">
        <v>7.0</v>
      </c>
      <c r="G34" s="25" t="s">
        <v>111</v>
      </c>
      <c r="H34" s="26" t="s">
        <v>20</v>
      </c>
      <c r="I34" s="26" t="s">
        <v>36</v>
      </c>
    </row>
    <row r="35" ht="15.75" customHeight="1">
      <c r="B35" s="25" t="s">
        <v>130</v>
      </c>
      <c r="C35" s="25" t="s">
        <v>131</v>
      </c>
      <c r="D35" s="25" t="s">
        <v>136</v>
      </c>
      <c r="E35" s="26" t="s">
        <v>128</v>
      </c>
      <c r="F35" s="25">
        <v>7.0</v>
      </c>
      <c r="G35" s="25" t="s">
        <v>111</v>
      </c>
      <c r="H35" s="26" t="s">
        <v>20</v>
      </c>
      <c r="I35" s="26" t="s">
        <v>36</v>
      </c>
    </row>
    <row r="36" ht="15.75" customHeight="1">
      <c r="B36" s="25" t="s">
        <v>130</v>
      </c>
      <c r="C36" s="25" t="s">
        <v>131</v>
      </c>
      <c r="D36" s="25" t="s">
        <v>137</v>
      </c>
      <c r="E36" s="26" t="s">
        <v>128</v>
      </c>
      <c r="F36" s="25">
        <v>7.0</v>
      </c>
      <c r="G36" s="25" t="s">
        <v>111</v>
      </c>
      <c r="H36" s="26" t="s">
        <v>20</v>
      </c>
      <c r="I36" s="26" t="s">
        <v>36</v>
      </c>
    </row>
    <row r="37" ht="15.75" customHeight="1">
      <c r="B37" s="25" t="s">
        <v>130</v>
      </c>
      <c r="C37" s="25" t="s">
        <v>131</v>
      </c>
      <c r="D37" s="25" t="s">
        <v>138</v>
      </c>
      <c r="E37" s="26" t="s">
        <v>128</v>
      </c>
      <c r="F37" s="25">
        <v>7.0</v>
      </c>
      <c r="G37" s="25" t="s">
        <v>111</v>
      </c>
      <c r="H37" s="26" t="s">
        <v>20</v>
      </c>
      <c r="I37" s="26" t="s">
        <v>36</v>
      </c>
    </row>
    <row r="38" ht="15.75" customHeight="1">
      <c r="B38" s="25" t="s">
        <v>130</v>
      </c>
      <c r="C38" s="25" t="s">
        <v>131</v>
      </c>
      <c r="D38" s="25" t="s">
        <v>139</v>
      </c>
      <c r="E38" s="26" t="s">
        <v>128</v>
      </c>
      <c r="F38" s="25">
        <v>7.0</v>
      </c>
      <c r="G38" s="25" t="s">
        <v>111</v>
      </c>
      <c r="H38" s="26" t="s">
        <v>20</v>
      </c>
      <c r="I38" s="26" t="s">
        <v>36</v>
      </c>
    </row>
    <row r="39" ht="15.75" customHeight="1">
      <c r="B39" s="25" t="s">
        <v>140</v>
      </c>
      <c r="C39" s="25" t="s">
        <v>141</v>
      </c>
      <c r="D39" s="25" t="s">
        <v>142</v>
      </c>
      <c r="E39" s="26" t="s">
        <v>128</v>
      </c>
      <c r="F39" s="25">
        <v>8.0</v>
      </c>
      <c r="G39" s="25" t="s">
        <v>143</v>
      </c>
      <c r="H39" s="26" t="s">
        <v>22</v>
      </c>
      <c r="I39" s="26" t="s">
        <v>35</v>
      </c>
    </row>
    <row r="40" ht="15.75" customHeight="1">
      <c r="B40" s="25" t="s">
        <v>144</v>
      </c>
      <c r="C40" s="25" t="s">
        <v>145</v>
      </c>
      <c r="D40" s="25" t="s">
        <v>146</v>
      </c>
      <c r="E40" s="26" t="s">
        <v>128</v>
      </c>
      <c r="F40" s="25">
        <v>8.0</v>
      </c>
      <c r="G40" s="25" t="s">
        <v>111</v>
      </c>
      <c r="H40" s="26" t="s">
        <v>20</v>
      </c>
      <c r="I40" s="26" t="s">
        <v>37</v>
      </c>
    </row>
    <row r="41" ht="15.75" customHeight="1">
      <c r="B41" s="25" t="s">
        <v>144</v>
      </c>
      <c r="C41" s="25" t="s">
        <v>145</v>
      </c>
      <c r="D41" s="25" t="s">
        <v>147</v>
      </c>
      <c r="E41" s="26" t="s">
        <v>128</v>
      </c>
      <c r="F41" s="25">
        <v>8.0</v>
      </c>
      <c r="G41" s="25" t="s">
        <v>111</v>
      </c>
      <c r="H41" s="26" t="s">
        <v>20</v>
      </c>
      <c r="I41" s="26" t="s">
        <v>37</v>
      </c>
    </row>
    <row r="42" ht="15.75" customHeight="1">
      <c r="B42" s="25" t="s">
        <v>144</v>
      </c>
      <c r="C42" s="25" t="s">
        <v>145</v>
      </c>
      <c r="D42" s="25" t="s">
        <v>148</v>
      </c>
      <c r="E42" s="26" t="s">
        <v>128</v>
      </c>
      <c r="F42" s="25">
        <v>8.0</v>
      </c>
      <c r="G42" s="25" t="s">
        <v>143</v>
      </c>
      <c r="H42" s="26" t="s">
        <v>20</v>
      </c>
      <c r="I42" s="26" t="s">
        <v>37</v>
      </c>
    </row>
    <row r="43" ht="15.75" customHeight="1">
      <c r="B43" s="25" t="s">
        <v>144</v>
      </c>
      <c r="C43" s="25" t="s">
        <v>145</v>
      </c>
      <c r="D43" s="25" t="s">
        <v>149</v>
      </c>
      <c r="E43" s="26" t="s">
        <v>128</v>
      </c>
      <c r="F43" s="25">
        <v>8.0</v>
      </c>
      <c r="G43" s="25" t="s">
        <v>111</v>
      </c>
      <c r="H43" s="26" t="s">
        <v>20</v>
      </c>
      <c r="I43" s="26" t="s">
        <v>37</v>
      </c>
    </row>
    <row r="44" ht="15.75" customHeight="1">
      <c r="B44" s="25" t="s">
        <v>150</v>
      </c>
      <c r="C44" s="25" t="s">
        <v>151</v>
      </c>
      <c r="D44" s="25" t="s">
        <v>152</v>
      </c>
      <c r="E44" s="26" t="s">
        <v>128</v>
      </c>
      <c r="F44" s="25">
        <v>9.0</v>
      </c>
      <c r="G44" s="25" t="s">
        <v>111</v>
      </c>
      <c r="H44" s="26" t="s">
        <v>21</v>
      </c>
      <c r="I44" s="26" t="s">
        <v>39</v>
      </c>
    </row>
    <row r="45" ht="15.75" customHeight="1">
      <c r="B45" s="25" t="s">
        <v>150</v>
      </c>
      <c r="C45" s="25" t="s">
        <v>151</v>
      </c>
      <c r="D45" s="25" t="s">
        <v>153</v>
      </c>
      <c r="E45" s="26" t="s">
        <v>128</v>
      </c>
      <c r="F45" s="25">
        <v>9.0</v>
      </c>
      <c r="G45" s="25" t="s">
        <v>111</v>
      </c>
      <c r="H45" s="26" t="s">
        <v>21</v>
      </c>
      <c r="I45" s="26" t="s">
        <v>39</v>
      </c>
    </row>
    <row r="46" ht="15.75" customHeight="1">
      <c r="B46" s="25" t="s">
        <v>150</v>
      </c>
      <c r="C46" s="25" t="s">
        <v>151</v>
      </c>
      <c r="D46" s="25" t="s">
        <v>154</v>
      </c>
      <c r="E46" s="26" t="s">
        <v>128</v>
      </c>
      <c r="F46" s="25">
        <v>9.0</v>
      </c>
      <c r="G46" s="25" t="s">
        <v>111</v>
      </c>
      <c r="H46" s="26" t="s">
        <v>21</v>
      </c>
      <c r="I46" s="26" t="s">
        <v>39</v>
      </c>
    </row>
    <row r="47" ht="15.75" customHeight="1">
      <c r="B47" s="25" t="s">
        <v>150</v>
      </c>
      <c r="C47" s="25" t="s">
        <v>151</v>
      </c>
      <c r="D47" s="25" t="s">
        <v>155</v>
      </c>
      <c r="E47" s="26" t="s">
        <v>128</v>
      </c>
      <c r="F47" s="25">
        <v>9.0</v>
      </c>
      <c r="G47" s="25" t="s">
        <v>129</v>
      </c>
      <c r="H47" s="26" t="s">
        <v>21</v>
      </c>
      <c r="I47" s="26" t="s">
        <v>39</v>
      </c>
    </row>
    <row r="48" ht="15.75" customHeight="1">
      <c r="B48" s="25" t="s">
        <v>156</v>
      </c>
      <c r="C48" s="25" t="s">
        <v>157</v>
      </c>
      <c r="D48" s="25" t="s">
        <v>158</v>
      </c>
      <c r="E48" s="26" t="s">
        <v>128</v>
      </c>
      <c r="F48" s="25">
        <v>9.0</v>
      </c>
      <c r="G48" s="25" t="s">
        <v>111</v>
      </c>
      <c r="H48" s="26" t="s">
        <v>22</v>
      </c>
      <c r="I48" s="26" t="s">
        <v>36</v>
      </c>
    </row>
    <row r="49" ht="15.75" customHeight="1">
      <c r="B49" s="25" t="s">
        <v>156</v>
      </c>
      <c r="C49" s="25" t="s">
        <v>157</v>
      </c>
      <c r="D49" s="25" t="s">
        <v>159</v>
      </c>
      <c r="E49" s="26" t="s">
        <v>128</v>
      </c>
      <c r="F49" s="25">
        <v>9.0</v>
      </c>
      <c r="G49" s="25" t="s">
        <v>111</v>
      </c>
      <c r="H49" s="26" t="s">
        <v>22</v>
      </c>
      <c r="I49" s="26" t="s">
        <v>36</v>
      </c>
    </row>
    <row r="50" ht="15.75" customHeight="1">
      <c r="B50" s="25" t="s">
        <v>156</v>
      </c>
      <c r="C50" s="25" t="s">
        <v>157</v>
      </c>
      <c r="D50" s="25" t="s">
        <v>160</v>
      </c>
      <c r="E50" s="26" t="s">
        <v>128</v>
      </c>
      <c r="F50" s="25">
        <v>9.0</v>
      </c>
      <c r="G50" s="25" t="s">
        <v>111</v>
      </c>
      <c r="H50" s="26" t="s">
        <v>22</v>
      </c>
      <c r="I50" s="26" t="s">
        <v>36</v>
      </c>
    </row>
    <row r="51" ht="15.75" customHeight="1">
      <c r="B51" s="25" t="s">
        <v>156</v>
      </c>
      <c r="C51" s="25" t="s">
        <v>157</v>
      </c>
      <c r="D51" s="25" t="s">
        <v>161</v>
      </c>
      <c r="E51" s="26" t="s">
        <v>128</v>
      </c>
      <c r="F51" s="25">
        <v>9.0</v>
      </c>
      <c r="G51" s="25" t="s">
        <v>111</v>
      </c>
      <c r="H51" s="26" t="s">
        <v>22</v>
      </c>
      <c r="I51" s="26" t="s">
        <v>36</v>
      </c>
    </row>
    <row r="52" ht="15.75" customHeight="1">
      <c r="B52" s="25" t="s">
        <v>162</v>
      </c>
      <c r="C52" s="25" t="s">
        <v>163</v>
      </c>
      <c r="D52" s="25" t="s">
        <v>164</v>
      </c>
      <c r="E52" s="26" t="s">
        <v>128</v>
      </c>
      <c r="F52" s="25">
        <v>10.0</v>
      </c>
      <c r="G52" s="25" t="s">
        <v>143</v>
      </c>
      <c r="H52" s="26" t="s">
        <v>22</v>
      </c>
      <c r="I52" s="26" t="s">
        <v>38</v>
      </c>
    </row>
    <row r="53" ht="15.75" customHeight="1">
      <c r="B53" s="25" t="s">
        <v>162</v>
      </c>
      <c r="C53" s="25" t="s">
        <v>163</v>
      </c>
      <c r="D53" s="25" t="s">
        <v>165</v>
      </c>
      <c r="E53" s="26" t="s">
        <v>128</v>
      </c>
      <c r="F53" s="25">
        <v>10.0</v>
      </c>
      <c r="G53" s="25" t="s">
        <v>143</v>
      </c>
      <c r="H53" s="26" t="s">
        <v>22</v>
      </c>
      <c r="I53" s="26" t="s">
        <v>38</v>
      </c>
    </row>
    <row r="54" ht="15.75" customHeight="1">
      <c r="B54" s="25" t="s">
        <v>162</v>
      </c>
      <c r="C54" s="25" t="s">
        <v>163</v>
      </c>
      <c r="D54" s="25" t="s">
        <v>166</v>
      </c>
      <c r="E54" s="26" t="s">
        <v>128</v>
      </c>
      <c r="F54" s="25">
        <v>10.0</v>
      </c>
      <c r="G54" s="25" t="s">
        <v>143</v>
      </c>
      <c r="H54" s="26" t="s">
        <v>22</v>
      </c>
      <c r="I54" s="26" t="s">
        <v>38</v>
      </c>
    </row>
    <row r="55" ht="15.75" customHeight="1">
      <c r="B55" s="25" t="s">
        <v>162</v>
      </c>
      <c r="C55" s="25" t="s">
        <v>163</v>
      </c>
      <c r="D55" s="25" t="s">
        <v>167</v>
      </c>
      <c r="E55" s="26" t="s">
        <v>128</v>
      </c>
      <c r="F55" s="25">
        <v>10.0</v>
      </c>
      <c r="G55" s="25" t="s">
        <v>143</v>
      </c>
      <c r="H55" s="26" t="s">
        <v>22</v>
      </c>
      <c r="I55" s="26" t="s">
        <v>38</v>
      </c>
    </row>
    <row r="56" ht="15.75" customHeight="1">
      <c r="B56" s="25" t="s">
        <v>162</v>
      </c>
      <c r="C56" s="25" t="s">
        <v>163</v>
      </c>
      <c r="D56" s="25" t="s">
        <v>168</v>
      </c>
      <c r="E56" s="26" t="s">
        <v>128</v>
      </c>
      <c r="F56" s="25">
        <v>10.0</v>
      </c>
      <c r="G56" s="25" t="s">
        <v>143</v>
      </c>
      <c r="H56" s="26" t="s">
        <v>22</v>
      </c>
      <c r="I56" s="26" t="s">
        <v>38</v>
      </c>
    </row>
    <row r="57" ht="15.75" customHeight="1">
      <c r="B57" s="25" t="s">
        <v>162</v>
      </c>
      <c r="C57" s="25" t="s">
        <v>163</v>
      </c>
      <c r="D57" s="25" t="s">
        <v>169</v>
      </c>
      <c r="E57" s="26" t="s">
        <v>128</v>
      </c>
      <c r="F57" s="25">
        <v>10.0</v>
      </c>
      <c r="G57" s="25" t="s">
        <v>143</v>
      </c>
      <c r="H57" s="26" t="s">
        <v>22</v>
      </c>
      <c r="I57" s="26" t="s">
        <v>38</v>
      </c>
    </row>
    <row r="58" ht="15.75" customHeight="1">
      <c r="B58" s="25" t="s">
        <v>162</v>
      </c>
      <c r="C58" s="25" t="s">
        <v>163</v>
      </c>
      <c r="D58" s="25" t="s">
        <v>170</v>
      </c>
      <c r="E58" s="26" t="s">
        <v>128</v>
      </c>
      <c r="F58" s="25">
        <v>10.0</v>
      </c>
      <c r="G58" s="25" t="s">
        <v>143</v>
      </c>
      <c r="H58" s="26" t="s">
        <v>22</v>
      </c>
      <c r="I58" s="26" t="s">
        <v>38</v>
      </c>
    </row>
    <row r="59" ht="15.75" customHeight="1">
      <c r="B59" s="25" t="s">
        <v>171</v>
      </c>
      <c r="C59" s="25" t="s">
        <v>172</v>
      </c>
      <c r="D59" s="25" t="s">
        <v>173</v>
      </c>
      <c r="E59" s="26" t="s">
        <v>128</v>
      </c>
      <c r="F59" s="25">
        <v>10.0</v>
      </c>
      <c r="G59" s="25" t="s">
        <v>143</v>
      </c>
      <c r="H59" s="26" t="s">
        <v>20</v>
      </c>
      <c r="I59" s="26" t="s">
        <v>37</v>
      </c>
    </row>
    <row r="60" ht="15.75" customHeight="1">
      <c r="B60" s="25" t="s">
        <v>171</v>
      </c>
      <c r="C60" s="25" t="s">
        <v>172</v>
      </c>
      <c r="D60" s="25" t="s">
        <v>174</v>
      </c>
      <c r="E60" s="26" t="s">
        <v>128</v>
      </c>
      <c r="F60" s="25">
        <v>10.0</v>
      </c>
      <c r="G60" s="25" t="s">
        <v>143</v>
      </c>
      <c r="H60" s="26" t="s">
        <v>20</v>
      </c>
      <c r="I60" s="26" t="s">
        <v>37</v>
      </c>
    </row>
    <row r="61" ht="15.75" customHeight="1">
      <c r="B61" s="25" t="s">
        <v>171</v>
      </c>
      <c r="C61" s="25" t="s">
        <v>172</v>
      </c>
      <c r="D61" s="25" t="s">
        <v>175</v>
      </c>
      <c r="E61" s="26" t="s">
        <v>128</v>
      </c>
      <c r="F61" s="25">
        <v>10.0</v>
      </c>
      <c r="G61" s="25" t="s">
        <v>143</v>
      </c>
      <c r="H61" s="26" t="s">
        <v>20</v>
      </c>
      <c r="I61" s="26" t="s">
        <v>37</v>
      </c>
    </row>
    <row r="62" ht="15.75" customHeight="1">
      <c r="B62" s="25" t="s">
        <v>171</v>
      </c>
      <c r="C62" s="25" t="s">
        <v>172</v>
      </c>
      <c r="D62" s="25" t="s">
        <v>176</v>
      </c>
      <c r="E62" s="26" t="s">
        <v>128</v>
      </c>
      <c r="F62" s="25">
        <v>10.0</v>
      </c>
      <c r="G62" s="25" t="s">
        <v>143</v>
      </c>
      <c r="H62" s="26" t="s">
        <v>22</v>
      </c>
      <c r="I62" s="26" t="s">
        <v>37</v>
      </c>
    </row>
    <row r="63" ht="15.75" customHeight="1">
      <c r="B63" s="25" t="s">
        <v>171</v>
      </c>
      <c r="C63" s="25" t="s">
        <v>172</v>
      </c>
      <c r="D63" s="25" t="s">
        <v>177</v>
      </c>
      <c r="E63" s="26" t="s">
        <v>178</v>
      </c>
      <c r="F63" s="25">
        <v>11.0</v>
      </c>
      <c r="G63" s="25" t="s">
        <v>95</v>
      </c>
      <c r="H63" s="26" t="s">
        <v>22</v>
      </c>
      <c r="I63" s="26" t="s">
        <v>37</v>
      </c>
    </row>
    <row r="64" ht="15.75" customHeight="1">
      <c r="B64" s="25" t="s">
        <v>171</v>
      </c>
      <c r="C64" s="25" t="s">
        <v>172</v>
      </c>
      <c r="D64" s="25" t="s">
        <v>179</v>
      </c>
      <c r="E64" s="26" t="s">
        <v>178</v>
      </c>
      <c r="F64" s="25">
        <v>11.0</v>
      </c>
      <c r="G64" s="25" t="s">
        <v>95</v>
      </c>
      <c r="H64" s="26" t="s">
        <v>22</v>
      </c>
      <c r="I64" s="26" t="s">
        <v>37</v>
      </c>
    </row>
    <row r="65" ht="15.75" customHeight="1">
      <c r="B65" s="25" t="s">
        <v>171</v>
      </c>
      <c r="C65" s="25" t="s">
        <v>172</v>
      </c>
      <c r="D65" s="25" t="s">
        <v>180</v>
      </c>
      <c r="E65" s="26" t="s">
        <v>178</v>
      </c>
      <c r="F65" s="25">
        <v>11.0</v>
      </c>
      <c r="G65" s="25" t="s">
        <v>95</v>
      </c>
      <c r="H65" s="26" t="s">
        <v>22</v>
      </c>
      <c r="I65" s="26" t="s">
        <v>37</v>
      </c>
    </row>
    <row r="66" ht="15.75" customHeight="1">
      <c r="B66" s="25" t="s">
        <v>181</v>
      </c>
      <c r="C66" s="25" t="s">
        <v>182</v>
      </c>
      <c r="D66" s="25" t="s">
        <v>183</v>
      </c>
      <c r="E66" s="26" t="s">
        <v>178</v>
      </c>
      <c r="F66" s="25">
        <v>11.0</v>
      </c>
      <c r="G66" s="25" t="s">
        <v>184</v>
      </c>
      <c r="H66" s="26" t="s">
        <v>17</v>
      </c>
      <c r="I66" s="26" t="s">
        <v>44</v>
      </c>
    </row>
    <row r="67" ht="15.75" customHeight="1">
      <c r="B67" s="25" t="s">
        <v>181</v>
      </c>
      <c r="C67" s="25" t="s">
        <v>182</v>
      </c>
      <c r="D67" s="25" t="s">
        <v>185</v>
      </c>
      <c r="E67" s="26" t="s">
        <v>178</v>
      </c>
      <c r="F67" s="25">
        <v>11.0</v>
      </c>
      <c r="G67" s="25" t="s">
        <v>184</v>
      </c>
      <c r="H67" s="26" t="s">
        <v>17</v>
      </c>
      <c r="I67" s="26" t="s">
        <v>44</v>
      </c>
    </row>
    <row r="68" ht="15.75" customHeight="1">
      <c r="B68" s="25" t="s">
        <v>181</v>
      </c>
      <c r="C68" s="25" t="s">
        <v>182</v>
      </c>
      <c r="D68" s="25" t="s">
        <v>186</v>
      </c>
      <c r="E68" s="26" t="s">
        <v>178</v>
      </c>
      <c r="F68" s="25">
        <v>11.0</v>
      </c>
      <c r="G68" s="25" t="s">
        <v>184</v>
      </c>
      <c r="H68" s="26" t="s">
        <v>17</v>
      </c>
      <c r="I68" s="26" t="s">
        <v>44</v>
      </c>
    </row>
    <row r="69" ht="15.75" customHeight="1">
      <c r="B69" s="25" t="s">
        <v>181</v>
      </c>
      <c r="C69" s="25" t="s">
        <v>182</v>
      </c>
      <c r="D69" s="25" t="s">
        <v>187</v>
      </c>
      <c r="E69" s="26" t="s">
        <v>178</v>
      </c>
      <c r="F69" s="25">
        <v>11.0</v>
      </c>
      <c r="G69" s="25" t="s">
        <v>184</v>
      </c>
      <c r="H69" s="26" t="s">
        <v>17</v>
      </c>
      <c r="I69" s="26" t="s">
        <v>44</v>
      </c>
    </row>
    <row r="70" ht="15.75" customHeight="1">
      <c r="B70" s="25" t="s">
        <v>181</v>
      </c>
      <c r="C70" s="25" t="s">
        <v>182</v>
      </c>
      <c r="D70" s="25" t="s">
        <v>188</v>
      </c>
      <c r="E70" s="26" t="s">
        <v>178</v>
      </c>
      <c r="F70" s="25">
        <v>11.0</v>
      </c>
      <c r="G70" s="25" t="s">
        <v>184</v>
      </c>
      <c r="H70" s="26" t="s">
        <v>17</v>
      </c>
      <c r="I70" s="26" t="s">
        <v>44</v>
      </c>
    </row>
    <row r="71" ht="15.75" customHeight="1">
      <c r="B71" s="25" t="s">
        <v>181</v>
      </c>
      <c r="C71" s="25" t="s">
        <v>182</v>
      </c>
      <c r="D71" s="25" t="s">
        <v>189</v>
      </c>
      <c r="E71" s="26" t="s">
        <v>178</v>
      </c>
      <c r="F71" s="25">
        <v>11.0</v>
      </c>
      <c r="G71" s="25" t="s">
        <v>184</v>
      </c>
      <c r="H71" s="26" t="s">
        <v>17</v>
      </c>
      <c r="I71" s="26" t="s">
        <v>44</v>
      </c>
    </row>
    <row r="72" ht="15.75" customHeight="1">
      <c r="B72" s="25" t="s">
        <v>181</v>
      </c>
      <c r="C72" s="25" t="s">
        <v>182</v>
      </c>
      <c r="D72" s="25" t="s">
        <v>190</v>
      </c>
      <c r="E72" s="26" t="s">
        <v>178</v>
      </c>
      <c r="F72" s="25">
        <v>11.0</v>
      </c>
      <c r="G72" s="25" t="s">
        <v>184</v>
      </c>
      <c r="H72" s="26" t="s">
        <v>17</v>
      </c>
      <c r="I72" s="26" t="s">
        <v>44</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qref="I4:I72">
      <formula1>'Referentes Internacionales'!$C$35:$C$44</formula1>
    </dataValidation>
    <dataValidation type="list" allowBlank="1" sqref="H4:H72">
      <formula1>'Referentes Internacionales'!$C$16:$C$25</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2.0"/>
    <col customWidth="1" min="3" max="4" width="16.0"/>
    <col customWidth="1" min="5" max="5" width="18.0"/>
    <col customWidth="1" min="6" max="7" width="16.0"/>
    <col customWidth="1" min="8" max="8" width="20.0"/>
    <col customWidth="1" min="9" max="26" width="8.71"/>
  </cols>
  <sheetData>
    <row r="1" ht="19.5" customHeight="1"/>
    <row r="2">
      <c r="B2" s="1" t="s">
        <v>191</v>
      </c>
    </row>
    <row r="4">
      <c r="B4" s="2" t="s">
        <v>1</v>
      </c>
      <c r="C4" s="3" t="s">
        <v>2</v>
      </c>
      <c r="D4" s="4"/>
      <c r="E4" s="4"/>
      <c r="F4" s="4"/>
      <c r="G4" s="4"/>
      <c r="H4" s="5"/>
    </row>
    <row r="5">
      <c r="B5" s="2" t="s">
        <v>3</v>
      </c>
      <c r="C5" s="3" t="s">
        <v>4</v>
      </c>
      <c r="D5" s="4"/>
      <c r="E5" s="4"/>
      <c r="F5" s="4"/>
      <c r="G5" s="4"/>
      <c r="H5" s="5"/>
    </row>
    <row r="7">
      <c r="A7" s="7" t="s">
        <v>192</v>
      </c>
    </row>
    <row r="9" ht="34.5" customHeight="1">
      <c r="B9" s="27" t="s">
        <v>193</v>
      </c>
      <c r="C9" s="4"/>
      <c r="D9" s="4"/>
      <c r="E9" s="5"/>
      <c r="F9" s="28" t="s">
        <v>194</v>
      </c>
      <c r="G9" s="4"/>
      <c r="H9" s="5"/>
    </row>
    <row r="10">
      <c r="B10" s="16" t="s">
        <v>195</v>
      </c>
      <c r="C10" s="4"/>
      <c r="D10" s="4"/>
      <c r="E10" s="5"/>
      <c r="F10" s="16" t="s">
        <v>48</v>
      </c>
      <c r="G10" s="4"/>
      <c r="H10" s="5"/>
    </row>
    <row r="11">
      <c r="B11" s="16" t="s">
        <v>196</v>
      </c>
      <c r="C11" s="4"/>
      <c r="D11" s="4"/>
      <c r="E11" s="5"/>
      <c r="F11" s="16" t="s">
        <v>56</v>
      </c>
      <c r="G11" s="4"/>
      <c r="H11" s="5"/>
    </row>
    <row r="12">
      <c r="B12" s="16" t="s">
        <v>197</v>
      </c>
      <c r="C12" s="4"/>
      <c r="D12" s="4"/>
      <c r="E12" s="5"/>
      <c r="F12" s="16" t="s">
        <v>60</v>
      </c>
      <c r="G12" s="4"/>
      <c r="H12" s="5"/>
    </row>
    <row r="13">
      <c r="B13" s="16" t="s">
        <v>198</v>
      </c>
      <c r="C13" s="4"/>
      <c r="D13" s="4"/>
      <c r="E13" s="5"/>
      <c r="F13" s="16" t="s">
        <v>50</v>
      </c>
      <c r="G13" s="4"/>
      <c r="H13" s="5"/>
    </row>
    <row r="14" ht="21.75" customHeight="1">
      <c r="B14" s="29"/>
      <c r="C14" s="4"/>
      <c r="D14" s="4"/>
      <c r="E14" s="5"/>
      <c r="F14" s="29"/>
      <c r="G14" s="4"/>
      <c r="H14" s="5"/>
    </row>
    <row r="15" ht="21.75" customHeight="1">
      <c r="B15" s="29"/>
      <c r="C15" s="4"/>
      <c r="D15" s="4"/>
      <c r="E15" s="5"/>
      <c r="F15" s="29"/>
      <c r="G15" s="4"/>
      <c r="H15" s="5"/>
    </row>
    <row r="16" ht="21.75" customHeight="1">
      <c r="B16" s="29"/>
      <c r="C16" s="4"/>
      <c r="D16" s="4"/>
      <c r="E16" s="5"/>
      <c r="F16" s="29"/>
      <c r="G16" s="4"/>
      <c r="H16" s="5"/>
    </row>
    <row r="17" ht="21.75" customHeight="1">
      <c r="B17" s="29"/>
      <c r="C17" s="4"/>
      <c r="D17" s="4"/>
      <c r="E17" s="5"/>
      <c r="F17" s="29"/>
      <c r="G17" s="4"/>
      <c r="H17" s="5"/>
    </row>
    <row r="18" ht="21.75" customHeight="1">
      <c r="B18" s="29"/>
      <c r="C18" s="4"/>
      <c r="D18" s="4"/>
      <c r="E18" s="5"/>
      <c r="F18" s="29"/>
      <c r="G18" s="4"/>
      <c r="H18" s="5"/>
    </row>
    <row r="19" ht="21.75" customHeight="1">
      <c r="B19" s="29"/>
      <c r="C19" s="4"/>
      <c r="D19" s="4"/>
      <c r="E19" s="5"/>
      <c r="F19" s="29"/>
      <c r="G19" s="4"/>
      <c r="H19" s="5"/>
    </row>
    <row r="21" ht="15.75" customHeight="1"/>
    <row r="22" ht="34.5" customHeight="1">
      <c r="B22" s="30" t="s">
        <v>199</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C4:H4"/>
    <mergeCell ref="C5:H5"/>
    <mergeCell ref="A7:H7"/>
    <mergeCell ref="B9:E9"/>
    <mergeCell ref="F9:H9"/>
    <mergeCell ref="B10:E10"/>
    <mergeCell ref="F10:H10"/>
    <mergeCell ref="B11:E11"/>
    <mergeCell ref="F11:H11"/>
    <mergeCell ref="B12:E12"/>
    <mergeCell ref="F12:H12"/>
    <mergeCell ref="B13:E13"/>
    <mergeCell ref="F13:H13"/>
    <mergeCell ref="F14:H14"/>
    <mergeCell ref="B18:E18"/>
    <mergeCell ref="F18:H18"/>
    <mergeCell ref="B19:E19"/>
    <mergeCell ref="F19:H19"/>
    <mergeCell ref="B22:H22"/>
    <mergeCell ref="B14:E14"/>
    <mergeCell ref="B15:E15"/>
    <mergeCell ref="F15:H15"/>
    <mergeCell ref="B16:E16"/>
    <mergeCell ref="F16:H16"/>
    <mergeCell ref="B17:E17"/>
    <mergeCell ref="F17:H17"/>
  </mergeCells>
  <dataValidations>
    <dataValidation type="list" allowBlank="1" sqref="F10:F19">
      <formula1>'Referentes Internacionales'!$C$49:$C$58</formula1>
    </dataValidation>
  </dataValidations>
  <printOptions/>
  <pageMargins bottom="0.75" footer="0.0" header="0.0" left="0.7" right="0.7" top="0.75"/>
  <pageSetup orientation="portrait"/>
  <drawing r:id="rId1"/>
</worksheet>
</file>