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3" sheetId="2" r:id="rId5"/>
    <sheet state="visible" name="Hoja 2" sheetId="3" r:id="rId6"/>
  </sheets>
  <definedNames/>
  <calcPr/>
</workbook>
</file>

<file path=xl/sharedStrings.xml><?xml version="1.0" encoding="utf-8"?>
<sst xmlns="http://schemas.openxmlformats.org/spreadsheetml/2006/main" count="158" uniqueCount="81">
  <si>
    <t>No.</t>
  </si>
  <si>
    <t>Criterio de evaluación</t>
  </si>
  <si>
    <t>Satisfactorio (100%–61%)</t>
  </si>
  <si>
    <t>Necesita mejorar (60%–0%)</t>
  </si>
  <si>
    <t>Punteo Total</t>
  </si>
  <si>
    <t>Script de Base de Datos</t>
  </si>
  <si>
    <t>Modelo relacional correcto (PK/FK, tipos y constraints); scripts de creación ejecutan sin errores; datos de prueba mínimos consistentes.</t>
  </si>
  <si>
    <t>Modelo/DDL incompleto, errores de ejecución o ausencia de claves/relaciones; inconsistencia de datos.</t>
  </si>
  <si>
    <t>Rango del punteo</t>
  </si>
  <si>
    <t>25/25-16</t>
  </si>
  <si>
    <t>Dashboard y KPI’s</t>
  </si>
  <si>
    <t>Visualizaciones claras y efectivas, filtros/segmentadores; muestra Top 10, Bottom 10 (2011–2022) y Q4-2022; KPIs y criterios visibles/justificados.</t>
  </si>
  <si>
    <t>Visualizaciones confusas o inconexas; faltan vistas clave (Top/Bottom/Q4-2022) o no hay KPIs/criterios.</t>
  </si>
  <si>
    <t>Informe Ejecutivo (PDF)</t>
  </si>
  <si>
    <t>Redacción y ortografía correctas; análisis e insights; decisiones y recomendaciones justificadas con base en los datos/metodología.</t>
  </si>
  <si>
    <t>Redacción deficiente; falta de análisis o decisiones sin sustento; omite metodología/criterios.</t>
  </si>
  <si>
    <t>Presentación Oral (Meet)</t>
  </si>
  <si>
    <t>Explica con solvencia el flujo de trabajo y hallazgos; responde preguntas; manejo de tiempo; participación equilibrada del equipo.</t>
  </si>
  <si>
    <t>Lectura literal de diapositivas; dudas al explicar; manejo de tiempo deficiente; participación mínima.</t>
  </si>
  <si>
    <t>Cumplimiento de Entregables</t>
  </si>
  <si>
    <t>Entrega completa y con formato correcto: script BD, script Qlik (si aplica), modelo relacional, PDF de dashboards/KPIs e informe; convención de nombre y empaquetado.</t>
  </si>
  <si>
    <t>Faltan entregables o formatos incorrectos; no cumple convención de nombre/empaquetado.</t>
  </si>
  <si>
    <t>Funcionamiento correcto – Display Cátodo Común</t>
  </si>
  <si>
    <t>Enciende segmentos correctos para los caracteres; lógica por términos mínimos validada en simulación y físico.</t>
  </si>
  <si>
    <t>Errores de encendido, caracteres incorrectos o sin validación completa.</t>
  </si>
  <si>
    <t>Implementado en físico – Segmento 1 en PCB</t>
  </si>
  <si>
    <t>Trazado y soldadura correctos; funciona en el circuito.</t>
  </si>
  <si>
    <t>Montaje/función defectuosos.</t>
  </si>
  <si>
    <t>Implementado en físico – Segmento 2 en PCB</t>
  </si>
  <si>
    <t>Igual criterios del 1.1.</t>
  </si>
  <si>
    <t>Implementado en físico – Segmento 3</t>
  </si>
  <si>
    <t>Segmento operativo y estable.</t>
  </si>
  <si>
    <t>Falla intermitente o no enciende.</t>
  </si>
  <si>
    <t>Implementado en físico – Segmento 4</t>
  </si>
  <si>
    <t>Implementado en físico – Segmento 5</t>
  </si>
  <si>
    <t>Implementado en físico – Segmento 6</t>
  </si>
  <si>
    <t>Implementado en físico – Segmento 7</t>
  </si>
  <si>
    <t>Implementado en físico – Punto decimal</t>
  </si>
  <si>
    <t>Encendido correcto y controlado.</t>
  </si>
  <si>
    <t>No opera o es inestable.</t>
  </si>
  <si>
    <t>Funcionamiento correcto – Display Ánodo Común</t>
  </si>
  <si>
    <t>Enciende segmentos correctos; lógica por términos máximos validada en simulación y físico.</t>
  </si>
  <si>
    <t>Errores de encendido o lógica no corresponde a términos máximos.</t>
  </si>
  <si>
    <t>Igual criterios del 2.1.</t>
  </si>
  <si>
    <t>Documentación (PDF)</t>
  </si>
  <si>
    <t>Informe completo (carátula, objetivos, K-map, funciones, diagramas, materiales, presupuesto, roles, conclusiones, anexos).</t>
  </si>
  <si>
    <t>Faltan secciones clave, errores técnicos/ortográficos o incoherencia con el prototipo.</t>
  </si>
  <si>
    <t>Respuesta grupal (autoría técnica)</t>
  </si>
  <si>
    <t>Demuestra dominio del diseño y montaje; justifica decisiones y responde preguntas.</t>
  </si>
  <si>
    <t>Respuestas vagas o inconsistentes con el trabajo presentado.</t>
  </si>
  <si>
    <t>Parte Funcional</t>
  </si>
  <si>
    <t>Cumple con la mayoría de funcionalidades y flujos.</t>
  </si>
  <si>
    <t>Faltan funciones clave o flujos fallan frecuentemente.</t>
  </si>
  <si>
    <t>Gestión de Personajes</t>
  </si>
  <si>
    <t>CRUD completo con validaciones y presentación clara.</t>
  </si>
  <si>
    <t>CRUD incompleto, sin validaciones o presentación deficiente.</t>
  </si>
  <si>
    <t>Registro de peleas</t>
  </si>
  <si>
    <t>Registra y muestra peleas con fecha/hora en historial.</t>
  </si>
  <si>
    <t>Registros faltantes, sin timestamp válido o no visibles.</t>
  </si>
  <si>
    <t>Interacción y navegación (menú)</t>
  </si>
  <si>
    <t>Menú claro, opciones funcionales.</t>
  </si>
  <si>
    <t>Menú confuso u opciones fallan.</t>
  </si>
  <si>
    <t>Control de errores</t>
  </si>
  <si>
    <t>Maneja entradas inválidas con mensajes útiles.</t>
  </si>
  <si>
    <t>No valida o rompe ante entradas inválidas.</t>
  </si>
  <si>
    <t>Habilidades</t>
  </si>
  <si>
    <t>Parte No Funcional</t>
  </si>
  <si>
    <t>Estructuras de datos, calidad y entrega cumplen estándares.</t>
  </si>
  <si>
    <t>Deficiencias notorias en estructura, calidad o entrega.</t>
  </si>
  <si>
    <t>Uso de ciclos y estructuras (Vectores)</t>
  </si>
  <si>
    <t>Ciclos y vectores correctos y eficientes.</t>
  </si>
  <si>
    <t>Errores de recorrido o estructuras inconsistentes.</t>
  </si>
  <si>
    <t>Calidad de código</t>
  </si>
  <si>
    <t>Modular, DRY, comentarios útiles, nombres claros.</t>
  </si>
  <si>
    <t>Código monolítico, redundante o poco legible.</t>
  </si>
  <si>
    <t>Entrega &amp; Documentación</t>
  </si>
  <si>
    <t>Repo ordenado y docs completas.</t>
  </si>
  <si>
    <t>Repo desordenado y docs insuficientes.</t>
  </si>
  <si>
    <t>Interactividad del menú (no funcional)</t>
  </si>
  <si>
    <t>Feedback y respuesta inmediata.</t>
  </si>
  <si>
    <t>Sin feedback o demoras.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</si>
</sst>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shrinkToFit="0" wrapText="1"/>
    </xf>
    <xf borderId="0" fillId="0" fontId="4" numFmtId="164" xfId="0" applyAlignment="1" applyFont="1" applyNumberFormat="1">
      <alignment horizontal="center" readingOrder="0" shrinkToFit="0" wrapText="1"/>
    </xf>
    <xf borderId="0" fillId="0" fontId="4" numFmtId="9" xfId="0" applyAlignment="1" applyFont="1" applyNumberFormat="1">
      <alignment horizontal="center"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2" fillId="2" fontId="1" numFmtId="0" xfId="0" applyAlignment="1" applyBorder="1" applyFill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9.13"/>
    <col customWidth="1" min="4" max="4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>
        <v>25.0</v>
      </c>
      <c r="F2" s="3"/>
    </row>
    <row r="3">
      <c r="A3" s="4"/>
      <c r="B3" s="2" t="s">
        <v>8</v>
      </c>
      <c r="C3" s="2" t="str">
        <f> $E2 &amp; " / " &amp; $E2 &amp; " - " &amp; ROUND($E2*0.6,0)</f>
        <v>25 / 25 - 15</v>
      </c>
      <c r="D3" s="2" t="str">
        <f> $E2 &amp; " / " &amp; ROUND($E2*0.6,0) -1 &amp; " - " &amp; ROUND($E2*0,0)</f>
        <v>25 / 14 - 0</v>
      </c>
      <c r="E3" s="2">
        <f>$E2</f>
        <v>25</v>
      </c>
      <c r="H3" s="2" t="s">
        <v>9</v>
      </c>
    </row>
    <row r="4">
      <c r="A4" s="2">
        <v>2.0</v>
      </c>
      <c r="B4" s="2" t="s">
        <v>10</v>
      </c>
      <c r="C4" s="2" t="s">
        <v>11</v>
      </c>
      <c r="D4" s="2" t="s">
        <v>12</v>
      </c>
      <c r="E4" s="2">
        <v>25.0</v>
      </c>
      <c r="H4" s="5"/>
      <c r="I4" s="5"/>
      <c r="J4" s="5"/>
      <c r="K4" s="5"/>
      <c r="L4" s="5"/>
      <c r="M4" s="5"/>
    </row>
    <row r="5">
      <c r="A5" s="4"/>
      <c r="B5" s="2" t="s">
        <v>8</v>
      </c>
      <c r="C5" s="2" t="str">
        <f> $E4 &amp; " / " &amp; $E4 &amp; " - " &amp; ROUND($E4*0.6,0)</f>
        <v>25 / 25 - 15</v>
      </c>
      <c r="D5" s="2" t="str">
        <f> $E4 &amp; " / " &amp; ROUND($E4*0.6,0) -1 &amp; " - " &amp; ROUND($E4*0,0)</f>
        <v>25 / 14 - 0</v>
      </c>
      <c r="E5" s="2">
        <f>$E4</f>
        <v>25</v>
      </c>
      <c r="H5" s="5"/>
      <c r="M5" s="5"/>
    </row>
    <row r="6">
      <c r="A6" s="2">
        <v>3.0</v>
      </c>
      <c r="B6" s="2" t="s">
        <v>13</v>
      </c>
      <c r="C6" s="2" t="s">
        <v>14</v>
      </c>
      <c r="D6" s="2" t="s">
        <v>15</v>
      </c>
      <c r="E6" s="2">
        <v>10.0</v>
      </c>
      <c r="H6" s="5"/>
      <c r="I6" s="6"/>
      <c r="J6" s="7"/>
      <c r="K6" s="7"/>
      <c r="L6" s="7"/>
      <c r="M6" s="7"/>
    </row>
    <row r="7">
      <c r="A7" s="8"/>
      <c r="B7" s="2" t="s">
        <v>8</v>
      </c>
      <c r="C7" s="2" t="str">
        <f> $E6 &amp; " / " &amp; $E6 &amp; " - " &amp; ROUND($E6*0.6,0)</f>
        <v>10 / 10 - 6</v>
      </c>
      <c r="D7" s="2" t="str">
        <f> $E6 &amp; " / " &amp; ROUND($E6*0.6,0) -1 &amp; " - " &amp; ROUND($E6*0,0)</f>
        <v>10 / 5 - 0</v>
      </c>
      <c r="E7" s="2">
        <f>$E6</f>
        <v>10</v>
      </c>
      <c r="K7" s="7"/>
      <c r="L7" s="7"/>
    </row>
    <row r="8">
      <c r="A8" s="2">
        <v>4.0</v>
      </c>
      <c r="B8" s="2" t="s">
        <v>16</v>
      </c>
      <c r="C8" s="2" t="s">
        <v>17</v>
      </c>
      <c r="D8" s="2" t="s">
        <v>18</v>
      </c>
      <c r="E8" s="2">
        <v>15.0</v>
      </c>
      <c r="J8" s="7"/>
      <c r="K8" s="7"/>
      <c r="L8" s="9"/>
      <c r="M8" s="7"/>
    </row>
    <row r="9">
      <c r="A9" s="8"/>
      <c r="B9" s="2" t="s">
        <v>8</v>
      </c>
      <c r="C9" s="2" t="str">
        <f> $E8 &amp; " / " &amp; $E8 &amp; " - " &amp; ROUND($E8*0.6,0)</f>
        <v>15 / 15 - 9</v>
      </c>
      <c r="D9" s="2" t="str">
        <f> $E8 &amp; " / " &amp; ROUND($E8*0.6,0) -1 &amp; " - " &amp; ROUND($E8*0,0)</f>
        <v>15 / 8 - 0</v>
      </c>
      <c r="E9" s="2">
        <f>$E8</f>
        <v>15</v>
      </c>
      <c r="K9" s="7"/>
      <c r="L9" s="9"/>
    </row>
    <row r="10">
      <c r="A10" s="2">
        <v>5.0</v>
      </c>
      <c r="B10" s="2" t="s">
        <v>19</v>
      </c>
      <c r="C10" s="2" t="s">
        <v>20</v>
      </c>
      <c r="D10" s="2" t="s">
        <v>21</v>
      </c>
      <c r="E10" s="2">
        <v>15.0</v>
      </c>
      <c r="J10" s="7"/>
      <c r="K10" s="7"/>
      <c r="L10" s="9"/>
      <c r="M10" s="7"/>
    </row>
    <row r="11">
      <c r="A11" s="8"/>
      <c r="B11" s="2" t="s">
        <v>8</v>
      </c>
      <c r="C11" s="2" t="str">
        <f> $E10 &amp; " / " &amp; $E10 &amp; " - " &amp; ROUND($E10*0.6,0)</f>
        <v>15 / 15 - 9</v>
      </c>
      <c r="D11" s="2" t="str">
        <f> $E10 &amp; " / " &amp; ROUND($E10*0.6,0) -1 &amp; " - " &amp; ROUND($E10*0,0)</f>
        <v>15 / 8 - 0</v>
      </c>
      <c r="E11" s="2">
        <f>$E10</f>
        <v>15</v>
      </c>
      <c r="K11" s="7"/>
      <c r="L11" s="9"/>
    </row>
    <row r="12">
      <c r="J12" s="7"/>
      <c r="K12" s="7"/>
      <c r="L12" s="7"/>
      <c r="M12" s="7"/>
    </row>
    <row r="13">
      <c r="K13" s="7"/>
      <c r="L13" s="7"/>
    </row>
    <row r="14">
      <c r="H14" s="5"/>
      <c r="I14" s="6"/>
      <c r="J14" s="7"/>
      <c r="K14" s="7"/>
      <c r="L14" s="9"/>
      <c r="M14" s="9"/>
    </row>
    <row r="15">
      <c r="K15" s="7"/>
      <c r="L15" s="7"/>
    </row>
    <row r="16">
      <c r="H16" s="5"/>
      <c r="I16" s="6"/>
      <c r="J16" s="7"/>
      <c r="K16" s="7"/>
      <c r="L16" s="7"/>
      <c r="M16" s="7"/>
    </row>
    <row r="17">
      <c r="H17" s="5"/>
      <c r="I17" s="6"/>
      <c r="J17" s="7"/>
      <c r="K17" s="7"/>
      <c r="L17" s="7"/>
      <c r="M17" s="9"/>
    </row>
    <row r="18">
      <c r="K18" s="7"/>
      <c r="L18" s="7"/>
    </row>
    <row r="19">
      <c r="K19" s="7"/>
      <c r="L19" s="7"/>
    </row>
    <row r="20">
      <c r="K20" s="7"/>
      <c r="L20" s="7"/>
    </row>
    <row r="21">
      <c r="H21" s="5"/>
      <c r="M21" s="5"/>
    </row>
    <row r="22">
      <c r="H22" s="5"/>
      <c r="I22" s="6"/>
      <c r="J22" s="7"/>
      <c r="K22" s="7"/>
      <c r="L22" s="7"/>
      <c r="M22" s="7"/>
    </row>
    <row r="23">
      <c r="K23" s="7"/>
      <c r="L23" s="7"/>
    </row>
    <row r="24">
      <c r="J24" s="7"/>
      <c r="K24" s="7"/>
      <c r="L24" s="7"/>
    </row>
    <row r="25">
      <c r="K25" s="7"/>
      <c r="L25" s="7"/>
    </row>
    <row r="26">
      <c r="H26" s="5"/>
      <c r="I26" s="6"/>
      <c r="J26" s="7"/>
      <c r="K26" s="7"/>
      <c r="L26" s="7"/>
      <c r="M26" s="7"/>
    </row>
    <row r="27">
      <c r="K27" s="7"/>
      <c r="L27" s="7"/>
    </row>
    <row r="28">
      <c r="J28" s="7"/>
      <c r="K28" s="7"/>
      <c r="L28" s="7"/>
    </row>
    <row r="29">
      <c r="K29" s="7"/>
      <c r="L29" s="7"/>
    </row>
    <row r="30">
      <c r="H30" s="5"/>
      <c r="I30" s="6"/>
      <c r="J30" s="7"/>
      <c r="K30" s="7"/>
      <c r="L30" s="7"/>
      <c r="M30" s="7"/>
    </row>
    <row r="31">
      <c r="K31" s="7"/>
      <c r="L31" s="7"/>
    </row>
    <row r="32">
      <c r="K32" s="7"/>
      <c r="L32" s="7"/>
    </row>
    <row r="33">
      <c r="K33" s="7"/>
      <c r="L33" s="7"/>
    </row>
    <row r="34">
      <c r="H34" s="5"/>
      <c r="I34" s="6"/>
      <c r="J34" s="7"/>
      <c r="K34" s="7"/>
      <c r="L34" s="7"/>
      <c r="M34" s="7"/>
    </row>
    <row r="35">
      <c r="H35" s="5"/>
      <c r="I35" s="6"/>
      <c r="J35" s="7"/>
      <c r="K35" s="7"/>
      <c r="L35" s="7"/>
      <c r="M35" s="7"/>
    </row>
    <row r="36">
      <c r="K36" s="7"/>
      <c r="L36" s="7"/>
    </row>
    <row r="37">
      <c r="K37" s="7"/>
      <c r="L37" s="7"/>
    </row>
    <row r="38">
      <c r="K38" s="7"/>
      <c r="L38" s="7"/>
    </row>
    <row r="39">
      <c r="K39" s="7"/>
      <c r="L39" s="7"/>
    </row>
    <row r="40">
      <c r="J40" s="7"/>
      <c r="K40" s="7"/>
      <c r="L40" s="7"/>
    </row>
    <row r="41">
      <c r="H41" s="5"/>
    </row>
    <row r="42">
      <c r="H42" s="5"/>
      <c r="I42" s="6"/>
      <c r="M42" s="7"/>
    </row>
    <row r="43">
      <c r="H43" s="5"/>
      <c r="I43" s="6"/>
      <c r="M43" s="10"/>
    </row>
    <row r="44">
      <c r="H44" s="5"/>
      <c r="I44" s="6"/>
      <c r="M44" s="10"/>
    </row>
    <row r="45">
      <c r="H45" s="5"/>
      <c r="I45" s="6"/>
      <c r="M45" s="10"/>
    </row>
    <row r="46">
      <c r="H46" s="5"/>
      <c r="I46" s="6"/>
      <c r="M46" s="10"/>
    </row>
    <row r="47">
      <c r="H47" s="5"/>
      <c r="I47" s="6"/>
      <c r="M47" s="10"/>
    </row>
    <row r="48">
      <c r="H48" s="5"/>
      <c r="I48" s="6"/>
      <c r="M48" s="10"/>
    </row>
    <row r="49">
      <c r="H49" s="5"/>
      <c r="I49" s="6"/>
      <c r="M49" s="10"/>
    </row>
    <row r="50">
      <c r="H50" s="5"/>
      <c r="I50" s="6"/>
      <c r="M50" s="10"/>
    </row>
    <row r="51">
      <c r="H51" s="5"/>
      <c r="I51" s="6"/>
      <c r="M51" s="10"/>
    </row>
    <row r="52">
      <c r="H52" s="5"/>
      <c r="I52" s="6"/>
      <c r="M52" s="10"/>
    </row>
    <row r="53">
      <c r="H53" s="5"/>
      <c r="I53" s="6"/>
      <c r="M53" s="10"/>
    </row>
  </sheetData>
  <mergeCells count="51">
    <mergeCell ref="M8:M9"/>
    <mergeCell ref="M10:M11"/>
    <mergeCell ref="M14:M15"/>
    <mergeCell ref="M17:M20"/>
    <mergeCell ref="M22:M25"/>
    <mergeCell ref="M26:M29"/>
    <mergeCell ref="M30:M33"/>
    <mergeCell ref="M35:M40"/>
    <mergeCell ref="J12:J13"/>
    <mergeCell ref="M12:M13"/>
    <mergeCell ref="H5:L5"/>
    <mergeCell ref="H6:H13"/>
    <mergeCell ref="I6:I13"/>
    <mergeCell ref="J6:J7"/>
    <mergeCell ref="M6:M7"/>
    <mergeCell ref="J8:J9"/>
    <mergeCell ref="J10:J11"/>
    <mergeCell ref="H14:H15"/>
    <mergeCell ref="I14:I15"/>
    <mergeCell ref="J14:J15"/>
    <mergeCell ref="H17:H20"/>
    <mergeCell ref="I17:I20"/>
    <mergeCell ref="J17:J20"/>
    <mergeCell ref="H21:L21"/>
    <mergeCell ref="H22:H25"/>
    <mergeCell ref="I22:I25"/>
    <mergeCell ref="J22:J23"/>
    <mergeCell ref="J24:J25"/>
    <mergeCell ref="I26:I29"/>
    <mergeCell ref="J26:J27"/>
    <mergeCell ref="J28:J29"/>
    <mergeCell ref="H26:H29"/>
    <mergeCell ref="H30:H33"/>
    <mergeCell ref="I30:I33"/>
    <mergeCell ref="J30:J33"/>
    <mergeCell ref="H35:H40"/>
    <mergeCell ref="I35:I40"/>
    <mergeCell ref="J35:J39"/>
    <mergeCell ref="I48:L48"/>
    <mergeCell ref="I49:L49"/>
    <mergeCell ref="I50:L50"/>
    <mergeCell ref="I51:L51"/>
    <mergeCell ref="I52:L52"/>
    <mergeCell ref="I53:L53"/>
    <mergeCell ref="H41:M41"/>
    <mergeCell ref="I42:L42"/>
    <mergeCell ref="I43:L43"/>
    <mergeCell ref="I44:L44"/>
    <mergeCell ref="I45:L45"/>
    <mergeCell ref="I46:L46"/>
    <mergeCell ref="I47:L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22</v>
      </c>
      <c r="C2" s="2" t="s">
        <v>23</v>
      </c>
      <c r="D2" s="2" t="s">
        <v>24</v>
      </c>
      <c r="E2" s="2">
        <v>25.0</v>
      </c>
    </row>
    <row r="3">
      <c r="A3" s="8"/>
      <c r="B3" s="2" t="s">
        <v>8</v>
      </c>
      <c r="C3" s="2" t="str">
        <f> $E2 &amp; " / " &amp; $E2 &amp; " - " &amp; ROUND($E2*0.6,0)</f>
        <v>25 / 25 - 15</v>
      </c>
      <c r="D3" s="2" t="str">
        <f> $E2 &amp; " / " &amp; ROUND($E2*0.6,0) -1 &amp; " - " &amp; ROUND($E2*0,0)</f>
        <v>25 / 14 - 0</v>
      </c>
      <c r="E3" s="2">
        <f>$E2</f>
        <v>25</v>
      </c>
    </row>
    <row r="4">
      <c r="A4" s="11">
        <v>45658.0</v>
      </c>
      <c r="B4" s="2" t="s">
        <v>25</v>
      </c>
      <c r="C4" s="2" t="s">
        <v>26</v>
      </c>
      <c r="D4" s="2" t="s">
        <v>27</v>
      </c>
      <c r="E4" s="2">
        <v>2.5</v>
      </c>
    </row>
    <row r="5">
      <c r="A5" s="8"/>
      <c r="B5" s="2" t="s">
        <v>8</v>
      </c>
      <c r="C5" s="2" t="str">
        <f> $E4 &amp; " / " &amp; $E4 &amp; " - " &amp; ROUND($E4*0.6,0)</f>
        <v>2,5 / 2,5 - 2</v>
      </c>
      <c r="D5" s="2" t="str">
        <f> $E4 &amp; " / " &amp; ROUND($E4*0.6,0) -1 &amp; " - " &amp; ROUND($E4*0,0)</f>
        <v>2,5 / 1 - 0</v>
      </c>
      <c r="E5" s="2">
        <f>$E4</f>
        <v>2.5</v>
      </c>
    </row>
    <row r="6">
      <c r="A6" s="11">
        <v>45689.0</v>
      </c>
      <c r="B6" s="2" t="s">
        <v>28</v>
      </c>
      <c r="C6" s="2" t="s">
        <v>29</v>
      </c>
      <c r="D6" s="2" t="s">
        <v>29</v>
      </c>
      <c r="E6" s="2">
        <v>2.5</v>
      </c>
    </row>
    <row r="7">
      <c r="A7" s="8"/>
      <c r="B7" s="2" t="s">
        <v>8</v>
      </c>
      <c r="C7" s="2" t="str">
        <f> $E6 &amp; " / " &amp; $E6 &amp; " - " &amp; ROUND($E6*0.6,0)</f>
        <v>2,5 / 2,5 - 2</v>
      </c>
      <c r="D7" s="2" t="str">
        <f> $E6 &amp; " / " &amp; ROUND($E6*0.6,0) -1 &amp; " - " &amp; ROUND($E6*0,0)</f>
        <v>2,5 / 1 - 0</v>
      </c>
      <c r="E7" s="2">
        <f>$E6</f>
        <v>2.5</v>
      </c>
    </row>
    <row r="8">
      <c r="A8" s="11">
        <v>45717.0</v>
      </c>
      <c r="B8" s="2" t="s">
        <v>30</v>
      </c>
      <c r="C8" s="2" t="s">
        <v>31</v>
      </c>
      <c r="D8" s="2" t="s">
        <v>32</v>
      </c>
      <c r="E8" s="2">
        <v>1.5</v>
      </c>
    </row>
    <row r="9">
      <c r="A9" s="8"/>
      <c r="B9" s="2" t="s">
        <v>8</v>
      </c>
      <c r="C9" s="2" t="str">
        <f> $E8 &amp; " / " &amp; $E8 &amp; " - " &amp; ROUND($E8*0.6,0)</f>
        <v>1,5 / 1,5 - 1</v>
      </c>
      <c r="D9" s="2" t="str">
        <f> $E8 &amp; " / " &amp; ROUND($E8*0.6,0) -1 &amp; " - " &amp; ROUND($E8*0,0)</f>
        <v>1,5 / 0 - 0</v>
      </c>
      <c r="E9" s="2">
        <f>$E8</f>
        <v>1.5</v>
      </c>
    </row>
    <row r="10">
      <c r="A10" s="11">
        <v>45748.0</v>
      </c>
      <c r="B10" s="2" t="s">
        <v>33</v>
      </c>
      <c r="C10" s="2" t="s">
        <v>31</v>
      </c>
      <c r="D10" s="2" t="s">
        <v>32</v>
      </c>
      <c r="E10" s="2">
        <v>1.5</v>
      </c>
    </row>
    <row r="11">
      <c r="A11" s="8"/>
      <c r="B11" s="2" t="s">
        <v>8</v>
      </c>
      <c r="C11" s="2" t="str">
        <f> $E10 &amp; " / " &amp; $E10 &amp; " - " &amp; ROUND($E10*0.6,0)</f>
        <v>1,5 / 1,5 - 1</v>
      </c>
      <c r="D11" s="2" t="str">
        <f> $E10 &amp; " / " &amp; ROUND($E10*0.6,0) -1 &amp; " - " &amp; ROUND($E10*0,0)</f>
        <v>1,5 / 0 - 0</v>
      </c>
      <c r="E11" s="2">
        <f>$E10</f>
        <v>1.5</v>
      </c>
    </row>
    <row r="12">
      <c r="A12" s="11">
        <v>45778.0</v>
      </c>
      <c r="B12" s="2" t="s">
        <v>34</v>
      </c>
      <c r="C12" s="2" t="s">
        <v>31</v>
      </c>
      <c r="D12" s="2" t="s">
        <v>32</v>
      </c>
      <c r="E12" s="2">
        <v>1.5</v>
      </c>
    </row>
    <row r="13">
      <c r="A13" s="8"/>
      <c r="B13" s="2" t="s">
        <v>8</v>
      </c>
      <c r="C13" s="2" t="str">
        <f> $E12 &amp; " / " &amp; $E12 &amp; " - " &amp; ROUND($E12*0.6,0)</f>
        <v>1,5 / 1,5 - 1</v>
      </c>
      <c r="D13" s="2" t="str">
        <f> $E12 &amp; " / " &amp; ROUND($E12*0.6,0) -1 &amp; " - " &amp; ROUND($E12*0,0)</f>
        <v>1,5 / 0 - 0</v>
      </c>
      <c r="E13" s="2">
        <f>$E12</f>
        <v>1.5</v>
      </c>
    </row>
    <row r="14">
      <c r="A14" s="11">
        <v>45809.0</v>
      </c>
      <c r="B14" s="2" t="s">
        <v>35</v>
      </c>
      <c r="C14" s="2" t="s">
        <v>31</v>
      </c>
      <c r="D14" s="2" t="s">
        <v>32</v>
      </c>
      <c r="E14" s="2">
        <v>1.5</v>
      </c>
    </row>
    <row r="15">
      <c r="A15" s="8"/>
      <c r="B15" s="2" t="s">
        <v>8</v>
      </c>
      <c r="C15" s="2" t="str">
        <f> $E14 &amp; " / " &amp; $E14 &amp; " - " &amp; ROUND($E14*0.6,0)</f>
        <v>1,5 / 1,5 - 1</v>
      </c>
      <c r="D15" s="2" t="str">
        <f> $E14 &amp; " / " &amp; ROUND($E14*0.6,0) -1 &amp; " - " &amp; ROUND($E14*0,0)</f>
        <v>1,5 / 0 - 0</v>
      </c>
      <c r="E15" s="2">
        <f>$E14</f>
        <v>1.5</v>
      </c>
    </row>
    <row r="16">
      <c r="A16" s="11">
        <v>45839.0</v>
      </c>
      <c r="B16" s="2" t="s">
        <v>36</v>
      </c>
      <c r="C16" s="2" t="s">
        <v>31</v>
      </c>
      <c r="D16" s="2" t="s">
        <v>32</v>
      </c>
      <c r="E16" s="2">
        <v>1.5</v>
      </c>
    </row>
    <row r="17">
      <c r="A17" s="8"/>
      <c r="B17" s="2" t="s">
        <v>8</v>
      </c>
      <c r="C17" s="2" t="str">
        <f> $E16 &amp; " / " &amp; $E16 &amp; " - " &amp; ROUND($E16*0.6,0)</f>
        <v>1,5 / 1,5 - 1</v>
      </c>
      <c r="D17" s="2" t="str">
        <f> $E16 &amp; " / " &amp; ROUND($E16*0.6,0) -1 &amp; " - " &amp; ROUND($E16*0,0)</f>
        <v>1,5 / 0 - 0</v>
      </c>
      <c r="E17" s="2">
        <f>$E16</f>
        <v>1.5</v>
      </c>
    </row>
    <row r="18">
      <c r="A18" s="11">
        <v>45870.0</v>
      </c>
      <c r="B18" s="2" t="s">
        <v>37</v>
      </c>
      <c r="C18" s="2" t="s">
        <v>38</v>
      </c>
      <c r="D18" s="2" t="s">
        <v>39</v>
      </c>
      <c r="E18" s="2">
        <v>1.5</v>
      </c>
    </row>
    <row r="19">
      <c r="A19" s="8"/>
      <c r="B19" s="2" t="s">
        <v>8</v>
      </c>
      <c r="C19" s="2" t="str">
        <f> $E18 &amp; " / " &amp; $E18 &amp; " - " &amp; ROUND($E18*0.6,0)</f>
        <v>1,5 / 1,5 - 1</v>
      </c>
      <c r="D19" s="2" t="str">
        <f> $E18 &amp; " / " &amp; ROUND($E18*0.6,0) -1 &amp; " - " &amp; ROUND($E18*0,0)</f>
        <v>1,5 / 0 - 0</v>
      </c>
      <c r="E19" s="2">
        <f>$E18</f>
        <v>1.5</v>
      </c>
    </row>
    <row r="20">
      <c r="A20" s="2">
        <v>2.0</v>
      </c>
      <c r="B20" s="2" t="s">
        <v>40</v>
      </c>
      <c r="C20" s="2" t="s">
        <v>41</v>
      </c>
      <c r="D20" s="2" t="s">
        <v>42</v>
      </c>
      <c r="E20" s="2">
        <v>25.0</v>
      </c>
    </row>
    <row r="21">
      <c r="A21" s="8"/>
      <c r="B21" s="2" t="s">
        <v>8</v>
      </c>
      <c r="C21" s="2" t="str">
        <f> $E20 &amp; " / " &amp; $E20 &amp; " - " &amp; ROUND($E20*0.6,0)</f>
        <v>25 / 25 - 15</v>
      </c>
      <c r="D21" s="2" t="str">
        <f> $E20 &amp; " / " &amp; ROUND($E20*0.6,0) -1 &amp; " - " &amp; ROUND($E20*0,0)</f>
        <v>25 / 14 - 0</v>
      </c>
      <c r="E21" s="2">
        <f>$E20</f>
        <v>25</v>
      </c>
    </row>
    <row r="22">
      <c r="A22" s="11">
        <v>45659.0</v>
      </c>
      <c r="B22" s="2" t="s">
        <v>25</v>
      </c>
      <c r="C22" s="2" t="s">
        <v>26</v>
      </c>
      <c r="D22" s="2" t="s">
        <v>27</v>
      </c>
      <c r="E22" s="2">
        <v>2.5</v>
      </c>
    </row>
    <row r="23">
      <c r="A23" s="8"/>
      <c r="B23" s="2" t="s">
        <v>8</v>
      </c>
      <c r="C23" s="2" t="str">
        <f> $E22 &amp; " / " &amp; $E22 &amp; " - " &amp; ROUND($E22*0.6,0)</f>
        <v>2,5 / 2,5 - 2</v>
      </c>
      <c r="D23" s="2" t="str">
        <f> $E22 &amp; " / " &amp; ROUND($E22*0.6,0) -1 &amp; " - " &amp; ROUND($E22*0,0)</f>
        <v>2,5 / 1 - 0</v>
      </c>
      <c r="E23" s="2">
        <f>$E22</f>
        <v>2.5</v>
      </c>
    </row>
    <row r="24">
      <c r="A24" s="11">
        <v>45690.0</v>
      </c>
      <c r="B24" s="2" t="s">
        <v>28</v>
      </c>
      <c r="C24" s="2" t="s">
        <v>43</v>
      </c>
      <c r="D24" s="2" t="s">
        <v>43</v>
      </c>
      <c r="E24" s="2">
        <v>2.5</v>
      </c>
    </row>
    <row r="25">
      <c r="A25" s="8"/>
      <c r="B25" s="2" t="s">
        <v>8</v>
      </c>
      <c r="C25" s="2" t="str">
        <f> $E24 &amp; " / " &amp; $E24 &amp; " - " &amp; ROUND($E24*0.6,0)</f>
        <v>2,5 / 2,5 - 2</v>
      </c>
      <c r="D25" s="2" t="str">
        <f> $E24 &amp; " / " &amp; ROUND($E24*0.6,0) -1 &amp; " - " &amp; ROUND($E24*0,0)</f>
        <v>2,5 / 1 - 0</v>
      </c>
      <c r="E25" s="2">
        <f>$E24</f>
        <v>2.5</v>
      </c>
    </row>
    <row r="26">
      <c r="A26" s="11">
        <v>45718.0</v>
      </c>
      <c r="B26" s="2" t="s">
        <v>30</v>
      </c>
      <c r="C26" s="2" t="s">
        <v>31</v>
      </c>
      <c r="D26" s="2" t="s">
        <v>32</v>
      </c>
      <c r="E26" s="2">
        <v>1.5</v>
      </c>
    </row>
    <row r="27">
      <c r="A27" s="8"/>
      <c r="B27" s="2" t="s">
        <v>8</v>
      </c>
      <c r="C27" s="2" t="str">
        <f> $E26 &amp; " / " &amp; $E26 &amp; " - " &amp; ROUND($E26*0.6,0)</f>
        <v>1,5 / 1,5 - 1</v>
      </c>
      <c r="D27" s="2" t="str">
        <f> $E26 &amp; " / " &amp; ROUND($E26*0.6,0) -1 &amp; " - " &amp; ROUND($E26*0,0)</f>
        <v>1,5 / 0 - 0</v>
      </c>
      <c r="E27" s="2">
        <f>$E26</f>
        <v>1.5</v>
      </c>
    </row>
    <row r="28">
      <c r="A28" s="11">
        <v>45749.0</v>
      </c>
      <c r="B28" s="2" t="s">
        <v>33</v>
      </c>
      <c r="C28" s="2" t="s">
        <v>31</v>
      </c>
      <c r="D28" s="2" t="s">
        <v>32</v>
      </c>
      <c r="E28" s="2">
        <v>1.5</v>
      </c>
    </row>
    <row r="29">
      <c r="A29" s="8"/>
      <c r="B29" s="2" t="s">
        <v>8</v>
      </c>
      <c r="C29" s="2" t="str">
        <f> $E28 &amp; " / " &amp; $E28 &amp; " - " &amp; ROUND($E28*0.6,0)</f>
        <v>1,5 / 1,5 - 1</v>
      </c>
      <c r="D29" s="2" t="str">
        <f> $E28 &amp; " / " &amp; ROUND($E28*0.6,0) -1 &amp; " - " &amp; ROUND($E28*0,0)</f>
        <v>1,5 / 0 - 0</v>
      </c>
      <c r="E29" s="2">
        <f>$E28</f>
        <v>1.5</v>
      </c>
    </row>
    <row r="30">
      <c r="A30" s="11">
        <v>45779.0</v>
      </c>
      <c r="B30" s="2" t="s">
        <v>34</v>
      </c>
      <c r="C30" s="2" t="s">
        <v>31</v>
      </c>
      <c r="D30" s="2" t="s">
        <v>32</v>
      </c>
      <c r="E30" s="2">
        <v>1.5</v>
      </c>
    </row>
    <row r="31">
      <c r="A31" s="8"/>
      <c r="B31" s="2" t="s">
        <v>8</v>
      </c>
      <c r="C31" s="2" t="str">
        <f> $E30 &amp; " / " &amp; $E30 &amp; " - " &amp; ROUND($E30*0.6,0)</f>
        <v>1,5 / 1,5 - 1</v>
      </c>
      <c r="D31" s="2" t="str">
        <f> $E30 &amp; " / " &amp; ROUND($E30*0.6,0) -1 &amp; " - " &amp; ROUND($E30*0,0)</f>
        <v>1,5 / 0 - 0</v>
      </c>
      <c r="E31" s="2">
        <f>$E30</f>
        <v>1.5</v>
      </c>
    </row>
    <row r="32">
      <c r="A32" s="11">
        <v>45810.0</v>
      </c>
      <c r="B32" s="2" t="s">
        <v>35</v>
      </c>
      <c r="C32" s="2" t="s">
        <v>31</v>
      </c>
      <c r="D32" s="2" t="s">
        <v>32</v>
      </c>
      <c r="E32" s="2">
        <v>1.5</v>
      </c>
    </row>
    <row r="33">
      <c r="A33" s="8"/>
      <c r="B33" s="2" t="s">
        <v>8</v>
      </c>
      <c r="C33" s="2" t="str">
        <f> $E32 &amp; " / " &amp; $E32 &amp; " - " &amp; ROUND($E32*0.6,0)</f>
        <v>1,5 / 1,5 - 1</v>
      </c>
      <c r="D33" s="2" t="str">
        <f> $E32 &amp; " / " &amp; ROUND($E32*0.6,0) -1 &amp; " - " &amp; ROUND($E32*0,0)</f>
        <v>1,5 / 0 - 0</v>
      </c>
      <c r="E33" s="2">
        <f>$E32</f>
        <v>1.5</v>
      </c>
    </row>
    <row r="34">
      <c r="A34" s="11">
        <v>45840.0</v>
      </c>
      <c r="B34" s="2" t="s">
        <v>36</v>
      </c>
      <c r="C34" s="2" t="s">
        <v>31</v>
      </c>
      <c r="D34" s="2" t="s">
        <v>32</v>
      </c>
      <c r="E34" s="2">
        <v>1.5</v>
      </c>
    </row>
    <row r="35">
      <c r="A35" s="8"/>
      <c r="B35" s="2" t="s">
        <v>8</v>
      </c>
      <c r="C35" s="2" t="str">
        <f> $E34 &amp; " / " &amp; $E34 &amp; " - " &amp; ROUND($E34*0.6,0)</f>
        <v>1,5 / 1,5 - 1</v>
      </c>
      <c r="D35" s="2" t="str">
        <f> $E34 &amp; " / " &amp; ROUND($E34*0.6,0) -1 &amp; " - " &amp; ROUND($E34*0,0)</f>
        <v>1,5 / 0 - 0</v>
      </c>
      <c r="E35" s="2">
        <f>$E34</f>
        <v>1.5</v>
      </c>
    </row>
    <row r="36">
      <c r="A36" s="11">
        <v>45871.0</v>
      </c>
      <c r="B36" s="2" t="s">
        <v>37</v>
      </c>
      <c r="C36" s="2" t="s">
        <v>38</v>
      </c>
      <c r="D36" s="2" t="s">
        <v>39</v>
      </c>
      <c r="E36" s="2">
        <v>1.5</v>
      </c>
    </row>
    <row r="37">
      <c r="A37" s="8"/>
      <c r="B37" s="2" t="s">
        <v>8</v>
      </c>
      <c r="C37" s="2" t="str">
        <f> $E36 &amp; " / " &amp; $E36 &amp; " - " &amp; ROUND($E36*0.6,0)</f>
        <v>1,5 / 1,5 - 1</v>
      </c>
      <c r="D37" s="2" t="str">
        <f> $E36 &amp; " / " &amp; ROUND($E36*0.6,0) -1 &amp; " - " &amp; ROUND($E36*0,0)</f>
        <v>1,5 / 0 - 0</v>
      </c>
      <c r="E37" s="2">
        <f>$E36</f>
        <v>1.5</v>
      </c>
    </row>
    <row r="38">
      <c r="A38" s="2">
        <v>3.0</v>
      </c>
      <c r="B38" s="2" t="s">
        <v>44</v>
      </c>
      <c r="C38" s="2" t="s">
        <v>45</v>
      </c>
      <c r="D38" s="2" t="s">
        <v>46</v>
      </c>
      <c r="E38" s="2">
        <v>12.0</v>
      </c>
    </row>
    <row r="39">
      <c r="A39" s="8"/>
      <c r="B39" s="2" t="s">
        <v>8</v>
      </c>
      <c r="C39" s="2" t="str">
        <f> $E38 &amp; " / " &amp; $E38 &amp; " - " &amp; ROUND($E38*0.6,0)</f>
        <v>12 / 12 - 7</v>
      </c>
      <c r="D39" s="2" t="str">
        <f> $E38 &amp; " / " &amp; ROUND($E38*0.6,0) -1 &amp; " - " &amp; ROUND($E38*0,0)</f>
        <v>12 / 6 - 0</v>
      </c>
      <c r="E39" s="2">
        <f>$E38</f>
        <v>12</v>
      </c>
    </row>
    <row r="40">
      <c r="A40" s="2">
        <v>4.0</v>
      </c>
      <c r="B40" s="2" t="s">
        <v>47</v>
      </c>
      <c r="C40" s="2" t="s">
        <v>48</v>
      </c>
      <c r="D40" s="2" t="s">
        <v>49</v>
      </c>
      <c r="E40" s="2">
        <v>10.0</v>
      </c>
    </row>
    <row r="41">
      <c r="A41" s="8"/>
      <c r="B41" s="2" t="s">
        <v>8</v>
      </c>
      <c r="C41" s="2" t="str">
        <f> $E40 &amp; " / " &amp; $E40 &amp; " - " &amp; ROUND($E40*0.6,0)</f>
        <v>10 / 10 - 6</v>
      </c>
      <c r="D41" s="2" t="str">
        <f> $E40 &amp; " / " &amp; ROUND($E40*0.6,0) -1 &amp; " - " &amp; ROUND($E40*0,0)</f>
        <v>10 / 5 - 0</v>
      </c>
      <c r="E41" s="2">
        <f>$E40</f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7.75"/>
    <col customWidth="1" min="3" max="3" width="24.75"/>
    <col customWidth="1" min="4" max="4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50</v>
      </c>
      <c r="B2" s="14"/>
      <c r="C2" s="14"/>
      <c r="D2" s="14"/>
      <c r="E2" s="15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">
        <v>1.0</v>
      </c>
      <c r="B3" s="2" t="s">
        <v>50</v>
      </c>
      <c r="C3" s="2" t="s">
        <v>51</v>
      </c>
      <c r="D3" s="2" t="s">
        <v>52</v>
      </c>
      <c r="E3" s="2">
        <v>40.0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8"/>
      <c r="B4" s="2" t="s">
        <v>8</v>
      </c>
      <c r="C4" s="2" t="str">
        <f> $E3 &amp; " / " &amp; $E3 &amp; " - " &amp; ROUND($E3*0.6,0)</f>
        <v>40 / 40 - 24</v>
      </c>
      <c r="D4" s="2" t="str">
        <f> $E3 &amp; " / " &amp; ROUND($E3*0.6,0) -1 &amp; " - " &amp; ROUND($E3*0,0)</f>
        <v>40 / 23 - 0</v>
      </c>
      <c r="E4" s="2">
        <f>$E3</f>
        <v>40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1">
        <v>45658.0</v>
      </c>
      <c r="B5" s="2" t="s">
        <v>53</v>
      </c>
      <c r="C5" s="2" t="s">
        <v>54</v>
      </c>
      <c r="D5" s="2" t="s">
        <v>55</v>
      </c>
      <c r="E5" s="2">
        <v>30.0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8"/>
      <c r="B6" s="2" t="s">
        <v>8</v>
      </c>
      <c r="C6" s="2" t="str">
        <f> $E5 &amp; " / " &amp; $E5 &amp; " - " &amp; ROUND($E5*0.6,0)</f>
        <v>30 / 30 - 18</v>
      </c>
      <c r="D6" s="2" t="str">
        <f> $E5 &amp; " / " &amp; ROUND($E5*0.6,0) -1 &amp; " - " &amp; ROUND($E5*0,0)</f>
        <v>30 / 17 - 0</v>
      </c>
      <c r="E6" s="2">
        <f>$E5</f>
        <v>30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1">
        <v>45689.0</v>
      </c>
      <c r="B7" s="2" t="s">
        <v>56</v>
      </c>
      <c r="C7" s="2" t="s">
        <v>57</v>
      </c>
      <c r="D7" s="2" t="s">
        <v>58</v>
      </c>
      <c r="E7" s="2">
        <v>3.5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8"/>
      <c r="B8" s="2" t="s">
        <v>8</v>
      </c>
      <c r="C8" s="2" t="str">
        <f> $E7 &amp; " / " &amp; $E7 &amp; " - " &amp; ROUND($E7*0.6,0)</f>
        <v>3,5 / 3,5 - 2</v>
      </c>
      <c r="D8" s="2" t="str">
        <f> $E7 &amp; " / " &amp; ROUND($E7*0.6,0) -1 &amp; " - " &amp; ROUND($E7*0,0)</f>
        <v>3,5 / 1 - 0</v>
      </c>
      <c r="E8" s="2">
        <f>$E7</f>
        <v>3.5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1">
        <v>45717.0</v>
      </c>
      <c r="B9" s="2" t="s">
        <v>59</v>
      </c>
      <c r="C9" s="2" t="s">
        <v>60</v>
      </c>
      <c r="D9" s="2" t="s">
        <v>61</v>
      </c>
      <c r="E9" s="2">
        <v>3.0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8"/>
      <c r="B10" s="2" t="s">
        <v>8</v>
      </c>
      <c r="C10" s="2" t="str">
        <f> $E9 &amp; " / " &amp; $E9 &amp; " - " &amp; ROUND($E9*0.6,0)</f>
        <v>3 / 3 - 2</v>
      </c>
      <c r="D10" s="2" t="str">
        <f> $E9 &amp; " / " &amp; ROUND($E9*0.6,0) -1 &amp; " - " &amp; ROUND($E9*0,0)</f>
        <v>3 / 1 - 0</v>
      </c>
      <c r="E10" s="2">
        <f>$E9</f>
        <v>3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1">
        <v>45748.0</v>
      </c>
      <c r="B11" s="2" t="s">
        <v>62</v>
      </c>
      <c r="C11" s="2" t="s">
        <v>63</v>
      </c>
      <c r="D11" s="2" t="s">
        <v>64</v>
      </c>
      <c r="E11" s="2">
        <v>3.5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8"/>
      <c r="B12" s="2" t="s">
        <v>8</v>
      </c>
      <c r="C12" s="2" t="str">
        <f> $E11 &amp; " / " &amp; $E11 &amp; " - " &amp; ROUND($E11*0.6,0)</f>
        <v>3,5 / 3,5 - 2</v>
      </c>
      <c r="D12" s="2" t="str">
        <f> $E11 &amp; " / " &amp; ROUND($E11*0.6,0) -1 &amp; " - " &amp; ROUND($E11*0,0)</f>
        <v>3,5 / 1 - 0</v>
      </c>
      <c r="E12" s="2">
        <f>$E11</f>
        <v>3.5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3" t="s">
        <v>65</v>
      </c>
      <c r="B13" s="14"/>
      <c r="C13" s="14"/>
      <c r="D13" s="14"/>
      <c r="E13" s="15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2">
        <v>2.0</v>
      </c>
      <c r="B14" s="2" t="s">
        <v>66</v>
      </c>
      <c r="C14" s="2" t="s">
        <v>67</v>
      </c>
      <c r="D14" s="2" t="s">
        <v>68</v>
      </c>
      <c r="E14" s="2">
        <v>29.0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8"/>
      <c r="B15" s="2" t="s">
        <v>8</v>
      </c>
      <c r="C15" s="2" t="str">
        <f> $E14 &amp; " / " &amp; $E14 &amp; " - " &amp; ROUND($E14*0.6,0)</f>
        <v>29 / 29 - 17</v>
      </c>
      <c r="D15" s="2" t="str">
        <f> $E14 &amp; " / " &amp; ROUND($E14*0.6,0) -1 &amp; " - " &amp; ROUND($E14*0,0)</f>
        <v>29 / 16 - 0</v>
      </c>
      <c r="E15" s="2">
        <f>$E14</f>
        <v>29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1">
        <v>45659.0</v>
      </c>
      <c r="B16" s="2" t="s">
        <v>69</v>
      </c>
      <c r="C16" s="2" t="s">
        <v>70</v>
      </c>
      <c r="D16" s="2" t="s">
        <v>71</v>
      </c>
      <c r="E16" s="2">
        <v>8.0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8"/>
      <c r="B17" s="2" t="s">
        <v>8</v>
      </c>
      <c r="C17" s="2" t="str">
        <f> $E16 &amp; " / " &amp; $E16 &amp; " - " &amp; ROUND($E16*0.6,0)</f>
        <v>8 / 8 - 5</v>
      </c>
      <c r="D17" s="2" t="str">
        <f> $E16 &amp; " / " &amp; ROUND($E16*0.6,0) -1 &amp; " - " &amp; ROUND($E16*0,0)</f>
        <v>8 / 4 - 0</v>
      </c>
      <c r="E17" s="2">
        <f>$E16</f>
        <v>8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1">
        <v>45690.0</v>
      </c>
      <c r="B18" s="2" t="s">
        <v>72</v>
      </c>
      <c r="C18" s="2" t="s">
        <v>73</v>
      </c>
      <c r="D18" s="2" t="s">
        <v>74</v>
      </c>
      <c r="E18" s="2">
        <v>8.0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8"/>
      <c r="B19" s="2" t="s">
        <v>8</v>
      </c>
      <c r="C19" s="2" t="str">
        <f> $E18 &amp; " / " &amp; $E18 &amp; " - " &amp; ROUND($E18*0.6,0)</f>
        <v>8 / 8 - 5</v>
      </c>
      <c r="D19" s="2" t="str">
        <f> $E18 &amp; " / " &amp; ROUND($E18*0.6,0) -1 &amp; " - " &amp; ROUND($E18*0,0)</f>
        <v>8 / 4 - 0</v>
      </c>
      <c r="E19" s="2">
        <f>$E18</f>
        <v>8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1">
        <v>45718.0</v>
      </c>
      <c r="B20" s="2" t="s">
        <v>75</v>
      </c>
      <c r="C20" s="2" t="s">
        <v>76</v>
      </c>
      <c r="D20" s="2" t="s">
        <v>77</v>
      </c>
      <c r="E20" s="2">
        <v>12.0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8"/>
      <c r="B21" s="2" t="s">
        <v>8</v>
      </c>
      <c r="C21" s="2" t="str">
        <f> $E20 &amp; " / " &amp; $E20 &amp; " - " &amp; ROUND($E20*0.6,0)</f>
        <v>12 / 12 - 7</v>
      </c>
      <c r="D21" s="2" t="str">
        <f> $E20 &amp; " / " &amp; ROUND($E20*0.6,0) -1 &amp; " - " &amp; ROUND($E20*0,0)</f>
        <v>12 / 6 - 0</v>
      </c>
      <c r="E21" s="2">
        <f>$E20</f>
        <v>12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1">
        <v>45749.0</v>
      </c>
      <c r="B22" s="2" t="s">
        <v>78</v>
      </c>
      <c r="C22" s="2" t="s">
        <v>79</v>
      </c>
      <c r="D22" s="2" t="s">
        <v>80</v>
      </c>
      <c r="E22" s="2">
        <v>1.0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8"/>
      <c r="B23" s="2" t="s">
        <v>8</v>
      </c>
      <c r="C23" s="2" t="str">
        <f> $E22 &amp; " / " &amp; $E22 &amp; " - " &amp; ROUND($E22*0.6,0)</f>
        <v>1 / 1 - 1</v>
      </c>
      <c r="D23" s="2" t="str">
        <f> $E22 &amp; " / " &amp; ROUND($E22*0.6,0) -1 &amp; " - " &amp; ROUND($E22*0,0)</f>
        <v>1 / 0 - 0</v>
      </c>
      <c r="E23" s="2">
        <f>$E22</f>
        <v>1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</sheetData>
  <mergeCells count="2">
    <mergeCell ref="A2:E2"/>
    <mergeCell ref="A13:E13"/>
  </mergeCells>
  <drawing r:id="rId1"/>
</worksheet>
</file>