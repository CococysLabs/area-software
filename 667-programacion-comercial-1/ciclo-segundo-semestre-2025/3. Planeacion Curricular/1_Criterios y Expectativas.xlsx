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ente_Guippsy_Menendez" sheetId="1" r:id="rId5"/>
    <sheet state="visible" name="Docente_Jurgen_Ramirez" sheetId="2" r:id="rId6"/>
    <sheet state="visible" name="Docente_Herman_Veliz" sheetId="3" r:id="rId7"/>
    <sheet state="visible" name="Docente_William_Escobar" sheetId="4" r:id="rId8"/>
    <sheet state="visible" name="CoordinadorAcademico" sheetId="5" r:id="rId9"/>
  </sheets>
  <definedNames/>
  <calcPr/>
</workbook>
</file>

<file path=xl/sharedStrings.xml><?xml version="1.0" encoding="utf-8"?>
<sst xmlns="http://schemas.openxmlformats.org/spreadsheetml/2006/main" count="328" uniqueCount="64">
  <si>
    <t>Criterios y Expectativas del Docente para el Segundo Semestre 2026</t>
  </si>
  <si>
    <t>Nombre del Curso</t>
  </si>
  <si>
    <t>Programación Comercial 1</t>
  </si>
  <si>
    <t>Docente</t>
  </si>
  <si>
    <t>Guippsy Jeannira Menendez Perez</t>
  </si>
  <si>
    <t>1. Criterios Tecnicos y Metodologicos</t>
  </si>
  <si>
    <t>En esta sección se busca recopilar información clave sobre los elementos técnicos y metodológicos que el laboratorio debe incluir.</t>
  </si>
  <si>
    <t>1.1 Tecnologias y Herramientas</t>
  </si>
  <si>
    <t>¿Qué tecnologías, lenguajes de programación, plataformas, hardware o software considera indispensable incluir en el laboratorio?</t>
  </si>
  <si>
    <t>Numero</t>
  </si>
  <si>
    <t>Clasificación</t>
  </si>
  <si>
    <t>Detalle</t>
  </si>
  <si>
    <t>Ciencia de Datos / Big Data</t>
  </si>
  <si>
    <t>Lenguaje de Programación | Python | Librería | Pandas</t>
  </si>
  <si>
    <t>BI / Analítica</t>
  </si>
  <si>
    <t>Plataforma | Power BI | Lenguaje | DAX</t>
  </si>
  <si>
    <t>Otros</t>
  </si>
  <si>
    <t/>
  </si>
  <si>
    <t>Mencione alguna herramienta o simulador que recomendaría incluir. ¿En qué parte del curso se aplicaría y por qué sería útil para el estudiante?</t>
  </si>
  <si>
    <t>Simulación / Ingeniería</t>
  </si>
  <si>
    <t>Herramienta | Microsoft Project | Tipo | Planificación</t>
  </si>
  <si>
    <t>1.2 Actividades de Autoaprendizaje</t>
  </si>
  <si>
    <t>Indique la distribución que se debe aplicar del punteo en el laboratorio, recurde que una apropiada distribución de la ponderacion los proyectos deben abarcar entre el 60% y 70% de la nota no un 100% ya que el aprendizaje es continuo durante todo el semestre.</t>
  </si>
  <si>
    <t>Tipo de Actividad</t>
  </si>
  <si>
    <t>Ponderacion</t>
  </si>
  <si>
    <t>Cantidad</t>
  </si>
  <si>
    <t>Aspectos clave que debe abordar</t>
  </si>
  <si>
    <t>Valor Maximo Recomendado</t>
  </si>
  <si>
    <t>Actividades durante el peridodo de laboratorio</t>
  </si>
  <si>
    <t>Reforzar los conocimientos dados en el período de laboratorio</t>
  </si>
  <si>
    <t>Proyectos</t>
  </si>
  <si>
    <t>Poner en práctica las habilidades para interpretar información y funcionamiento del análisis de datos utilizando herramientas</t>
  </si>
  <si>
    <t>Prácticas</t>
  </si>
  <si>
    <t>Fortalecer competencias en visualización de datos, análisis y presentación de resultados</t>
  </si>
  <si>
    <t>Tareas</t>
  </si>
  <si>
    <t xml:space="preserve">Medir el aprendizaje de los estudiantes </t>
  </si>
  <si>
    <t>Total de Punteo Asignado</t>
  </si>
  <si>
    <t>Validacion</t>
  </si>
  <si>
    <t>2. Expectativa</t>
  </si>
  <si>
    <t>Comparta su visión sobre el propósito del laboratorio dentro del curso y lo que espera del tutor para asegurar una experiencia formativa efectiva.</t>
  </si>
  <si>
    <t>Desde su perspectiva, ¿de qué manera el laboratorio puede complementar los contenidos que desarrolla en clase y reforzar las competencias clave del curso?</t>
  </si>
  <si>
    <t>Complementar los contenidos desarrollados en clase al proporcionar un espacio práctico donde los estudiantes puedan aplicar los conceptos teóricos mediante el uso de herramientas y análisis de datos</t>
  </si>
  <si>
    <t>¿Qué funciones, actitudes o conocimientos espera que tenga el tutor para contribuir a una experiencia formativa efectiva en el laboratorio?</t>
  </si>
  <si>
    <t>Orientar el aprendizaje práctico, supervisar y acompañar las actividades, facilitar la resolución de problemas, promover el aprendizaje colaborativo</t>
  </si>
  <si>
    <t>En su opinion, ¿qué competencia especifica debería desarrollar el estudiante a través del laboratorio para contribuir a su formación profesional?</t>
  </si>
  <si>
    <t>Capacidad de analizar datos y generar información útil para la toma de decisiones</t>
  </si>
  <si>
    <t>Verbo en Presente</t>
  </si>
  <si>
    <t>Objeto de la acción</t>
  </si>
  <si>
    <t>[Palabras conectoras] ,  Herramientas, Frameworks o metodología</t>
  </si>
  <si>
    <t>[Palabras conectoras] Condiciones específicas</t>
  </si>
  <si>
    <t>diseña y desarrolla</t>
  </si>
  <si>
    <t>aplicaciones de software</t>
  </si>
  <si>
    <t>mediante el uso de herramientas de inteligencia de negocios</t>
  </si>
  <si>
    <t>aplicando metodologías de análisis de datosque apoyen la efectiva toma de decisiones</t>
  </si>
  <si>
    <t>Ejemplos. https://drive.google.com/drive/folders/1szLcpzkwozPD6nD4uuaiZQ3mmDRuVKVy?usp=sharing</t>
  </si>
  <si>
    <t>Nota:</t>
  </si>
  <si>
    <t>DC = Docente</t>
  </si>
  <si>
    <t>CA = Coordinador Academico</t>
  </si>
  <si>
    <t>Jurgen Andoni Ramirez Ramirez</t>
  </si>
  <si>
    <t>....</t>
  </si>
  <si>
    <t>Herman Igor Veliz Linares</t>
  </si>
  <si>
    <t>William Estuardo Escobar Argueta</t>
  </si>
  <si>
    <t>Coordinador</t>
  </si>
  <si>
    <t>Coordinador Academico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</si>
</sst>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1.0"/>
      <color theme="1"/>
      <name val="Calibri"/>
      <scheme val="minor"/>
    </font>
    <font>
      <b/>
      <sz val="12.0"/>
      <color rgb="FFFF6D01"/>
      <name val="Arial"/>
    </font>
    <font>
      <b/>
      <sz val="12.0"/>
      <color theme="1"/>
      <name val="Arial"/>
    </font>
    <font>
      <sz val="11.0"/>
      <color theme="1"/>
      <name val="Arial"/>
    </font>
    <font>
      <b/>
      <sz val="12.0"/>
      <color theme="4"/>
      <name val="Arial"/>
    </font>
    <font>
      <color rgb="FF666666"/>
      <name val="Arial"/>
    </font>
    <font>
      <b/>
      <sz val="11.0"/>
      <color theme="4"/>
      <name val="Arial"/>
    </font>
    <font>
      <color theme="1"/>
      <name val="Arial"/>
    </font>
    <font/>
    <font>
      <b/>
      <color theme="1"/>
      <name val="Arial"/>
    </font>
    <font>
      <b/>
      <sz val="11.0"/>
      <color theme="1"/>
      <name val="Arial"/>
    </font>
    <font>
      <b/>
      <sz val="9.0"/>
      <color theme="1"/>
      <name val="Arial"/>
    </font>
    <font>
      <sz val="11.0"/>
      <color theme="1"/>
      <name val="Calibri"/>
    </font>
    <font>
      <u/>
      <color rgb="FFB7B7B7"/>
      <name val="Arial"/>
    </font>
    <font>
      <u/>
      <color rgb="FFB7B7B7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Alignment="1" applyFont="1">
      <alignment shrinkToFit="0" vertical="top" wrapText="1"/>
    </xf>
    <xf borderId="0" fillId="0" fontId="6" numFmtId="0" xfId="0" applyFont="1"/>
    <xf borderId="1" fillId="2" fontId="7" numFmtId="0" xfId="0" applyAlignment="1" applyBorder="1" applyFill="1" applyFont="1">
      <alignment shrinkToFit="0" vertical="top" wrapText="1"/>
    </xf>
    <xf borderId="2" fillId="0" fontId="8" numFmtId="0" xfId="0" applyBorder="1" applyFont="1"/>
    <xf borderId="3" fillId="0" fontId="8" numFmtId="0" xfId="0" applyBorder="1" applyFont="1"/>
    <xf borderId="4" fillId="3" fontId="9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readingOrder="0" shrinkToFit="0" vertical="center" wrapText="1"/>
    </xf>
    <xf borderId="1" fillId="3" fontId="7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shrinkToFit="0" vertical="center" wrapText="1"/>
    </xf>
    <xf borderId="5" fillId="2" fontId="11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left" shrinkToFit="0" vertical="center" wrapText="1"/>
    </xf>
    <xf borderId="4" fillId="3" fontId="7" numFmtId="0" xfId="0" applyAlignment="1" applyBorder="1" applyFont="1">
      <alignment horizontal="center" readingOrder="0" vertical="center"/>
    </xf>
    <xf borderId="5" fillId="2" fontId="7" numFmtId="0" xfId="0" applyAlignment="1" applyBorder="1" applyFont="1">
      <alignment horizontal="center" shrinkToFit="0" vertical="center" wrapText="1"/>
    </xf>
    <xf borderId="6" fillId="2" fontId="9" numFmtId="0" xfId="0" applyAlignment="1" applyBorder="1" applyFont="1">
      <alignment horizontal="center" shrinkToFit="0" vertical="center" wrapText="1"/>
    </xf>
    <xf borderId="6" fillId="2" fontId="9" numFmtId="0" xfId="0" applyBorder="1" applyFont="1"/>
    <xf borderId="5" fillId="2" fontId="9" numFmtId="0" xfId="0" applyAlignment="1" applyBorder="1" applyFont="1">
      <alignment horizontal="center" shrinkToFit="0" vertical="center" wrapText="1"/>
    </xf>
    <xf borderId="7" fillId="2" fontId="3" numFmtId="0" xfId="0" applyAlignment="1" applyBorder="1" applyFont="1">
      <alignment shrinkToFit="0" vertical="top" wrapText="1"/>
    </xf>
    <xf borderId="8" fillId="0" fontId="8" numFmtId="0" xfId="0" applyBorder="1" applyFont="1"/>
    <xf borderId="9" fillId="0" fontId="8" numFmtId="0" xfId="0" applyBorder="1" applyFont="1"/>
    <xf borderId="1" fillId="3" fontId="12" numFmtId="0" xfId="0" applyAlignment="1" applyBorder="1" applyFont="1">
      <alignment horizontal="left" readingOrder="0" shrinkToFit="0" vertical="top" wrapText="1"/>
    </xf>
    <xf borderId="7" fillId="2" fontId="3" numFmtId="0" xfId="0" applyAlignment="1" applyBorder="1" applyFont="1">
      <alignment horizontal="left" vertical="bottom"/>
    </xf>
    <xf borderId="4" fillId="4" fontId="10" numFmtId="0" xfId="0" applyAlignment="1" applyBorder="1" applyFill="1" applyFont="1">
      <alignment horizontal="center" shrinkToFit="0" vertical="bottom" wrapText="1"/>
    </xf>
    <xf borderId="1" fillId="4" fontId="10" numFmtId="0" xfId="0" applyAlignment="1" applyBorder="1" applyFont="1">
      <alignment horizontal="center" shrinkToFit="0" vertical="bottom" wrapText="1"/>
    </xf>
    <xf borderId="4" fillId="5" fontId="7" numFmtId="0" xfId="0" applyAlignment="1" applyBorder="1" applyFill="1" applyFont="1">
      <alignment readingOrder="0" shrinkToFit="0" vertical="bottom" wrapText="1"/>
    </xf>
    <xf borderId="1" fillId="6" fontId="7" numFmtId="0" xfId="0" applyAlignment="1" applyBorder="1" applyFill="1" applyFont="1">
      <alignment readingOrder="0" shrinkToFit="0" vertical="bottom" wrapText="1"/>
    </xf>
    <xf borderId="4" fillId="7" fontId="7" numFmtId="0" xfId="0" applyAlignment="1" applyBorder="1" applyFill="1" applyFont="1">
      <alignment readingOrder="0" shrinkToFit="0" vertical="bottom" wrapText="1"/>
    </xf>
    <xf borderId="1" fillId="8" fontId="7" numFmtId="0" xfId="0" applyAlignment="1" applyBorder="1" applyFill="1" applyFont="1">
      <alignment readingOrder="0" shrinkToFit="0" vertical="bottom" wrapText="1"/>
    </xf>
    <xf borderId="0" fillId="0" fontId="13" numFmtId="0" xfId="0" applyAlignment="1" applyFont="1">
      <alignment readingOrder="0"/>
    </xf>
    <xf borderId="0" fillId="0" fontId="9" numFmtId="0" xfId="0" applyFont="1"/>
    <xf borderId="0" fillId="0" fontId="7" numFmtId="0" xfId="0" applyFont="1"/>
    <xf borderId="4" fillId="3" fontId="7" numFmtId="0" xfId="0" applyAlignment="1" applyBorder="1" applyFont="1">
      <alignment horizontal="center" vertical="center"/>
    </xf>
    <xf borderId="1" fillId="3" fontId="7" numFmtId="0" xfId="0" applyAlignment="1" applyBorder="1" applyFont="1">
      <alignment horizontal="center" vertical="center"/>
    </xf>
    <xf borderId="1" fillId="3" fontId="12" numFmtId="0" xfId="0" applyAlignment="1" applyBorder="1" applyFont="1">
      <alignment horizontal="left" shrinkToFit="0" vertical="top" wrapText="1"/>
    </xf>
    <xf borderId="4" fillId="5" fontId="7" numFmtId="0" xfId="0" applyAlignment="1" applyBorder="1" applyFont="1">
      <alignment shrinkToFit="0" vertical="bottom" wrapText="1"/>
    </xf>
    <xf borderId="1" fillId="6" fontId="7" numFmtId="0" xfId="0" applyAlignment="1" applyBorder="1" applyFont="1">
      <alignment shrinkToFit="0" vertical="bottom" wrapText="1"/>
    </xf>
    <xf borderId="4" fillId="7" fontId="7" numFmtId="0" xfId="0" applyAlignment="1" applyBorder="1" applyFont="1">
      <alignment shrinkToFit="0" vertical="bottom" wrapText="1"/>
    </xf>
    <xf borderId="1" fillId="8" fontId="7" numFmtId="0" xfId="0" applyAlignment="1" applyBorder="1" applyFont="1">
      <alignment shrinkToFit="0" vertical="bottom" wrapText="1"/>
    </xf>
    <xf borderId="0" fillId="0" fontId="14" numFmtId="0" xfId="0" applyFont="1"/>
  </cellXfs>
  <cellStyles count="1">
    <cellStyle xfId="0" name="Normal" builtinId="0"/>
  </cellStyles>
  <dxfs count="2">
    <dxf>
      <font>
        <sz val="12.0"/>
        <color rgb="FF000000"/>
        <name val="Arial"/>
      </font>
      <fill>
        <patternFill patternType="solid">
          <fgColor rgb="FFD9EAD3"/>
          <bgColor rgb="FFD9EAD3"/>
        </patternFill>
      </fill>
      <border/>
    </dxf>
    <dxf>
      <font>
        <sz val="11.0"/>
        <color rgb="FF000000"/>
        <name val="Arial"/>
      </font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" cy="9525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szLcpzkwozPD6nD4uuaiZQ3mmDRuVKVy?usp=sharing" TargetMode="External"/><Relationship Id="rId2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0.71"/>
    <col customWidth="1" min="5" max="5" width="25.0"/>
    <col customWidth="1" min="6" max="6" width="12.57"/>
    <col customWidth="1" min="7" max="7" width="36.43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4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13" t="s">
        <v>12</v>
      </c>
      <c r="D13" s="14" t="s">
        <v>13</v>
      </c>
      <c r="E13" s="8"/>
      <c r="F13" s="8"/>
      <c r="G13" s="9"/>
    </row>
    <row r="14">
      <c r="B14" s="12">
        <v>2.0</v>
      </c>
      <c r="C14" s="13" t="s">
        <v>14</v>
      </c>
      <c r="D14" s="14" t="s">
        <v>15</v>
      </c>
      <c r="E14" s="8"/>
      <c r="F14" s="8"/>
      <c r="G14" s="9"/>
    </row>
    <row r="15" ht="24.75" customHeight="1">
      <c r="B15" s="12">
        <v>3.0</v>
      </c>
      <c r="C15" s="12" t="s">
        <v>16</v>
      </c>
      <c r="D15" s="15" t="s">
        <v>17</v>
      </c>
      <c r="E15" s="8"/>
      <c r="F15" s="8"/>
      <c r="G15" s="9"/>
    </row>
    <row r="17" ht="33.0" customHeight="1">
      <c r="B17" s="7" t="s">
        <v>18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13" t="s">
        <v>19</v>
      </c>
      <c r="D19" s="14" t="s">
        <v>20</v>
      </c>
      <c r="E19" s="8"/>
      <c r="F19" s="8"/>
      <c r="G19" s="9"/>
    </row>
    <row r="20">
      <c r="B20" s="12">
        <v>2.0</v>
      </c>
      <c r="C20" s="13"/>
      <c r="D20" s="15" t="s">
        <v>17</v>
      </c>
      <c r="E20" s="8"/>
      <c r="F20" s="8"/>
      <c r="G20" s="9"/>
    </row>
    <row r="21" ht="24.75" customHeight="1">
      <c r="B21" s="12">
        <v>3.0</v>
      </c>
      <c r="C21" s="12" t="s">
        <v>16</v>
      </c>
      <c r="D21" s="15" t="s">
        <v>17</v>
      </c>
      <c r="E21" s="8"/>
      <c r="F21" s="8"/>
      <c r="G21" s="9"/>
    </row>
    <row r="22" ht="15.75" customHeight="1"/>
    <row r="23" ht="15.75" customHeight="1">
      <c r="B23" s="6" t="s">
        <v>21</v>
      </c>
    </row>
    <row r="24" ht="45.0" customHeight="1">
      <c r="B24" s="5" t="s">
        <v>22</v>
      </c>
    </row>
    <row r="25" ht="15.75" customHeight="1"/>
    <row r="26" ht="15.75" customHeight="1">
      <c r="B26" s="16" t="s">
        <v>23</v>
      </c>
      <c r="C26" s="16" t="s">
        <v>24</v>
      </c>
      <c r="D26" s="16" t="s">
        <v>25</v>
      </c>
      <c r="E26" s="17" t="s">
        <v>26</v>
      </c>
      <c r="F26" s="8"/>
      <c r="G26" s="9"/>
      <c r="H26" s="18" t="s">
        <v>27</v>
      </c>
    </row>
    <row r="27" ht="30.0" customHeight="1">
      <c r="B27" s="19" t="s">
        <v>28</v>
      </c>
      <c r="C27" s="20">
        <v>10.0</v>
      </c>
      <c r="D27" s="20">
        <v>5.0</v>
      </c>
      <c r="E27" s="14" t="s">
        <v>29</v>
      </c>
      <c r="F27" s="8"/>
      <c r="G27" s="9"/>
      <c r="H27" s="21">
        <v>10.0</v>
      </c>
    </row>
    <row r="28" ht="39.75" customHeight="1">
      <c r="B28" s="19" t="s">
        <v>30</v>
      </c>
      <c r="C28" s="20">
        <v>60.0</v>
      </c>
      <c r="D28" s="20">
        <v>2.0</v>
      </c>
      <c r="E28" s="14" t="s">
        <v>31</v>
      </c>
      <c r="F28" s="8"/>
      <c r="G28" s="9"/>
      <c r="H28" s="21">
        <v>60.0</v>
      </c>
    </row>
    <row r="29" ht="39.75" customHeight="1">
      <c r="B29" s="19" t="s">
        <v>32</v>
      </c>
      <c r="C29" s="20">
        <v>20.0</v>
      </c>
      <c r="D29" s="20">
        <v>10.0</v>
      </c>
      <c r="E29" s="14" t="s">
        <v>33</v>
      </c>
      <c r="F29" s="8"/>
      <c r="G29" s="9"/>
      <c r="H29" s="21">
        <v>20.0</v>
      </c>
    </row>
    <row r="30" ht="39.75" customHeight="1">
      <c r="B30" s="19" t="s">
        <v>34</v>
      </c>
      <c r="C30" s="20">
        <v>10.0</v>
      </c>
      <c r="D30" s="20">
        <v>5.0</v>
      </c>
      <c r="E30" s="14" t="s">
        <v>35</v>
      </c>
      <c r="F30" s="8"/>
      <c r="G30" s="9"/>
      <c r="H30" s="21">
        <v>10.0</v>
      </c>
    </row>
    <row r="31" ht="39.75" customHeight="1">
      <c r="B31" s="22" t="s">
        <v>36</v>
      </c>
      <c r="C31" s="23">
        <f>SUM(C27:C30)</f>
        <v>100</v>
      </c>
      <c r="E31" s="24" t="s">
        <v>37</v>
      </c>
      <c r="F31" s="25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✅ Distribución válida</v>
      </c>
      <c r="G31" s="26"/>
      <c r="H31" s="27"/>
    </row>
    <row r="32" ht="15.75" customHeight="1"/>
    <row r="33" ht="15.75" customHeight="1">
      <c r="B33" s="4" t="s">
        <v>38</v>
      </c>
    </row>
    <row r="34" ht="34.5" customHeight="1">
      <c r="B34" s="5" t="s">
        <v>39</v>
      </c>
    </row>
    <row r="35" ht="15.75" customHeight="1"/>
    <row r="36" ht="45.0" customHeight="1">
      <c r="B36" s="7" t="s">
        <v>40</v>
      </c>
      <c r="C36" s="8"/>
      <c r="D36" s="8"/>
      <c r="E36" s="8"/>
      <c r="F36" s="8"/>
      <c r="G36" s="9"/>
    </row>
    <row r="37" ht="45.0" customHeight="1">
      <c r="B37" s="28" t="s">
        <v>41</v>
      </c>
      <c r="C37" s="8"/>
      <c r="D37" s="8"/>
      <c r="E37" s="8"/>
      <c r="F37" s="8"/>
      <c r="G37" s="9"/>
    </row>
    <row r="38" ht="15.75" customHeight="1"/>
    <row r="39" ht="45.0" customHeight="1">
      <c r="B39" s="7" t="s">
        <v>42</v>
      </c>
      <c r="C39" s="8"/>
      <c r="D39" s="8"/>
      <c r="E39" s="8"/>
      <c r="F39" s="8"/>
      <c r="G39" s="9"/>
    </row>
    <row r="40" ht="45.0" customHeight="1">
      <c r="B40" s="28" t="s">
        <v>43</v>
      </c>
      <c r="C40" s="8"/>
      <c r="D40" s="8"/>
      <c r="E40" s="8"/>
      <c r="F40" s="8"/>
      <c r="G40" s="9"/>
    </row>
    <row r="41" ht="15.75" customHeight="1"/>
    <row r="42" ht="45.0" customHeight="1">
      <c r="B42" s="7" t="s">
        <v>44</v>
      </c>
      <c r="C42" s="8"/>
      <c r="D42" s="8"/>
      <c r="E42" s="8"/>
      <c r="F42" s="8"/>
      <c r="G42" s="9"/>
    </row>
    <row r="43" ht="45.0" customHeight="1">
      <c r="B43" s="28" t="s">
        <v>45</v>
      </c>
      <c r="C43" s="8"/>
      <c r="D43" s="8"/>
      <c r="E43" s="8"/>
      <c r="F43" s="8"/>
      <c r="G43" s="9"/>
    </row>
    <row r="44" ht="15.75" customHeight="1"/>
    <row r="45" ht="15.75" customHeight="1">
      <c r="B45" s="29" t="str">
        <f>CONCATENATE("El Estudiante ",B47, " ", C47, " ", E47, " ", F47)</f>
        <v>El Estudiante diseña y desarrolla aplicaciones de software mediante el uso de herramientas de inteligencia de negocios aplicando metodologías de análisis de datosque apoyen la efectiva toma de decisiones</v>
      </c>
      <c r="C45" s="26"/>
      <c r="D45" s="26"/>
      <c r="E45" s="26"/>
      <c r="F45" s="26"/>
      <c r="G45" s="27"/>
    </row>
    <row r="46" ht="75.75" customHeight="1">
      <c r="B46" s="30" t="s">
        <v>46</v>
      </c>
      <c r="C46" s="31" t="s">
        <v>47</v>
      </c>
      <c r="D46" s="9"/>
      <c r="E46" s="30" t="s">
        <v>48</v>
      </c>
      <c r="F46" s="31" t="s">
        <v>49</v>
      </c>
      <c r="G46" s="9"/>
    </row>
    <row r="47" ht="54.0" customHeight="1">
      <c r="B47" s="32" t="s">
        <v>50</v>
      </c>
      <c r="C47" s="33" t="s">
        <v>51</v>
      </c>
      <c r="D47" s="9"/>
      <c r="E47" s="34" t="s">
        <v>52</v>
      </c>
      <c r="F47" s="35" t="s">
        <v>53</v>
      </c>
      <c r="G47" s="9"/>
    </row>
    <row r="48" ht="15.75" customHeight="1">
      <c r="B48" s="36" t="s">
        <v>54</v>
      </c>
    </row>
    <row r="49" ht="15.75" customHeight="1"/>
    <row r="50" ht="15.75" customHeight="1">
      <c r="B50" s="37" t="s">
        <v>55</v>
      </c>
    </row>
    <row r="51" ht="15.75" customHeight="1">
      <c r="B51" s="38" t="s">
        <v>56</v>
      </c>
    </row>
    <row r="52" ht="15.75" customHeight="1">
      <c r="B52" s="38" t="s">
        <v>57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58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12" t="s">
        <v>17</v>
      </c>
      <c r="D13" s="15" t="s">
        <v>17</v>
      </c>
      <c r="E13" s="8"/>
      <c r="F13" s="8"/>
      <c r="G13" s="9"/>
    </row>
    <row r="14">
      <c r="B14" s="12">
        <v>2.0</v>
      </c>
      <c r="C14" s="12" t="s">
        <v>17</v>
      </c>
      <c r="D14" s="15" t="s">
        <v>17</v>
      </c>
      <c r="E14" s="8"/>
      <c r="F14" s="8"/>
      <c r="G14" s="9"/>
    </row>
    <row r="15" ht="24.75" customHeight="1">
      <c r="B15" s="12">
        <v>3.0</v>
      </c>
      <c r="C15" s="12" t="s">
        <v>16</v>
      </c>
      <c r="D15" s="15" t="s">
        <v>17</v>
      </c>
      <c r="E15" s="8"/>
      <c r="F15" s="8"/>
      <c r="G15" s="9"/>
    </row>
    <row r="17" ht="33.0" customHeight="1">
      <c r="B17" s="7" t="s">
        <v>18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12" t="s">
        <v>17</v>
      </c>
      <c r="D19" s="15" t="s">
        <v>17</v>
      </c>
      <c r="E19" s="8"/>
      <c r="F19" s="8"/>
      <c r="G19" s="9"/>
    </row>
    <row r="20">
      <c r="B20" s="12">
        <v>2.0</v>
      </c>
      <c r="C20" s="12" t="s">
        <v>17</v>
      </c>
      <c r="D20" s="15" t="s">
        <v>17</v>
      </c>
      <c r="E20" s="8"/>
      <c r="F20" s="8"/>
      <c r="G20" s="9"/>
    </row>
    <row r="21" ht="24.75" customHeight="1">
      <c r="B21" s="12">
        <v>3.0</v>
      </c>
      <c r="C21" s="12" t="s">
        <v>16</v>
      </c>
      <c r="D21" s="15" t="s">
        <v>17</v>
      </c>
      <c r="E21" s="8"/>
      <c r="F21" s="8"/>
      <c r="G21" s="9"/>
    </row>
    <row r="22" ht="15.75" customHeight="1"/>
    <row r="23" ht="15.75" customHeight="1">
      <c r="B23" s="6" t="s">
        <v>21</v>
      </c>
    </row>
    <row r="24" ht="45.0" customHeight="1">
      <c r="B24" s="5" t="s">
        <v>22</v>
      </c>
    </row>
    <row r="25" ht="15.75" customHeight="1"/>
    <row r="26" ht="15.75" customHeight="1">
      <c r="B26" s="16" t="s">
        <v>23</v>
      </c>
      <c r="C26" s="16" t="s">
        <v>24</v>
      </c>
      <c r="D26" s="16" t="s">
        <v>25</v>
      </c>
      <c r="E26" s="17" t="s">
        <v>26</v>
      </c>
      <c r="F26" s="8"/>
      <c r="G26" s="9"/>
      <c r="H26" s="18" t="s">
        <v>27</v>
      </c>
    </row>
    <row r="27" ht="30.0" customHeight="1">
      <c r="B27" s="19" t="s">
        <v>28</v>
      </c>
      <c r="C27" s="39">
        <v>0.0</v>
      </c>
      <c r="D27" s="39" t="s">
        <v>17</v>
      </c>
      <c r="E27" s="40" t="s">
        <v>17</v>
      </c>
      <c r="F27" s="8"/>
      <c r="G27" s="9"/>
      <c r="H27" s="21">
        <v>10.0</v>
      </c>
    </row>
    <row r="28" ht="39.75" customHeight="1">
      <c r="B28" s="19" t="s">
        <v>30</v>
      </c>
      <c r="C28" s="39">
        <v>0.0</v>
      </c>
      <c r="D28" s="39" t="s">
        <v>17</v>
      </c>
      <c r="E28" s="40" t="s">
        <v>17</v>
      </c>
      <c r="F28" s="8"/>
      <c r="G28" s="9"/>
      <c r="H28" s="21">
        <v>60.0</v>
      </c>
    </row>
    <row r="29" ht="39.75" customHeight="1">
      <c r="B29" s="19" t="s">
        <v>32</v>
      </c>
      <c r="C29" s="39">
        <v>0.0</v>
      </c>
      <c r="D29" s="39" t="s">
        <v>17</v>
      </c>
      <c r="E29" s="40" t="s">
        <v>17</v>
      </c>
      <c r="F29" s="8"/>
      <c r="G29" s="9"/>
      <c r="H29" s="21">
        <v>20.0</v>
      </c>
    </row>
    <row r="30" ht="39.75" customHeight="1">
      <c r="B30" s="19" t="s">
        <v>34</v>
      </c>
      <c r="C30" s="39">
        <v>0.0</v>
      </c>
      <c r="D30" s="39" t="s">
        <v>17</v>
      </c>
      <c r="E30" s="40" t="s">
        <v>17</v>
      </c>
      <c r="F30" s="8"/>
      <c r="G30" s="9"/>
      <c r="H30" s="21">
        <v>10.0</v>
      </c>
    </row>
    <row r="31" ht="39.75" customHeight="1">
      <c r="B31" s="22" t="s">
        <v>36</v>
      </c>
      <c r="C31" s="23">
        <f>SUM(C27:C30)</f>
        <v>0</v>
      </c>
      <c r="E31" s="24" t="s">
        <v>37</v>
      </c>
      <c r="F31" s="25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6"/>
      <c r="H31" s="27"/>
    </row>
    <row r="32" ht="15.75" customHeight="1"/>
    <row r="33" ht="15.75" customHeight="1">
      <c r="B33" s="4" t="s">
        <v>38</v>
      </c>
    </row>
    <row r="34" ht="34.5" customHeight="1">
      <c r="B34" s="5" t="s">
        <v>39</v>
      </c>
    </row>
    <row r="35" ht="15.75" customHeight="1"/>
    <row r="36" ht="45.0" customHeight="1">
      <c r="B36" s="7" t="s">
        <v>40</v>
      </c>
      <c r="C36" s="8"/>
      <c r="D36" s="8"/>
      <c r="E36" s="8"/>
      <c r="F36" s="8"/>
      <c r="G36" s="9"/>
    </row>
    <row r="37" ht="45.0" customHeight="1">
      <c r="B37" s="41"/>
      <c r="C37" s="8"/>
      <c r="D37" s="8"/>
      <c r="E37" s="8"/>
      <c r="F37" s="8"/>
      <c r="G37" s="9"/>
    </row>
    <row r="38" ht="15.75" customHeight="1"/>
    <row r="39" ht="45.0" customHeight="1">
      <c r="B39" s="7" t="s">
        <v>42</v>
      </c>
      <c r="C39" s="8"/>
      <c r="D39" s="8"/>
      <c r="E39" s="8"/>
      <c r="F39" s="8"/>
      <c r="G39" s="9"/>
    </row>
    <row r="40" ht="45.0" customHeight="1">
      <c r="B40" s="41"/>
      <c r="C40" s="8"/>
      <c r="D40" s="8"/>
      <c r="E40" s="8"/>
      <c r="F40" s="8"/>
      <c r="G40" s="9"/>
    </row>
    <row r="41" ht="15.75" customHeight="1"/>
    <row r="42" ht="45.0" customHeight="1">
      <c r="B42" s="7" t="s">
        <v>44</v>
      </c>
      <c r="C42" s="8"/>
      <c r="D42" s="8"/>
      <c r="E42" s="8"/>
      <c r="F42" s="8"/>
      <c r="G42" s="9"/>
    </row>
    <row r="43" ht="45.0" customHeight="1">
      <c r="B43" s="41"/>
      <c r="C43" s="8"/>
      <c r="D43" s="8"/>
      <c r="E43" s="8"/>
      <c r="F43" s="8"/>
      <c r="G43" s="9"/>
    </row>
    <row r="44" ht="15.75" customHeight="1"/>
    <row r="45" ht="15.75" customHeight="1">
      <c r="B45" s="29" t="str">
        <f>CONCATENATE("El Estudiante ",B47, " ", C47, " ", E47, " ", F47)</f>
        <v>El Estudiante ....   </v>
      </c>
      <c r="C45" s="26"/>
      <c r="D45" s="26"/>
      <c r="E45" s="26"/>
      <c r="F45" s="26"/>
      <c r="G45" s="27"/>
    </row>
    <row r="46" ht="75.75" customHeight="1">
      <c r="B46" s="30" t="s">
        <v>46</v>
      </c>
      <c r="C46" s="31" t="s">
        <v>47</v>
      </c>
      <c r="D46" s="9"/>
      <c r="E46" s="30" t="s">
        <v>48</v>
      </c>
      <c r="F46" s="31" t="s">
        <v>49</v>
      </c>
      <c r="G46" s="9"/>
    </row>
    <row r="47" ht="54.0" customHeight="1">
      <c r="B47" s="42" t="s">
        <v>59</v>
      </c>
      <c r="C47" s="43" t="s">
        <v>17</v>
      </c>
      <c r="D47" s="9"/>
      <c r="E47" s="44" t="s">
        <v>17</v>
      </c>
      <c r="F47" s="45" t="s">
        <v>17</v>
      </c>
      <c r="G47" s="9"/>
    </row>
    <row r="48" ht="15.75" customHeight="1">
      <c r="B48" s="46" t="s">
        <v>54</v>
      </c>
    </row>
    <row r="49" ht="15.75" customHeight="1"/>
    <row r="50" ht="15.75" customHeight="1">
      <c r="B50" s="37" t="s">
        <v>55</v>
      </c>
    </row>
    <row r="51" ht="15.75" customHeight="1">
      <c r="B51" s="38" t="s">
        <v>56</v>
      </c>
    </row>
    <row r="52" ht="15.75" customHeight="1">
      <c r="B52" s="38" t="s">
        <v>57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60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12" t="s">
        <v>17</v>
      </c>
      <c r="D13" s="15" t="s">
        <v>17</v>
      </c>
      <c r="E13" s="8"/>
      <c r="F13" s="8"/>
      <c r="G13" s="9"/>
    </row>
    <row r="14">
      <c r="B14" s="12">
        <v>2.0</v>
      </c>
      <c r="C14" s="12" t="s">
        <v>17</v>
      </c>
      <c r="D14" s="15" t="s">
        <v>17</v>
      </c>
      <c r="E14" s="8"/>
      <c r="F14" s="8"/>
      <c r="G14" s="9"/>
    </row>
    <row r="15" ht="24.75" customHeight="1">
      <c r="B15" s="12">
        <v>3.0</v>
      </c>
      <c r="C15" s="12" t="s">
        <v>16</v>
      </c>
      <c r="D15" s="15" t="s">
        <v>17</v>
      </c>
      <c r="E15" s="8"/>
      <c r="F15" s="8"/>
      <c r="G15" s="9"/>
    </row>
    <row r="17" ht="33.0" customHeight="1">
      <c r="B17" s="7" t="s">
        <v>18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12" t="s">
        <v>17</v>
      </c>
      <c r="D19" s="15" t="s">
        <v>17</v>
      </c>
      <c r="E19" s="8"/>
      <c r="F19" s="8"/>
      <c r="G19" s="9"/>
    </row>
    <row r="20">
      <c r="B20" s="12">
        <v>2.0</v>
      </c>
      <c r="C20" s="12" t="s">
        <v>17</v>
      </c>
      <c r="D20" s="15" t="s">
        <v>17</v>
      </c>
      <c r="E20" s="8"/>
      <c r="F20" s="8"/>
      <c r="G20" s="9"/>
    </row>
    <row r="21" ht="24.75" customHeight="1">
      <c r="B21" s="12">
        <v>3.0</v>
      </c>
      <c r="C21" s="12" t="s">
        <v>16</v>
      </c>
      <c r="D21" s="15" t="s">
        <v>17</v>
      </c>
      <c r="E21" s="8"/>
      <c r="F21" s="8"/>
      <c r="G21" s="9"/>
    </row>
    <row r="22" ht="15.75" customHeight="1"/>
    <row r="23" ht="15.75" customHeight="1">
      <c r="B23" s="6" t="s">
        <v>21</v>
      </c>
    </row>
    <row r="24" ht="45.0" customHeight="1">
      <c r="B24" s="5" t="s">
        <v>22</v>
      </c>
    </row>
    <row r="25" ht="15.75" customHeight="1"/>
    <row r="26" ht="15.75" customHeight="1">
      <c r="B26" s="16" t="s">
        <v>23</v>
      </c>
      <c r="C26" s="16" t="s">
        <v>24</v>
      </c>
      <c r="D26" s="16" t="s">
        <v>25</v>
      </c>
      <c r="E26" s="17" t="s">
        <v>26</v>
      </c>
      <c r="F26" s="8"/>
      <c r="G26" s="9"/>
      <c r="H26" s="18" t="s">
        <v>27</v>
      </c>
    </row>
    <row r="27" ht="30.0" customHeight="1">
      <c r="B27" s="19" t="s">
        <v>28</v>
      </c>
      <c r="C27" s="39">
        <v>0.0</v>
      </c>
      <c r="D27" s="39" t="s">
        <v>17</v>
      </c>
      <c r="E27" s="40" t="s">
        <v>17</v>
      </c>
      <c r="F27" s="8"/>
      <c r="G27" s="9"/>
      <c r="H27" s="21">
        <v>10.0</v>
      </c>
    </row>
    <row r="28" ht="39.75" customHeight="1">
      <c r="B28" s="19" t="s">
        <v>30</v>
      </c>
      <c r="C28" s="39">
        <v>0.0</v>
      </c>
      <c r="D28" s="39" t="s">
        <v>17</v>
      </c>
      <c r="E28" s="40" t="s">
        <v>17</v>
      </c>
      <c r="F28" s="8"/>
      <c r="G28" s="9"/>
      <c r="H28" s="21">
        <v>60.0</v>
      </c>
    </row>
    <row r="29" ht="39.75" customHeight="1">
      <c r="B29" s="19" t="s">
        <v>32</v>
      </c>
      <c r="C29" s="39">
        <v>0.0</v>
      </c>
      <c r="D29" s="39" t="s">
        <v>17</v>
      </c>
      <c r="E29" s="40" t="s">
        <v>17</v>
      </c>
      <c r="F29" s="8"/>
      <c r="G29" s="9"/>
      <c r="H29" s="21">
        <v>20.0</v>
      </c>
    </row>
    <row r="30" ht="39.75" customHeight="1">
      <c r="B30" s="19" t="s">
        <v>34</v>
      </c>
      <c r="C30" s="39">
        <v>0.0</v>
      </c>
      <c r="D30" s="39" t="s">
        <v>17</v>
      </c>
      <c r="E30" s="40" t="s">
        <v>17</v>
      </c>
      <c r="F30" s="8"/>
      <c r="G30" s="9"/>
      <c r="H30" s="21">
        <v>10.0</v>
      </c>
    </row>
    <row r="31" ht="39.75" customHeight="1">
      <c r="B31" s="22" t="s">
        <v>36</v>
      </c>
      <c r="C31" s="23">
        <f>SUM(C27:C30)</f>
        <v>0</v>
      </c>
      <c r="E31" s="24" t="s">
        <v>37</v>
      </c>
      <c r="F31" s="25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6"/>
      <c r="H31" s="27"/>
    </row>
    <row r="32" ht="15.75" customHeight="1"/>
    <row r="33" ht="15.75" customHeight="1">
      <c r="B33" s="4" t="s">
        <v>38</v>
      </c>
    </row>
    <row r="34" ht="34.5" customHeight="1">
      <c r="B34" s="5" t="s">
        <v>39</v>
      </c>
    </row>
    <row r="35" ht="15.75" customHeight="1"/>
    <row r="36" ht="45.0" customHeight="1">
      <c r="B36" s="7" t="s">
        <v>40</v>
      </c>
      <c r="C36" s="8"/>
      <c r="D36" s="8"/>
      <c r="E36" s="8"/>
      <c r="F36" s="8"/>
      <c r="G36" s="9"/>
    </row>
    <row r="37" ht="45.0" customHeight="1">
      <c r="B37" s="41"/>
      <c r="C37" s="8"/>
      <c r="D37" s="8"/>
      <c r="E37" s="8"/>
      <c r="F37" s="8"/>
      <c r="G37" s="9"/>
    </row>
    <row r="38" ht="15.75" customHeight="1"/>
    <row r="39" ht="45.0" customHeight="1">
      <c r="B39" s="7" t="s">
        <v>42</v>
      </c>
      <c r="C39" s="8"/>
      <c r="D39" s="8"/>
      <c r="E39" s="8"/>
      <c r="F39" s="8"/>
      <c r="G39" s="9"/>
    </row>
    <row r="40" ht="45.0" customHeight="1">
      <c r="B40" s="41"/>
      <c r="C40" s="8"/>
      <c r="D40" s="8"/>
      <c r="E40" s="8"/>
      <c r="F40" s="8"/>
      <c r="G40" s="9"/>
    </row>
    <row r="41" ht="15.75" customHeight="1"/>
    <row r="42" ht="45.0" customHeight="1">
      <c r="B42" s="7" t="s">
        <v>44</v>
      </c>
      <c r="C42" s="8"/>
      <c r="D42" s="8"/>
      <c r="E42" s="8"/>
      <c r="F42" s="8"/>
      <c r="G42" s="9"/>
    </row>
    <row r="43" ht="45.0" customHeight="1">
      <c r="B43" s="41"/>
      <c r="C43" s="8"/>
      <c r="D43" s="8"/>
      <c r="E43" s="8"/>
      <c r="F43" s="8"/>
      <c r="G43" s="9"/>
    </row>
    <row r="44" ht="15.75" customHeight="1"/>
    <row r="45" ht="15.75" customHeight="1">
      <c r="B45" s="29" t="str">
        <f>CONCATENATE("El Estudiante ",B47, " ", C47, " ", E47, " ", F47)</f>
        <v>El Estudiante ....   </v>
      </c>
      <c r="C45" s="26"/>
      <c r="D45" s="26"/>
      <c r="E45" s="26"/>
      <c r="F45" s="26"/>
      <c r="G45" s="27"/>
    </row>
    <row r="46" ht="75.75" customHeight="1">
      <c r="B46" s="30" t="s">
        <v>46</v>
      </c>
      <c r="C46" s="31" t="s">
        <v>47</v>
      </c>
      <c r="D46" s="9"/>
      <c r="E46" s="30" t="s">
        <v>48</v>
      </c>
      <c r="F46" s="31" t="s">
        <v>49</v>
      </c>
      <c r="G46" s="9"/>
    </row>
    <row r="47" ht="54.0" customHeight="1">
      <c r="B47" s="42" t="s">
        <v>59</v>
      </c>
      <c r="C47" s="43" t="s">
        <v>17</v>
      </c>
      <c r="D47" s="9"/>
      <c r="E47" s="44" t="s">
        <v>17</v>
      </c>
      <c r="F47" s="45" t="s">
        <v>17</v>
      </c>
      <c r="G47" s="9"/>
    </row>
    <row r="48" ht="15.75" customHeight="1">
      <c r="B48" s="46" t="s">
        <v>54</v>
      </c>
    </row>
    <row r="49" ht="15.75" customHeight="1"/>
    <row r="50" ht="15.75" customHeight="1">
      <c r="B50" s="37" t="s">
        <v>55</v>
      </c>
    </row>
    <row r="51" ht="15.75" customHeight="1">
      <c r="B51" s="38" t="s">
        <v>56</v>
      </c>
    </row>
    <row r="52" ht="15.75" customHeight="1">
      <c r="B52" s="38" t="s">
        <v>57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3</v>
      </c>
      <c r="C4" s="3" t="s">
        <v>61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12" t="s">
        <v>17</v>
      </c>
      <c r="D13" s="15" t="s">
        <v>17</v>
      </c>
      <c r="E13" s="8"/>
      <c r="F13" s="8"/>
      <c r="G13" s="9"/>
    </row>
    <row r="14">
      <c r="B14" s="12">
        <v>2.0</v>
      </c>
      <c r="C14" s="12" t="s">
        <v>17</v>
      </c>
      <c r="D14" s="15" t="s">
        <v>17</v>
      </c>
      <c r="E14" s="8"/>
      <c r="F14" s="8"/>
      <c r="G14" s="9"/>
    </row>
    <row r="15" ht="24.75" customHeight="1">
      <c r="B15" s="12">
        <v>3.0</v>
      </c>
      <c r="C15" s="12" t="s">
        <v>16</v>
      </c>
      <c r="D15" s="15" t="s">
        <v>17</v>
      </c>
      <c r="E15" s="8"/>
      <c r="F15" s="8"/>
      <c r="G15" s="9"/>
    </row>
    <row r="17" ht="33.0" customHeight="1">
      <c r="B17" s="7" t="s">
        <v>18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12" t="s">
        <v>17</v>
      </c>
      <c r="D19" s="15" t="s">
        <v>17</v>
      </c>
      <c r="E19" s="8"/>
      <c r="F19" s="8"/>
      <c r="G19" s="9"/>
    </row>
    <row r="20">
      <c r="B20" s="12">
        <v>2.0</v>
      </c>
      <c r="C20" s="12" t="s">
        <v>17</v>
      </c>
      <c r="D20" s="15" t="s">
        <v>17</v>
      </c>
      <c r="E20" s="8"/>
      <c r="F20" s="8"/>
      <c r="G20" s="9"/>
    </row>
    <row r="21" ht="24.75" customHeight="1">
      <c r="B21" s="12">
        <v>3.0</v>
      </c>
      <c r="C21" s="12" t="s">
        <v>16</v>
      </c>
      <c r="D21" s="15" t="s">
        <v>17</v>
      </c>
      <c r="E21" s="8"/>
      <c r="F21" s="8"/>
      <c r="G21" s="9"/>
    </row>
    <row r="22" ht="15.75" customHeight="1"/>
    <row r="23" ht="15.75" customHeight="1">
      <c r="B23" s="6" t="s">
        <v>21</v>
      </c>
    </row>
    <row r="24" ht="45.0" customHeight="1">
      <c r="B24" s="5" t="s">
        <v>22</v>
      </c>
    </row>
    <row r="25" ht="15.75" customHeight="1"/>
    <row r="26" ht="15.75" customHeight="1">
      <c r="B26" s="16" t="s">
        <v>23</v>
      </c>
      <c r="C26" s="16" t="s">
        <v>24</v>
      </c>
      <c r="D26" s="16" t="s">
        <v>25</v>
      </c>
      <c r="E26" s="17" t="s">
        <v>26</v>
      </c>
      <c r="F26" s="8"/>
      <c r="G26" s="9"/>
      <c r="H26" s="18" t="s">
        <v>27</v>
      </c>
    </row>
    <row r="27" ht="30.0" customHeight="1">
      <c r="B27" s="19" t="s">
        <v>28</v>
      </c>
      <c r="C27" s="39">
        <v>0.0</v>
      </c>
      <c r="D27" s="39" t="s">
        <v>17</v>
      </c>
      <c r="E27" s="40" t="s">
        <v>17</v>
      </c>
      <c r="F27" s="8"/>
      <c r="G27" s="9"/>
      <c r="H27" s="21">
        <v>10.0</v>
      </c>
    </row>
    <row r="28" ht="39.75" customHeight="1">
      <c r="B28" s="19" t="s">
        <v>30</v>
      </c>
      <c r="C28" s="39">
        <v>0.0</v>
      </c>
      <c r="D28" s="39" t="s">
        <v>17</v>
      </c>
      <c r="E28" s="40" t="s">
        <v>17</v>
      </c>
      <c r="F28" s="8"/>
      <c r="G28" s="9"/>
      <c r="H28" s="21">
        <v>60.0</v>
      </c>
    </row>
    <row r="29" ht="39.75" customHeight="1">
      <c r="B29" s="19" t="s">
        <v>32</v>
      </c>
      <c r="C29" s="39">
        <v>0.0</v>
      </c>
      <c r="D29" s="39" t="s">
        <v>17</v>
      </c>
      <c r="E29" s="40" t="s">
        <v>17</v>
      </c>
      <c r="F29" s="8"/>
      <c r="G29" s="9"/>
      <c r="H29" s="21">
        <v>20.0</v>
      </c>
    </row>
    <row r="30" ht="39.75" customHeight="1">
      <c r="B30" s="19" t="s">
        <v>34</v>
      </c>
      <c r="C30" s="39">
        <v>0.0</v>
      </c>
      <c r="D30" s="39" t="s">
        <v>17</v>
      </c>
      <c r="E30" s="40" t="s">
        <v>17</v>
      </c>
      <c r="F30" s="8"/>
      <c r="G30" s="9"/>
      <c r="H30" s="21">
        <v>10.0</v>
      </c>
    </row>
    <row r="31" ht="39.75" customHeight="1">
      <c r="B31" s="22" t="s">
        <v>36</v>
      </c>
      <c r="C31" s="23">
        <f>SUM(C27:C30)</f>
        <v>0</v>
      </c>
      <c r="E31" s="24" t="s">
        <v>37</v>
      </c>
      <c r="F31" s="25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6"/>
      <c r="H31" s="27"/>
    </row>
    <row r="32" ht="15.75" customHeight="1"/>
    <row r="33" ht="15.75" customHeight="1">
      <c r="B33" s="4" t="s">
        <v>38</v>
      </c>
    </row>
    <row r="34" ht="34.5" customHeight="1">
      <c r="B34" s="5" t="s">
        <v>39</v>
      </c>
    </row>
    <row r="35" ht="15.75" customHeight="1"/>
    <row r="36" ht="45.0" customHeight="1">
      <c r="B36" s="7" t="s">
        <v>40</v>
      </c>
      <c r="C36" s="8"/>
      <c r="D36" s="8"/>
      <c r="E36" s="8"/>
      <c r="F36" s="8"/>
      <c r="G36" s="9"/>
    </row>
    <row r="37" ht="45.0" customHeight="1">
      <c r="B37" s="41"/>
      <c r="C37" s="8"/>
      <c r="D37" s="8"/>
      <c r="E37" s="8"/>
      <c r="F37" s="8"/>
      <c r="G37" s="9"/>
    </row>
    <row r="38" ht="15.75" customHeight="1"/>
    <row r="39" ht="45.0" customHeight="1">
      <c r="B39" s="7" t="s">
        <v>42</v>
      </c>
      <c r="C39" s="8"/>
      <c r="D39" s="8"/>
      <c r="E39" s="8"/>
      <c r="F39" s="8"/>
      <c r="G39" s="9"/>
    </row>
    <row r="40" ht="45.0" customHeight="1">
      <c r="B40" s="41"/>
      <c r="C40" s="8"/>
      <c r="D40" s="8"/>
      <c r="E40" s="8"/>
      <c r="F40" s="8"/>
      <c r="G40" s="9"/>
    </row>
    <row r="41" ht="15.75" customHeight="1"/>
    <row r="42" ht="45.0" customHeight="1">
      <c r="B42" s="7" t="s">
        <v>44</v>
      </c>
      <c r="C42" s="8"/>
      <c r="D42" s="8"/>
      <c r="E42" s="8"/>
      <c r="F42" s="8"/>
      <c r="G42" s="9"/>
    </row>
    <row r="43" ht="45.0" customHeight="1">
      <c r="B43" s="41"/>
      <c r="C43" s="8"/>
      <c r="D43" s="8"/>
      <c r="E43" s="8"/>
      <c r="F43" s="8"/>
      <c r="G43" s="9"/>
    </row>
    <row r="44" ht="15.75" customHeight="1"/>
    <row r="45" ht="15.75" customHeight="1">
      <c r="B45" s="29" t="str">
        <f>CONCATENATE("El Estudiante ",B47, " ", C47, " ", E47, " ", F47)</f>
        <v>El Estudiante ....   </v>
      </c>
      <c r="C45" s="26"/>
      <c r="D45" s="26"/>
      <c r="E45" s="26"/>
      <c r="F45" s="26"/>
      <c r="G45" s="27"/>
    </row>
    <row r="46" ht="75.75" customHeight="1">
      <c r="B46" s="30" t="s">
        <v>46</v>
      </c>
      <c r="C46" s="31" t="s">
        <v>47</v>
      </c>
      <c r="D46" s="9"/>
      <c r="E46" s="30" t="s">
        <v>48</v>
      </c>
      <c r="F46" s="31" t="s">
        <v>49</v>
      </c>
      <c r="G46" s="9"/>
    </row>
    <row r="47" ht="54.0" customHeight="1">
      <c r="B47" s="42" t="s">
        <v>59</v>
      </c>
      <c r="C47" s="43" t="s">
        <v>17</v>
      </c>
      <c r="D47" s="9"/>
      <c r="E47" s="44" t="s">
        <v>17</v>
      </c>
      <c r="F47" s="45" t="s">
        <v>17</v>
      </c>
      <c r="G47" s="9"/>
    </row>
    <row r="48" ht="15.75" customHeight="1">
      <c r="B48" s="46" t="s">
        <v>54</v>
      </c>
    </row>
    <row r="49" ht="15.75" customHeight="1"/>
    <row r="50" ht="15.75" customHeight="1">
      <c r="B50" s="37" t="s">
        <v>55</v>
      </c>
    </row>
    <row r="51" ht="15.75" customHeight="1">
      <c r="B51" s="38" t="s">
        <v>56</v>
      </c>
    </row>
    <row r="52" ht="15.75" customHeight="1">
      <c r="B52" s="38" t="s">
        <v>57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1.43"/>
    <col customWidth="1" min="3" max="3" width="22.29"/>
    <col customWidth="1" min="4" max="4" width="12.57"/>
    <col customWidth="1" min="5" max="5" width="25.0"/>
    <col customWidth="1" min="6" max="7" width="12.57"/>
    <col customWidth="1" min="8" max="8" width="15.0"/>
    <col customWidth="1" min="9" max="26" width="8.71"/>
  </cols>
  <sheetData>
    <row r="1">
      <c r="B1" s="1" t="s">
        <v>0</v>
      </c>
    </row>
    <row r="3">
      <c r="B3" s="2" t="s">
        <v>1</v>
      </c>
      <c r="C3" s="3" t="s">
        <v>2</v>
      </c>
    </row>
    <row r="4">
      <c r="B4" s="2" t="s">
        <v>62</v>
      </c>
      <c r="C4" s="3" t="s">
        <v>63</v>
      </c>
    </row>
    <row r="6">
      <c r="B6" s="4" t="s">
        <v>5</v>
      </c>
    </row>
    <row r="7" ht="30.0" customHeight="1">
      <c r="B7" s="5" t="s">
        <v>6</v>
      </c>
    </row>
    <row r="9">
      <c r="B9" s="6" t="s">
        <v>7</v>
      </c>
    </row>
    <row r="11" ht="30.0" customHeight="1">
      <c r="B11" s="7" t="s">
        <v>8</v>
      </c>
      <c r="C11" s="8"/>
      <c r="D11" s="8"/>
      <c r="E11" s="8"/>
      <c r="F11" s="8"/>
      <c r="G11" s="9"/>
    </row>
    <row r="12">
      <c r="B12" s="10" t="s">
        <v>9</v>
      </c>
      <c r="C12" s="10" t="s">
        <v>10</v>
      </c>
      <c r="D12" s="11" t="s">
        <v>11</v>
      </c>
      <c r="E12" s="8"/>
      <c r="F12" s="8"/>
      <c r="G12" s="9"/>
    </row>
    <row r="13">
      <c r="B13" s="12">
        <v>1.0</v>
      </c>
      <c r="C13" s="12" t="s">
        <v>17</v>
      </c>
      <c r="D13" s="15" t="s">
        <v>17</v>
      </c>
      <c r="E13" s="8"/>
      <c r="F13" s="8"/>
      <c r="G13" s="9"/>
    </row>
    <row r="14">
      <c r="B14" s="12">
        <v>2.0</v>
      </c>
      <c r="C14" s="12" t="s">
        <v>17</v>
      </c>
      <c r="D14" s="15" t="s">
        <v>17</v>
      </c>
      <c r="E14" s="8"/>
      <c r="F14" s="8"/>
      <c r="G14" s="9"/>
    </row>
    <row r="15" ht="24.75" customHeight="1">
      <c r="B15" s="12">
        <v>3.0</v>
      </c>
      <c r="C15" s="12" t="s">
        <v>16</v>
      </c>
      <c r="D15" s="15" t="s">
        <v>17</v>
      </c>
      <c r="E15" s="8"/>
      <c r="F15" s="8"/>
      <c r="G15" s="9"/>
    </row>
    <row r="17" ht="33.0" customHeight="1">
      <c r="B17" s="7" t="s">
        <v>18</v>
      </c>
      <c r="C17" s="8"/>
      <c r="D17" s="8"/>
      <c r="E17" s="8"/>
      <c r="F17" s="8"/>
      <c r="G17" s="9"/>
    </row>
    <row r="18">
      <c r="B18" s="10" t="s">
        <v>9</v>
      </c>
      <c r="C18" s="10" t="s">
        <v>10</v>
      </c>
      <c r="D18" s="11" t="s">
        <v>11</v>
      </c>
      <c r="E18" s="8"/>
      <c r="F18" s="8"/>
      <c r="G18" s="9"/>
    </row>
    <row r="19">
      <c r="B19" s="12">
        <v>1.0</v>
      </c>
      <c r="C19" s="12" t="s">
        <v>17</v>
      </c>
      <c r="D19" s="15" t="s">
        <v>17</v>
      </c>
      <c r="E19" s="8"/>
      <c r="F19" s="8"/>
      <c r="G19" s="9"/>
    </row>
    <row r="20">
      <c r="B20" s="12">
        <v>2.0</v>
      </c>
      <c r="C20" s="12" t="s">
        <v>17</v>
      </c>
      <c r="D20" s="15" t="s">
        <v>17</v>
      </c>
      <c r="E20" s="8"/>
      <c r="F20" s="8"/>
      <c r="G20" s="9"/>
    </row>
    <row r="21" ht="24.75" customHeight="1">
      <c r="B21" s="12">
        <v>3.0</v>
      </c>
      <c r="C21" s="12" t="s">
        <v>16</v>
      </c>
      <c r="D21" s="15" t="s">
        <v>17</v>
      </c>
      <c r="E21" s="8"/>
      <c r="F21" s="8"/>
      <c r="G21" s="9"/>
    </row>
    <row r="22" ht="15.75" customHeight="1"/>
    <row r="23" ht="15.75" customHeight="1">
      <c r="B23" s="6" t="s">
        <v>21</v>
      </c>
    </row>
    <row r="24" ht="45.0" customHeight="1">
      <c r="B24" s="5" t="s">
        <v>22</v>
      </c>
    </row>
    <row r="25" ht="15.75" customHeight="1"/>
    <row r="26" ht="15.75" customHeight="1">
      <c r="B26" s="16" t="s">
        <v>23</v>
      </c>
      <c r="C26" s="16" t="s">
        <v>24</v>
      </c>
      <c r="D26" s="16" t="s">
        <v>25</v>
      </c>
      <c r="E26" s="17" t="s">
        <v>26</v>
      </c>
      <c r="F26" s="8"/>
      <c r="G26" s="9"/>
      <c r="H26" s="18" t="s">
        <v>27</v>
      </c>
    </row>
    <row r="27" ht="30.0" customHeight="1">
      <c r="B27" s="19" t="s">
        <v>28</v>
      </c>
      <c r="C27" s="39">
        <v>0.0</v>
      </c>
      <c r="D27" s="39" t="s">
        <v>17</v>
      </c>
      <c r="E27" s="40" t="s">
        <v>17</v>
      </c>
      <c r="F27" s="8"/>
      <c r="G27" s="9"/>
      <c r="H27" s="21">
        <v>10.0</v>
      </c>
    </row>
    <row r="28" ht="39.75" customHeight="1">
      <c r="B28" s="19" t="s">
        <v>30</v>
      </c>
      <c r="C28" s="39">
        <v>0.0</v>
      </c>
      <c r="D28" s="39" t="s">
        <v>17</v>
      </c>
      <c r="E28" s="40" t="s">
        <v>17</v>
      </c>
      <c r="F28" s="8"/>
      <c r="G28" s="9"/>
      <c r="H28" s="21">
        <v>60.0</v>
      </c>
    </row>
    <row r="29" ht="39.75" customHeight="1">
      <c r="B29" s="19" t="s">
        <v>32</v>
      </c>
      <c r="C29" s="39">
        <v>0.0</v>
      </c>
      <c r="D29" s="39" t="s">
        <v>17</v>
      </c>
      <c r="E29" s="40" t="s">
        <v>17</v>
      </c>
      <c r="F29" s="8"/>
      <c r="G29" s="9"/>
      <c r="H29" s="21">
        <v>20.0</v>
      </c>
    </row>
    <row r="30" ht="39.75" customHeight="1">
      <c r="B30" s="19" t="s">
        <v>34</v>
      </c>
      <c r="C30" s="39">
        <v>0.0</v>
      </c>
      <c r="D30" s="39" t="s">
        <v>17</v>
      </c>
      <c r="E30" s="40" t="s">
        <v>17</v>
      </c>
      <c r="F30" s="8"/>
      <c r="G30" s="9"/>
      <c r="H30" s="21">
        <v>10.0</v>
      </c>
    </row>
    <row r="31" ht="39.75" customHeight="1">
      <c r="B31" s="22" t="s">
        <v>36</v>
      </c>
      <c r="C31" s="23">
        <f>SUM(C27:C30)</f>
        <v>0</v>
      </c>
      <c r="E31" s="24" t="s">
        <v>37</v>
      </c>
      <c r="F31" s="25" t="str">
        <f>IF(AND(SUM(C27:C30)=100, COUNTIF(C27:C30,"&lt;0")=0, C27&lt;=H27, C28&lt;=H28, C29&lt;=H29, C30&lt;=H30),"✅ Distribución válida","❌ Revisar: " &amp; IF(SUM(C27:C30)&lt;&gt;100, "Total ≠ 100 (actual " &amp; SUM(C27:C30) &amp; ") | ", "") &amp; IF(COUNTIF(C27:C30,"&lt;0")&gt;0, "Hay negativos | ", "") &amp; IF(OR(C27&gt;H27, C28&gt;H28, C29&gt;H29, C30&gt;H30), "Exceden: " &amp; IF(C27&gt;H27, B27 &amp; " (" &amp; C27 &amp; "&gt;" &amp; H27 &amp; ") ", "") &amp; IF(C28&gt;H28, B28 &amp; " (" &amp; C28 &amp; "&gt;" &amp; H28 &amp; ") ", "") &amp; IF(C29&gt;H29, B29 &amp; " (" &amp; C29 &amp; "&gt;" &amp; H29 &amp; ") ", "") &amp; IF(C30&gt;H30, B30 &amp; " (" &amp; C30 &amp; "&gt;" &amp; H30 &amp; ") ", ""),""))</f>
        <v>❌ Revisar: Total ≠ 100 (actual 0) | </v>
      </c>
      <c r="G31" s="26"/>
      <c r="H31" s="27"/>
    </row>
    <row r="32" ht="15.75" customHeight="1"/>
    <row r="33" ht="15.75" customHeight="1">
      <c r="B33" s="4" t="s">
        <v>38</v>
      </c>
    </row>
    <row r="34" ht="34.5" customHeight="1">
      <c r="B34" s="5" t="s">
        <v>39</v>
      </c>
    </row>
    <row r="35" ht="15.75" customHeight="1"/>
    <row r="36" ht="45.0" customHeight="1">
      <c r="B36" s="7" t="s">
        <v>40</v>
      </c>
      <c r="C36" s="8"/>
      <c r="D36" s="8"/>
      <c r="E36" s="8"/>
      <c r="F36" s="8"/>
      <c r="G36" s="9"/>
    </row>
    <row r="37" ht="45.0" customHeight="1">
      <c r="B37" s="41"/>
      <c r="C37" s="8"/>
      <c r="D37" s="8"/>
      <c r="E37" s="8"/>
      <c r="F37" s="8"/>
      <c r="G37" s="9"/>
    </row>
    <row r="38" ht="15.75" customHeight="1"/>
    <row r="39" ht="45.0" customHeight="1">
      <c r="B39" s="7" t="s">
        <v>42</v>
      </c>
      <c r="C39" s="8"/>
      <c r="D39" s="8"/>
      <c r="E39" s="8"/>
      <c r="F39" s="8"/>
      <c r="G39" s="9"/>
    </row>
    <row r="40" ht="45.0" customHeight="1">
      <c r="B40" s="41"/>
      <c r="C40" s="8"/>
      <c r="D40" s="8"/>
      <c r="E40" s="8"/>
      <c r="F40" s="8"/>
      <c r="G40" s="9"/>
    </row>
    <row r="41" ht="15.75" customHeight="1"/>
    <row r="42" ht="45.0" customHeight="1">
      <c r="B42" s="7" t="s">
        <v>44</v>
      </c>
      <c r="C42" s="8"/>
      <c r="D42" s="8"/>
      <c r="E42" s="8"/>
      <c r="F42" s="8"/>
      <c r="G42" s="9"/>
    </row>
    <row r="43" ht="45.0" customHeight="1">
      <c r="B43" s="41"/>
      <c r="C43" s="8"/>
      <c r="D43" s="8"/>
      <c r="E43" s="8"/>
      <c r="F43" s="8"/>
      <c r="G43" s="9"/>
    </row>
    <row r="44" ht="15.75" customHeight="1"/>
    <row r="45" ht="15.75" customHeight="1">
      <c r="B45" s="29" t="str">
        <f>CONCATENATE("El Estudiante ",B47, " ", C47, " ", E47, " ", F47)</f>
        <v>El Estudiante ....   </v>
      </c>
      <c r="C45" s="26"/>
      <c r="D45" s="26"/>
      <c r="E45" s="26"/>
      <c r="F45" s="26"/>
      <c r="G45" s="27"/>
    </row>
    <row r="46" ht="75.75" customHeight="1">
      <c r="B46" s="30" t="s">
        <v>46</v>
      </c>
      <c r="C46" s="31" t="s">
        <v>47</v>
      </c>
      <c r="D46" s="9"/>
      <c r="E46" s="30" t="s">
        <v>48</v>
      </c>
      <c r="F46" s="31" t="s">
        <v>49</v>
      </c>
      <c r="G46" s="9"/>
    </row>
    <row r="47" ht="54.0" customHeight="1">
      <c r="B47" s="42" t="s">
        <v>59</v>
      </c>
      <c r="C47" s="43" t="s">
        <v>17</v>
      </c>
      <c r="D47" s="9"/>
      <c r="E47" s="44" t="s">
        <v>17</v>
      </c>
      <c r="F47" s="45" t="s">
        <v>17</v>
      </c>
      <c r="G47" s="9"/>
    </row>
    <row r="48" ht="15.75" customHeight="1">
      <c r="B48" s="46" t="s">
        <v>54</v>
      </c>
    </row>
    <row r="49" ht="15.75" customHeight="1"/>
    <row r="50" ht="15.75" customHeight="1">
      <c r="B50" s="37" t="s">
        <v>55</v>
      </c>
    </row>
    <row r="51" ht="15.75" customHeight="1">
      <c r="B51" s="38" t="s">
        <v>56</v>
      </c>
    </row>
    <row r="52" ht="15.75" customHeight="1">
      <c r="B52" s="38" t="s">
        <v>57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4">
    <mergeCell ref="B1:G1"/>
    <mergeCell ref="C3:G3"/>
    <mergeCell ref="C4:G4"/>
    <mergeCell ref="B7:G7"/>
    <mergeCell ref="B11:G11"/>
    <mergeCell ref="D12:G12"/>
    <mergeCell ref="D13:G13"/>
    <mergeCell ref="D14:G14"/>
    <mergeCell ref="D15:G15"/>
    <mergeCell ref="B17:G17"/>
    <mergeCell ref="D18:G18"/>
    <mergeCell ref="D19:G19"/>
    <mergeCell ref="D20:G20"/>
    <mergeCell ref="D21:G21"/>
    <mergeCell ref="B24:G24"/>
    <mergeCell ref="E26:G26"/>
    <mergeCell ref="E27:G27"/>
    <mergeCell ref="E28:G28"/>
    <mergeCell ref="E29:G29"/>
    <mergeCell ref="E30:G30"/>
    <mergeCell ref="F31:H31"/>
    <mergeCell ref="B45:G45"/>
    <mergeCell ref="C46:D46"/>
    <mergeCell ref="F46:G46"/>
    <mergeCell ref="C47:D47"/>
    <mergeCell ref="F47:G47"/>
    <mergeCell ref="B48:G48"/>
    <mergeCell ref="B34:G34"/>
    <mergeCell ref="B36:G36"/>
    <mergeCell ref="B37:G37"/>
    <mergeCell ref="B39:G39"/>
    <mergeCell ref="B40:G40"/>
    <mergeCell ref="B42:G42"/>
    <mergeCell ref="B43:G43"/>
  </mergeCells>
  <conditionalFormatting sqref="E31:H31">
    <cfRule type="expression" dxfId="0" priority="1">
      <formula>ISNUMBER(SEARCH("✅",$F$31))</formula>
    </cfRule>
  </conditionalFormatting>
  <conditionalFormatting sqref="E31:H31">
    <cfRule type="expression" dxfId="1" priority="2">
      <formula>ISNUMBER(SEARCH("❌",$F$31))</formula>
    </cfRule>
  </conditionalFormatting>
  <dataValidations>
    <dataValidation type="list" allowBlank="1" sqref="D19:D20">
      <formula1>"Herramienta | Microsoft Project | Tipo | Planificación,Herramienta | Project Libre | Tipo | Planificación,Herramienta | Miro | Tipo | Colaboración,Herramienta | Draw.io | Tipo | Diagramación,Metodología | Scrum | Herramienta | Jira,Metodología | kanban | "&amp;"Herramienta | trello,Simulador | Packet Tracer | Herramienta | —,Simulador | SIMIO | Herramienta | —,Simulador | Proteus | Hardware | Arduino,Simulador | MATLAB | Complemento | Simulink,Simulador | QEMU | Arquitectura | AArch64,Simulador | VENSIM | Tipo |"&amp;" Modelado dinámico"</formula1>
    </dataValidation>
    <dataValidation type="list" allowBlank="1" sqref="D13:D14">
      <formula1>"Lenguaje de Programación | Python | Framework | Flask,Lenguaje de Programación | Python | Librería | Pandas,Lenguaje de Programación | Java | Framework | Spring Boot,Lenguaje de Programación | Node.js | Framework | —,Lenguaje de Programación | Go (Golang)"&amp;" | Framework | —,Lenguaje de Programación | PHP | Framework | —,Lenguaje de Programación | JavaScript | Framework | React,Lenguaje de Programación | JavaScript | Framework | Vue.js,Lenguaje de Programación | Dart | Framework | Flutter,Lenguaje de Programa"&amp;"ción | Python | Framework | PySpark,Lenguaje de Programación | Scala | Framework | Apache Spark,Plataforma | Hadoop | Framework | —,Base de Datos | PostgreSQL | Herramienta | DBeaver,Base de Datos | MySQL | Herramienta | DataGrip,Base de Datos | SQL Serve"&amp;"r | Plataforma | SSMS,Base de Datos | MongoDB | Herramienta | —,Base de Datos | Redis | Herramienta | —,Base de Datos | ValkeyDB | Motor | —,Plataforma | AWS EC2 | Contenedor | Docker,Plataforma | AWS S3 | Servicio Cloud | —,Plataforma | Google Cloud | Or"&amp;"questación | Kubernetes,Infraestructura | Docker | Orquestación | Kubernetes,Infraestructura | Git | DevOps | CI/CD,Plataforma | AWS Lambda | Servicio Cloud,Plataforma | Power BI | Lenguaje | DAX,Plataforma | SSAS | Lenguaje | MDX,Plataforma | BigQuery | "&amp;"Herramienta,Herramienta | Grafana | Plataforma,Plataforma | SSRS | Herramienta | —,Plataforma | Pentaho | Tipo | ETL,Plataforma | Talend | Tipo | ETL,Hardware | Raspberry Pi | Lenguaje | Python,Hardware | Arduino | Lenguaje | C/C++,Herramienta | VS Code |"&amp;" Tipo | IDE,Herramienta | Postman | Tipo | Testing API,Herramienta | Locust | Tipo | Testing de carga,Lenguaje de Programación | Pseudocódigo | — | —,Lenguaje de Programación | C# | Framework | .NET,Lenguaje de Programación | Prolog | — | —,Lenguaje de Pr"&amp;"ogramación | Bash | — | —,Herramienta | CUP | Tipo | Parser Generator,Herramienta | JFlex | Tipo | Generador de Parser,Herramienta | Bison | Tipo | Parser,Herramienta | ANTLR | Tipo | Generador de Parser,Herramienta | Jison | Tipo | Parser Generator,Herra"&amp;"mienta | LIME Parser Generator | Tipo | Parser Generator"</formula1>
    </dataValidation>
    <dataValidation type="list" allowBlank="1" sqref="C13:C14">
      <formula1>"Desarrollo Backend,Desarrollo Frontend / Aplicaciones,Ciencia de Datos / Big Data,Bases de Datos,Cloud / Infraestructura,BI / Analítica,Hardware,Herramientas de Desarrollo,Otros,Generadores de Parser"</formula1>
    </dataValidation>
    <dataValidation type="list" allowBlank="1" sqref="C19:C20">
      <formula1>"Gestion,Metodología,Simulación / Ingeniería"</formula1>
    </dataValidation>
  </dataValidations>
  <hyperlinks>
    <hyperlink r:id="rId1" ref="B48"/>
  </hyperlinks>
  <printOptions/>
  <pageMargins bottom="0.75" footer="0.0" header="0.0" left="0.7" right="0.7" top="0.75"/>
  <pageSetup orientation="portrait"/>
  <drawing r:id="rId2"/>
</worksheet>
</file>