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ntes" sheetId="1" r:id="rId4"/>
    <sheet state="visible" name="Analisis de Contenido" sheetId="2" r:id="rId5"/>
    <sheet state="visible" name="Analisis Tecnologico" sheetId="3" r:id="rId6"/>
    <sheet state="visible" name="Metadata" sheetId="4" r:id="rId7"/>
  </sheets>
  <definedNames/>
  <calcPr/>
  <extLst>
    <ext uri="GoogleSheetsCustomDataVersion2">
      <go:sheetsCustomData xmlns:go="http://customooxmlschemas.google.com/" r:id="rId8" roundtripDataChecksum="rE5sZPI6TngZ8dYA6I69ZR8Ek0scRc+mdo5bBQmKQPM="/>
    </ext>
  </extLst>
</workbook>
</file>

<file path=xl/sharedStrings.xml><?xml version="1.0" encoding="utf-8"?>
<sst xmlns="http://schemas.openxmlformats.org/spreadsheetml/2006/main" count="410" uniqueCount="228">
  <si>
    <t>Identificación de referentes internacionales</t>
  </si>
  <si>
    <t>Nombre del Curso</t>
  </si>
  <si>
    <t>667 - Programacion Comercial 1</t>
  </si>
  <si>
    <t>Semestre que aplica</t>
  </si>
  <si>
    <t>Segundo Semestre 2026</t>
  </si>
  <si>
    <t>1. Universidad Refente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</si>
  <si>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</si>
  <si>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Nombre de la Universidad</t>
  </si>
  <si>
    <t>Universidad Adolfo Ibáñez</t>
  </si>
  <si>
    <t>Pais</t>
  </si>
  <si>
    <t>Chile</t>
  </si>
  <si>
    <t>Curso Power BI para Profesionales</t>
  </si>
  <si>
    <t>Fuente de Información</t>
  </si>
  <si>
    <t>https://www.uai.cl/postgrados/cursos/curso-power-BI-profesionales</t>
  </si>
  <si>
    <t>No.</t>
  </si>
  <si>
    <t>Contenido de la Universidad Referente</t>
  </si>
  <si>
    <t>Conceptos básicos: datos, información y conocimiento de power BI</t>
  </si>
  <si>
    <t>Introducción a Power BI</t>
  </si>
  <si>
    <t>Conociendo la interfaz de power Bi</t>
  </si>
  <si>
    <t>2. Estandar Internacional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</si>
  <si>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</si>
  <si>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Nombre del Estandar</t>
  </si>
  <si>
    <t>Sección , Capitulo , etc,</t>
  </si>
  <si>
    <t xml:space="preserve"> Programa académico de Educación Ejecutiva, módulo de Business Intelligence
</t>
  </si>
  <si>
    <t>Funte de Información</t>
  </si>
  <si>
    <t>Contenido del Estandar</t>
  </si>
  <si>
    <t>Introducción a Business Intelligence y visualización de datos</t>
  </si>
  <si>
    <t>Fundamentos de Power BI: conexión y transformación de datos</t>
  </si>
  <si>
    <t>Modelado de datos y relaciones</t>
  </si>
  <si>
    <t>3. Tecnologias y/o herramientas en Tendencia</t>
  </si>
  <si>
    <t>*Investiga las tecnologias y/o herramientas que estan en tendencia actualmente a nivel internacional, como por ejemplo en cuadrante de gartner</t>
  </si>
  <si>
    <t>Nombre</t>
  </si>
  <si>
    <t>Link de referencia</t>
  </si>
  <si>
    <t>Power BI</t>
  </si>
  <si>
    <t>Power BI – Microsoft Power Platform (learn.microsoft.com in Bing)</t>
  </si>
  <si>
    <t>Power Query: para la conexión y transformación de datos desde múltiples fuentes</t>
  </si>
  <si>
    <t>learn.microsoft.com</t>
  </si>
  <si>
    <t>Dashboards Interactivos:</t>
  </si>
  <si>
    <t>MySQL</t>
  </si>
  <si>
    <t>https://www.mysql.com</t>
  </si>
  <si>
    <t>PostgreSQL</t>
  </si>
  <si>
    <t>https://www.postgresql.org</t>
  </si>
  <si>
    <t>Oracle Database</t>
  </si>
  <si>
    <t>https://www.oracle.com/database</t>
  </si>
  <si>
    <t>Comparación con referentes internacionales</t>
  </si>
  <si>
    <t>* Si el tema del curso no esta en el referente dejala la casilla en blanco</t>
  </si>
  <si>
    <t xml:space="preserve">**Este ejercicio de analisis de servira para mejorar el laboratorio para el siguiente semestre.   </t>
  </si>
  <si>
    <t>Universidad</t>
  </si>
  <si>
    <t>Estandar</t>
  </si>
  <si>
    <t>Laboratorio Actual ( Aqui van los temas impartidos en el presente semestre)</t>
  </si>
  <si>
    <t>Competencia</t>
  </si>
  <si>
    <t>Unidad</t>
  </si>
  <si>
    <t>Tema</t>
  </si>
  <si>
    <t>SubTema</t>
  </si>
  <si>
    <t>Contenido</t>
  </si>
  <si>
    <t xml:space="preserve">Identifica los elementos de una base de datos relacional mediante la exploración de Motores de bases de datos para comprender estructura y organización de datos </t>
  </si>
  <si>
    <t xml:space="preserve">1.  Base de datos </t>
  </si>
  <si>
    <t>Introducción a las bases de datos</t>
  </si>
  <si>
    <t>Introduccion a las bases de datos</t>
  </si>
  <si>
    <t>ab</t>
  </si>
  <si>
    <t>Conceptos Iniciales de las bases de datos</t>
  </si>
  <si>
    <t>Qué es una base de datos, tabla, registro.</t>
  </si>
  <si>
    <t>Tipos de bases de datos</t>
  </si>
  <si>
    <t>Gestores en las bases de datos</t>
  </si>
  <si>
    <t>Conceptos iniciales de las bases de datos</t>
  </si>
  <si>
    <t>¿Qué es SQL Server?</t>
  </si>
  <si>
    <t>RDBMS, T-SQL, casos de uso, características clave</t>
  </si>
  <si>
    <t>Instalación y conexión</t>
  </si>
  <si>
    <t>Edición Developer, SSMS, modo de autenticación, conexión inicial</t>
  </si>
  <si>
    <t>Creación de la base de datos</t>
  </si>
  <si>
    <t>CREATE DATABASE y contexto USE</t>
  </si>
  <si>
    <t>Tablas y tipos de datos</t>
  </si>
  <si>
    <t>INT, DECIMAL(p,s), NVARCHAR(n), DATE/DATETIME, BIT, PRIMARY KEY, IDENTITY, NOT NULL</t>
  </si>
  <si>
    <t>Inserción de datos</t>
  </si>
  <si>
    <t>INSERT INTO ... VALUES (...) (múltiples filas)</t>
  </si>
  <si>
    <t>SELECT básico</t>
  </si>
  <si>
    <t>SELECT *, proyección de columnas, WHERE, ORDER BY</t>
  </si>
  <si>
    <t>Hoja de Trabajo 1</t>
  </si>
  <si>
    <t>Ejercicio integrador: BD + tablas + inserts + consultas</t>
  </si>
  <si>
    <t>Creación de una base de datos</t>
  </si>
  <si>
    <t>Aplicación de conceptos diagrama entidad relación</t>
  </si>
  <si>
    <t>Formularios y consultas</t>
  </si>
  <si>
    <t>Tipos de formularios</t>
  </si>
  <si>
    <t>Controles y validación en formularios</t>
  </si>
  <si>
    <t>Eventos en formularios</t>
  </si>
  <si>
    <t>Diseño y utilidad de formularios</t>
  </si>
  <si>
    <t>consultas y conceptos básicos</t>
  </si>
  <si>
    <t>Consultas de selección</t>
  </si>
  <si>
    <t>Consulta de Acción</t>
  </si>
  <si>
    <t xml:space="preserve">Aplica la creación de tablas, consultas y formularios utilizando motores de bases de datos para resolver problemas prácticos de gestión de información </t>
  </si>
  <si>
    <t>Tipos de datos y consultas basicas</t>
  </si>
  <si>
    <t>INT/SMALLINT/BIGINT, DECIMAL vs MONEY, exactos vs aproximados</t>
  </si>
  <si>
    <t>Precisión, usos y defaults (SYSDATETIME/SYSUTCDATETIME)</t>
  </si>
  <si>
    <t>Unicode, collation, longitud fija vs variable</t>
  </si>
  <si>
    <t>Elección en OLTP, impacto en índices</t>
  </si>
  <si>
    <t>Cuándo usar cada una; costos y estadísticas</t>
  </si>
  <si>
    <t>Plantilla, reglas ON vs WHERE, filtros por fecha</t>
  </si>
  <si>
    <t>Ventanas (ROW_NUMBER, SUM OVER), SCOPE_IDENTITY(), TRY/CATCH + TRAN</t>
  </si>
  <si>
    <t>2. Microsoft Project</t>
  </si>
  <si>
    <t>Gestión de proyectos</t>
  </si>
  <si>
    <t>Introduccion a la gestión de proyectos</t>
  </si>
  <si>
    <t>Instalación Microsoft proyect o Project libre</t>
  </si>
  <si>
    <t>Fundamentos de la Planificación de Proyectos</t>
  </si>
  <si>
    <t>¿Qué es un proyeco y tipos de proyectos?</t>
  </si>
  <si>
    <t>Teoría de Microsoft Project</t>
  </si>
  <si>
    <t>Explorando la interfaz de Microsoft Project o project libre</t>
  </si>
  <si>
    <t>Características de un proyecto</t>
  </si>
  <si>
    <t>Planificación de Tareas</t>
  </si>
  <si>
    <t>Ciclo de vida de un proyecto</t>
  </si>
  <si>
    <t xml:space="preserve">Evalúa la importancia de la ética en el uso de datos mediante el análisis de normativas y casos reales para proponer soluciones tecnológicas </t>
  </si>
  <si>
    <t>Roles en la gestión de proyectos</t>
  </si>
  <si>
    <t>Definición de objetivos y Alcance del proyecto</t>
  </si>
  <si>
    <t>Asignación de Recursos</t>
  </si>
  <si>
    <t>Estructura de desglose de trabajo</t>
  </si>
  <si>
    <t>Estimación de tiempos y costos</t>
  </si>
  <si>
    <t>Asignación de recursos</t>
  </si>
  <si>
    <t>Gestión de Costos</t>
  </si>
  <si>
    <t>Análisis de costos</t>
  </si>
  <si>
    <t>3. Powe Bi</t>
  </si>
  <si>
    <t>Analisis de datos</t>
  </si>
  <si>
    <t>Interpretación de costos</t>
  </si>
  <si>
    <t>Evaluación de costos en tomas de desiciones</t>
  </si>
  <si>
    <t>¿Qué es el análisis de datos?</t>
  </si>
  <si>
    <t>Conceptos básicos: datos, información y conocimiento.</t>
  </si>
  <si>
    <t>Tipos de análisis: descriptivo, predictivo, prescriptivo.</t>
  </si>
  <si>
    <t>¿Qué es Power BI y para qué sirve?</t>
  </si>
  <si>
    <t xml:space="preserve">Integra datos de múltiples fuentes con prácticas de laboratorio para generar reportes que appoyen la toma de decisiones </t>
  </si>
  <si>
    <t>Elementos principales: Desktop, Service y Mobile.</t>
  </si>
  <si>
    <t>Instalación y exploración de power bi</t>
  </si>
  <si>
    <t>Primeros pasos: configuración inicial</t>
  </si>
  <si>
    <t>Conociendo la interfaz</t>
  </si>
  <si>
    <t xml:space="preserve">Crea un proyecto final de análisis y presentación de información utilizando Access Project y Power BI de manera conjunta bajo lineamientos de calidad </t>
  </si>
  <si>
    <t>Áreas de trabajo: Informe, Datos y Modelo</t>
  </si>
  <si>
    <t>Herramientas y páneles principales</t>
  </si>
  <si>
    <t>Carga de datos de ejemplo en Power BI</t>
  </si>
  <si>
    <t xml:space="preserve">Desarolla dasboards interactivos mediante Power BI para visualizar datos integrados de Access y Excel en un entorno práctico </t>
  </si>
  <si>
    <t>Creación de gráficos y reportes</t>
  </si>
  <si>
    <t>Elaboración de gráficos básicos</t>
  </si>
  <si>
    <t>Barras, líneas, áreas y circulares.</t>
  </si>
  <si>
    <t>Personalización: colores, etiquetas y leyendas.</t>
  </si>
  <si>
    <t>Gráficos avanzados</t>
  </si>
  <si>
    <t>Slicers, tarjetas de KPIs y combinaciones de gráficos.</t>
  </si>
  <si>
    <t>Uso de visualizaciones del marketplace.</t>
  </si>
  <si>
    <t>Tecnologias y/o Herramientas actuales en el laboratorio</t>
  </si>
  <si>
    <t>Tecnologias y/o herramientas en Tendencia</t>
  </si>
  <si>
    <t>Power Bi</t>
  </si>
  <si>
    <t>SQL Server</t>
  </si>
  <si>
    <t>Consulta con el catedratico de los hallazgos y si debes hacer algun cambio en tecnologias y/o herramientas para el proximo semestre</t>
  </si>
  <si>
    <t>Codigo-Nombre</t>
  </si>
  <si>
    <t>17 - Área Social Humanística 1</t>
  </si>
  <si>
    <t>101 - Área Matemática Básica 1</t>
  </si>
  <si>
    <t>5 - Técnicas de Estudio e Investigación</t>
  </si>
  <si>
    <t>39 - Deportes 1</t>
  </si>
  <si>
    <t>6 - Idioma Tecnico 1</t>
  </si>
  <si>
    <t>19 - Área Social Humanística 2</t>
  </si>
  <si>
    <t>103 - Área Matemática Básica 2</t>
  </si>
  <si>
    <t>960 - Matemática Para Computación 1</t>
  </si>
  <si>
    <t>147 - Física Básica</t>
  </si>
  <si>
    <t>40 - Deportes 2</t>
  </si>
  <si>
    <t>8 - Idioma Técnico 2</t>
  </si>
  <si>
    <t>795 - Logica de Sitemas</t>
  </si>
  <si>
    <t>962 - Matemática Para Computación 2</t>
  </si>
  <si>
    <t>770 - Introducción a ala programación y computación 1</t>
  </si>
  <si>
    <t>107 - Área Matemática Intermedia 1</t>
  </si>
  <si>
    <t>150 - Fisica 1</t>
  </si>
  <si>
    <t>1 - Ética Profesional</t>
  </si>
  <si>
    <t>9 - Idioma Técnico 3</t>
  </si>
  <si>
    <t>796 - Lenguajes Formales y de Programación</t>
  </si>
  <si>
    <t>771 - Introducción a la Programación y Computación 2</t>
  </si>
  <si>
    <t>112 - Área Matemática Intermedia 2</t>
  </si>
  <si>
    <t>114 - Área Matemática Intermedia 3</t>
  </si>
  <si>
    <t>152 - Física 2</t>
  </si>
  <si>
    <t>10 - Lógica</t>
  </si>
  <si>
    <t>11 - Idioma Técnico 4</t>
  </si>
  <si>
    <t>2025 - Prácticas Iniciales</t>
  </si>
  <si>
    <t>732 - Estadística 1</t>
  </si>
  <si>
    <t>777 - Organización de Lenguajes y Compiladores 1</t>
  </si>
  <si>
    <t>964 - Organización Computacional</t>
  </si>
  <si>
    <t>772 - Estructuras de Datos</t>
  </si>
  <si>
    <t>116 - Matemática Aplicada 3</t>
  </si>
  <si>
    <t>118 - Matemática Aplicada 1</t>
  </si>
  <si>
    <t>18 - Filosofía de la Ciencia</t>
  </si>
  <si>
    <t>722 - Teoría de Sistemas 1</t>
  </si>
  <si>
    <t>601 - Investigación de Operaciones 1</t>
  </si>
  <si>
    <t>14 - Economía</t>
  </si>
  <si>
    <t>781 - Organización de Lenguajes y Compiladores 2</t>
  </si>
  <si>
    <t>778 - Arquitectura de Computadoras y Ensambladores 1</t>
  </si>
  <si>
    <t>773 - Manejo e Implementación de Archivos</t>
  </si>
  <si>
    <t>122 - Matemática Aplicada 4</t>
  </si>
  <si>
    <t>120 - Matemática Aplicada 2</t>
  </si>
  <si>
    <t>200 - Ingeniería Eléctrica 1</t>
  </si>
  <si>
    <t>724 - Teoría de Sistemas 2</t>
  </si>
  <si>
    <t>603 - Investigación de Operaciones 2</t>
  </si>
  <si>
    <t>734 - Estadística 2</t>
  </si>
  <si>
    <t>281 - Sistemas Operativos 1</t>
  </si>
  <si>
    <t>779 - Arquitectura de Computadoras y Ensambladores 2</t>
  </si>
  <si>
    <t>970 - Redes de Computadoras 1</t>
  </si>
  <si>
    <t>774 - Sistemas de Bases de Datos 1</t>
  </si>
  <si>
    <t>2036 - Prácticas Intermedias</t>
  </si>
  <si>
    <t>285 - Sistemas Operativos 2</t>
  </si>
  <si>
    <t>975 - Redes de Computadoras 2</t>
  </si>
  <si>
    <t>775 - Sistemas de Bases de Datos 2</t>
  </si>
  <si>
    <t>283 - Análisis y Diseño de Sistemas 1</t>
  </si>
  <si>
    <t>797 - Seminario de Sistemas 1</t>
  </si>
  <si>
    <t>700 - Ingeniería Económica 1</t>
  </si>
  <si>
    <t>729 - Modelación y Simulación 1</t>
  </si>
  <si>
    <t>786 - Sistemas Organizacionales y Gerenciales 1</t>
  </si>
  <si>
    <t>972 - Inteligencia Artificial 1</t>
  </si>
  <si>
    <t>966 - Seguridad y Auditoría de Redes de Computadoras</t>
  </si>
  <si>
    <t>785 - Análisis y Diseño de Sistemas 2</t>
  </si>
  <si>
    <t>798 - Seminario de Sistemas 2</t>
  </si>
  <si>
    <t>788 - Sistemas Aplicados 1</t>
  </si>
  <si>
    <t>776 - Bases de Datos Avanzadas</t>
  </si>
  <si>
    <t>2009 - Prácticas Finales Ingeniería Ciencias y Sistemas</t>
  </si>
  <si>
    <t>720 - Modelación y Simulación 2</t>
  </si>
  <si>
    <t>787 - Sistemas Organizacionales y Gerenciales 2</t>
  </si>
  <si>
    <t>790 - Emprendedores de Negocios Informáticos</t>
  </si>
  <si>
    <t>968 - Inteligencia Artificial 2</t>
  </si>
  <si>
    <t>974 - Redes de Nueva Generación</t>
  </si>
  <si>
    <t>780 - Software Avanzado</t>
  </si>
  <si>
    <t>789 - Sistemas Aplicados 2</t>
  </si>
  <si>
    <t>735 - Auditoría de Proyectos de Software</t>
  </si>
  <si>
    <t>7999 - Seminario de Investigación EPS Sistemas</t>
  </si>
  <si>
    <t>799 - Seminario de Investigación</t>
  </si>
  <si>
    <t>90 - Programacion de Computadoras 1</t>
  </si>
  <si>
    <t>92 - Programacion de Computadoras 2</t>
  </si>
  <si>
    <t>768 - Algoritmos</t>
  </si>
  <si>
    <t>0089 - Comunicación Asertiva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</si>
</sst>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theme="1"/>
      <name val="Arial"/>
    </font>
    <font>
      <b/>
      <sz val="12.0"/>
      <color rgb="FFFF6D01"/>
      <name val="Arial"/>
    </font>
    <font>
      <b/>
      <sz val="12.0"/>
      <color theme="1"/>
      <name val="Arial"/>
    </font>
    <font/>
    <font>
      <b/>
      <sz val="12.0"/>
      <color rgb="FF4285F4"/>
      <name val="Arial"/>
    </font>
    <font>
      <color rgb="FF999999"/>
      <name val="Arial"/>
    </font>
    <font>
      <color theme="1"/>
      <name val="Arial"/>
      <scheme val="minor"/>
    </font>
    <font>
      <u/>
      <color rgb="FF1155CC"/>
      <name val="Arial"/>
    </font>
    <font>
      <b/>
      <color theme="1"/>
      <name val="Arial"/>
    </font>
    <font>
      <u/>
      <color rgb="FF1155CC"/>
      <name val="Arial"/>
    </font>
    <font>
      <color rgb="FFB7B7B7"/>
      <name val="Arial"/>
    </font>
    <font>
      <u/>
      <color rgb="FF0000FF"/>
      <name val="Arial"/>
    </font>
    <font>
      <b/>
      <color theme="1"/>
      <name val="Arial"/>
      <scheme val="minor"/>
    </font>
    <font>
      <color rgb="FFFFFFFF"/>
      <name val="Arial"/>
    </font>
    <font>
      <color rgb="FFCCCCCC"/>
      <name val="Arial"/>
    </font>
    <font>
      <sz val="11.0"/>
      <color theme="1"/>
      <name val="Aptos Narrow"/>
    </font>
    <font>
      <color theme="1"/>
      <name val="Arial Unicode MS"/>
    </font>
    <font>
      <b/>
      <color rgb="FF4A86E8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2" fontId="3" numFmtId="0" xfId="0" applyAlignment="1" applyBorder="1" applyFill="1" applyFont="1">
      <alignment shrinkToFit="0" vertical="bottom" wrapText="1"/>
    </xf>
    <xf borderId="2" fillId="0" fontId="1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1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1" fillId="2" fontId="1" numFmtId="0" xfId="0" applyAlignment="1" applyBorder="1" applyFont="1">
      <alignment shrinkToFit="0" vertical="bottom" wrapText="1"/>
    </xf>
    <xf borderId="0" fillId="0" fontId="7" numFmtId="0" xfId="0" applyAlignment="1" applyFont="1">
      <alignment readingOrder="0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2" fillId="0" fontId="8" numFmtId="0" xfId="0" applyAlignment="1" applyBorder="1" applyFont="1">
      <alignment readingOrder="0" vertical="bottom"/>
    </xf>
    <xf borderId="2" fillId="2" fontId="9" numFmtId="0" xfId="0" applyAlignment="1" applyBorder="1" applyFont="1">
      <alignment vertical="bottom"/>
    </xf>
    <xf borderId="1" fillId="0" fontId="1" numFmtId="0" xfId="0" applyAlignment="1" applyBorder="1" applyFont="1">
      <alignment shrinkToFit="0" vertical="bottom" wrapText="1"/>
    </xf>
    <xf borderId="2" fillId="0" fontId="1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shrinkToFit="0" vertical="bottom" wrapText="1"/>
    </xf>
    <xf borderId="2" fillId="0" fontId="10" numFmtId="0" xfId="0" applyAlignment="1" applyBorder="1" applyFont="1">
      <alignment vertical="bottom"/>
    </xf>
    <xf borderId="0" fillId="0" fontId="11" numFmtId="0" xfId="0" applyFont="1"/>
    <xf borderId="1" fillId="2" fontId="1" numFmtId="0" xfId="0" applyBorder="1" applyFont="1"/>
    <xf borderId="1" fillId="0" fontId="1" numFmtId="0" xfId="0" applyAlignment="1" applyBorder="1" applyFont="1">
      <alignment readingOrder="0"/>
    </xf>
    <xf borderId="1" fillId="0" fontId="12" numFmtId="0" xfId="0" applyAlignment="1" applyBorder="1" applyFont="1">
      <alignment readingOrder="0"/>
    </xf>
    <xf borderId="1" fillId="0" fontId="1" numFmtId="0" xfId="0" applyBorder="1" applyFont="1"/>
    <xf borderId="0" fillId="0" fontId="13" numFmtId="0" xfId="0" applyAlignment="1" applyFont="1">
      <alignment horizontal="center" readingOrder="0"/>
    </xf>
    <xf borderId="5" fillId="0" fontId="2" numFmtId="0" xfId="0" applyAlignment="1" applyBorder="1" applyFont="1">
      <alignment horizontal="center" shrinkToFit="0" vertical="bottom" wrapText="1"/>
    </xf>
    <xf borderId="6" fillId="0" fontId="4" numFmtId="0" xfId="0" applyBorder="1" applyFont="1"/>
    <xf borderId="7" fillId="0" fontId="4" numFmtId="0" xfId="0" applyBorder="1" applyFont="1"/>
    <xf borderId="0" fillId="0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1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1" fillId="3" fontId="1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6" numFmtId="0" xfId="0" applyAlignment="1" applyFont="1">
      <alignment shrinkToFit="0" vertical="bottom" wrapText="1"/>
    </xf>
    <xf borderId="0" fillId="0" fontId="17" numFmtId="0" xfId="0" applyAlignment="1" applyFont="1">
      <alignment shrinkToFit="0" vertical="bottom" wrapText="1"/>
    </xf>
    <xf borderId="0" fillId="4" fontId="1" numFmtId="0" xfId="0" applyAlignment="1" applyFill="1" applyFont="1">
      <alignment shrinkToFit="0" wrapText="1"/>
    </xf>
    <xf borderId="0" fillId="4" fontId="1" numFmtId="0" xfId="0" applyFont="1"/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47625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0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uai.cl/postgrados/cursos/curso-power-BI-profesionales" TargetMode="External"/><Relationship Id="rId2" Type="http://schemas.openxmlformats.org/officeDocument/2006/relationships/hyperlink" Target="http://learn.microsoft.com/" TargetMode="External"/><Relationship Id="rId3" Type="http://schemas.openxmlformats.org/officeDocument/2006/relationships/hyperlink" Target="http://learn.microsoft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14.25"/>
  </cols>
  <sheetData>
    <row r="1" ht="15.75" customHeight="1">
      <c r="A1" s="1"/>
      <c r="B1" s="2" t="s">
        <v>0</v>
      </c>
    </row>
    <row r="2" ht="15.75" customHeight="1">
      <c r="A2" s="1"/>
      <c r="B2" s="1"/>
      <c r="C2" s="1"/>
      <c r="D2" s="1"/>
      <c r="E2" s="1"/>
      <c r="F2" s="1"/>
      <c r="G2" s="1"/>
    </row>
    <row r="3" ht="15.75" customHeight="1">
      <c r="A3" s="1"/>
      <c r="B3" s="3" t="s">
        <v>1</v>
      </c>
      <c r="C3" s="4" t="s">
        <v>2</v>
      </c>
      <c r="D3" s="5"/>
      <c r="E3" s="5"/>
      <c r="F3" s="5"/>
      <c r="G3" s="6"/>
    </row>
    <row r="4" ht="15.75" customHeight="1">
      <c r="A4" s="1"/>
      <c r="B4" s="3" t="s">
        <v>3</v>
      </c>
      <c r="C4" s="7" t="s">
        <v>4</v>
      </c>
      <c r="D4" s="5"/>
      <c r="E4" s="5"/>
      <c r="F4" s="5"/>
      <c r="G4" s="6"/>
    </row>
    <row r="5" ht="15.75" customHeight="1">
      <c r="A5" s="1"/>
      <c r="B5" s="1"/>
      <c r="C5" s="1"/>
      <c r="D5" s="1"/>
      <c r="E5" s="1"/>
      <c r="F5" s="1"/>
      <c r="G5" s="1"/>
    </row>
    <row r="6" ht="15.75" customHeight="1">
      <c r="A6" s="1"/>
      <c r="B6" s="8" t="s">
        <v>5</v>
      </c>
      <c r="C6" s="1"/>
      <c r="D6" s="1"/>
      <c r="E6" s="1"/>
      <c r="F6" s="1"/>
      <c r="G6" s="1"/>
    </row>
    <row r="7">
      <c r="A7" s="1"/>
      <c r="B7" s="9" t="s">
        <v>6</v>
      </c>
    </row>
    <row r="8" ht="15.75" customHeight="1">
      <c r="A8" s="1"/>
      <c r="B8" s="1"/>
      <c r="C8" s="1"/>
      <c r="D8" s="1"/>
      <c r="E8" s="1"/>
      <c r="F8" s="1"/>
      <c r="G8" s="1"/>
    </row>
    <row r="9">
      <c r="A9" s="1"/>
      <c r="B9" s="10" t="s">
        <v>7</v>
      </c>
      <c r="C9" s="11" t="s">
        <v>8</v>
      </c>
      <c r="D9" s="12"/>
      <c r="E9" s="12"/>
      <c r="F9" s="12"/>
      <c r="G9" s="13"/>
    </row>
    <row r="10" ht="15.75" customHeight="1">
      <c r="A10" s="1"/>
      <c r="B10" s="10" t="s">
        <v>9</v>
      </c>
      <c r="C10" s="4" t="s">
        <v>10</v>
      </c>
      <c r="D10" s="5"/>
      <c r="E10" s="5"/>
      <c r="F10" s="5"/>
      <c r="G10" s="6"/>
    </row>
    <row r="11">
      <c r="A11" s="1"/>
      <c r="B11" s="10" t="s">
        <v>1</v>
      </c>
      <c r="C11" s="11" t="s">
        <v>11</v>
      </c>
      <c r="D11" s="12"/>
      <c r="E11" s="12"/>
      <c r="F11" s="12"/>
      <c r="G11" s="13"/>
    </row>
    <row r="12">
      <c r="A12" s="1"/>
      <c r="B12" s="10" t="s">
        <v>12</v>
      </c>
      <c r="C12" s="14" t="s">
        <v>13</v>
      </c>
      <c r="D12" s="5"/>
      <c r="E12" s="5"/>
      <c r="F12" s="5"/>
      <c r="G12" s="6"/>
    </row>
    <row r="13" ht="15.75" customHeight="1">
      <c r="A13" s="1"/>
      <c r="B13" s="1"/>
      <c r="C13" s="1"/>
      <c r="D13" s="1"/>
      <c r="E13" s="1"/>
      <c r="F13" s="1"/>
      <c r="G13" s="1"/>
    </row>
    <row r="14" ht="15.75" customHeight="1">
      <c r="A14" s="1"/>
      <c r="B14" s="15" t="s">
        <v>14</v>
      </c>
      <c r="C14" s="15" t="s">
        <v>15</v>
      </c>
      <c r="D14" s="5"/>
      <c r="E14" s="5"/>
      <c r="F14" s="5"/>
      <c r="G14" s="6"/>
    </row>
    <row r="15" ht="15.75" customHeight="1">
      <c r="A15" s="1"/>
      <c r="B15" s="16">
        <v>1.0</v>
      </c>
      <c r="C15" s="17" t="s">
        <v>16</v>
      </c>
      <c r="D15" s="5"/>
      <c r="E15" s="5"/>
      <c r="F15" s="5"/>
      <c r="G15" s="6"/>
    </row>
    <row r="16" ht="15.75" customHeight="1">
      <c r="A16" s="1"/>
      <c r="B16" s="16">
        <v>2.0</v>
      </c>
      <c r="C16" s="17" t="s">
        <v>17</v>
      </c>
      <c r="D16" s="5"/>
      <c r="E16" s="5"/>
      <c r="F16" s="5"/>
      <c r="G16" s="6"/>
    </row>
    <row r="17" ht="15.75" customHeight="1">
      <c r="A17" s="1"/>
      <c r="B17" s="18">
        <v>3.0</v>
      </c>
      <c r="C17" s="17" t="s">
        <v>18</v>
      </c>
      <c r="D17" s="5"/>
      <c r="E17" s="5"/>
      <c r="F17" s="5"/>
      <c r="G17" s="6"/>
    </row>
    <row r="18" ht="15.75" customHeight="1">
      <c r="A18" s="1"/>
      <c r="B18" s="18">
        <v>4.0</v>
      </c>
      <c r="C18" s="19"/>
      <c r="D18" s="5"/>
      <c r="E18" s="5"/>
      <c r="F18" s="5"/>
      <c r="G18" s="6"/>
    </row>
    <row r="19" ht="15.75" customHeight="1">
      <c r="A19" s="1"/>
      <c r="B19" s="18">
        <v>5.0</v>
      </c>
      <c r="C19" s="19"/>
      <c r="D19" s="5"/>
      <c r="E19" s="5"/>
      <c r="F19" s="5"/>
      <c r="G19" s="6"/>
    </row>
    <row r="20" ht="15.75" customHeight="1">
      <c r="A20" s="1"/>
      <c r="B20" s="18">
        <v>6.0</v>
      </c>
      <c r="C20" s="19"/>
      <c r="D20" s="5"/>
      <c r="E20" s="5"/>
      <c r="F20" s="5"/>
      <c r="G20" s="6"/>
    </row>
    <row r="21" ht="15.75" customHeight="1">
      <c r="A21" s="1"/>
      <c r="B21" s="18">
        <v>7.0</v>
      </c>
      <c r="C21" s="19"/>
      <c r="D21" s="5"/>
      <c r="E21" s="5"/>
      <c r="F21" s="5"/>
      <c r="G21" s="6"/>
    </row>
    <row r="22" ht="15.75" customHeight="1">
      <c r="A22" s="1"/>
      <c r="B22" s="18">
        <v>8.0</v>
      </c>
      <c r="C22" s="19"/>
      <c r="D22" s="5"/>
      <c r="E22" s="5"/>
      <c r="F22" s="5"/>
      <c r="G22" s="6"/>
    </row>
    <row r="23" ht="15.75" customHeight="1">
      <c r="A23" s="1"/>
      <c r="B23" s="18">
        <v>9.0</v>
      </c>
      <c r="C23" s="19"/>
      <c r="D23" s="5"/>
      <c r="E23" s="5"/>
      <c r="F23" s="5"/>
      <c r="G23" s="6"/>
    </row>
    <row r="24" ht="15.75" customHeight="1">
      <c r="A24" s="1"/>
      <c r="B24" s="18">
        <v>10.0</v>
      </c>
      <c r="C24" s="19"/>
      <c r="D24" s="5"/>
      <c r="E24" s="5"/>
      <c r="F24" s="5"/>
      <c r="G24" s="6"/>
    </row>
    <row r="25" ht="15.75" customHeight="1">
      <c r="A25" s="1"/>
      <c r="B25" s="1"/>
      <c r="C25" s="1"/>
      <c r="D25" s="1"/>
      <c r="E25" s="1"/>
      <c r="F25" s="1"/>
      <c r="G25" s="1"/>
    </row>
    <row r="26" ht="15.75" customHeight="1">
      <c r="A26" s="1"/>
      <c r="B26" s="1"/>
      <c r="C26" s="1"/>
      <c r="D26" s="1"/>
      <c r="E26" s="1"/>
      <c r="F26" s="1"/>
      <c r="G26" s="1"/>
    </row>
    <row r="27" ht="15.75" customHeight="1">
      <c r="A27" s="1"/>
      <c r="B27" s="8" t="s">
        <v>19</v>
      </c>
      <c r="C27" s="1"/>
      <c r="D27" s="1"/>
      <c r="E27" s="1"/>
      <c r="F27" s="1"/>
      <c r="G27" s="1"/>
    </row>
    <row r="28">
      <c r="A28" s="1"/>
      <c r="B28" s="9" t="s">
        <v>20</v>
      </c>
    </row>
    <row r="29" ht="15.75" customHeight="1">
      <c r="A29" s="1"/>
      <c r="B29" s="1"/>
      <c r="C29" s="1"/>
      <c r="D29" s="1"/>
      <c r="E29" s="1"/>
      <c r="F29" s="1"/>
      <c r="G29" s="1"/>
    </row>
    <row r="30">
      <c r="A30" s="1"/>
      <c r="B30" s="10" t="s">
        <v>21</v>
      </c>
      <c r="C30" s="4" t="s">
        <v>11</v>
      </c>
      <c r="D30" s="5"/>
      <c r="E30" s="5"/>
      <c r="F30" s="5"/>
      <c r="G30" s="6"/>
    </row>
    <row r="31">
      <c r="A31" s="1"/>
      <c r="B31" s="10" t="s">
        <v>22</v>
      </c>
      <c r="C31" s="4" t="s">
        <v>23</v>
      </c>
      <c r="D31" s="5"/>
      <c r="E31" s="5"/>
      <c r="F31" s="5"/>
      <c r="G31" s="6"/>
    </row>
    <row r="32">
      <c r="A32" s="1"/>
      <c r="B32" s="10" t="s">
        <v>24</v>
      </c>
      <c r="C32" s="20"/>
      <c r="D32" s="5"/>
      <c r="E32" s="5"/>
      <c r="F32" s="5"/>
      <c r="G32" s="6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B34" s="15" t="s">
        <v>14</v>
      </c>
      <c r="C34" s="15" t="s">
        <v>25</v>
      </c>
      <c r="D34" s="5"/>
      <c r="E34" s="5"/>
      <c r="F34" s="5"/>
      <c r="G34" s="6"/>
    </row>
    <row r="35" ht="15.75" customHeight="1">
      <c r="B35" s="16">
        <v>1.0</v>
      </c>
      <c r="C35" s="17" t="s">
        <v>26</v>
      </c>
      <c r="D35" s="5"/>
      <c r="E35" s="5"/>
      <c r="F35" s="5"/>
      <c r="G35" s="6"/>
    </row>
    <row r="36" ht="15.75" customHeight="1">
      <c r="B36" s="16">
        <v>2.0</v>
      </c>
      <c r="C36" s="17" t="s">
        <v>27</v>
      </c>
      <c r="D36" s="5"/>
      <c r="E36" s="5"/>
      <c r="F36" s="5"/>
      <c r="G36" s="6"/>
    </row>
    <row r="37" ht="15.75" customHeight="1">
      <c r="B37" s="18">
        <v>3.0</v>
      </c>
      <c r="C37" s="17" t="s">
        <v>28</v>
      </c>
      <c r="D37" s="5"/>
      <c r="E37" s="5"/>
      <c r="F37" s="5"/>
      <c r="G37" s="6"/>
    </row>
    <row r="38" ht="15.75" customHeight="1">
      <c r="B38" s="18">
        <v>4.0</v>
      </c>
      <c r="C38" s="19"/>
      <c r="D38" s="5"/>
      <c r="E38" s="5"/>
      <c r="F38" s="5"/>
      <c r="G38" s="6"/>
    </row>
    <row r="39" ht="15.75" customHeight="1">
      <c r="B39" s="18">
        <v>5.0</v>
      </c>
      <c r="C39" s="19"/>
      <c r="D39" s="5"/>
      <c r="E39" s="5"/>
      <c r="F39" s="5"/>
      <c r="G39" s="6"/>
    </row>
    <row r="40" ht="15.75" customHeight="1">
      <c r="B40" s="18">
        <v>6.0</v>
      </c>
      <c r="C40" s="19"/>
      <c r="D40" s="5"/>
      <c r="E40" s="5"/>
      <c r="F40" s="5"/>
      <c r="G40" s="6"/>
    </row>
    <row r="41" ht="15.75" customHeight="1">
      <c r="B41" s="18">
        <v>7.0</v>
      </c>
      <c r="C41" s="19"/>
      <c r="D41" s="5"/>
      <c r="E41" s="5"/>
      <c r="F41" s="5"/>
      <c r="G41" s="6"/>
    </row>
    <row r="42" ht="15.75" customHeight="1">
      <c r="B42" s="18">
        <v>8.0</v>
      </c>
      <c r="C42" s="19"/>
      <c r="D42" s="5"/>
      <c r="E42" s="5"/>
      <c r="F42" s="5"/>
      <c r="G42" s="6"/>
    </row>
    <row r="43" ht="15.75" customHeight="1">
      <c r="B43" s="18">
        <v>9.0</v>
      </c>
      <c r="C43" s="19"/>
      <c r="D43" s="5"/>
      <c r="E43" s="5"/>
      <c r="F43" s="5"/>
      <c r="G43" s="6"/>
    </row>
    <row r="44" ht="15.75" customHeight="1">
      <c r="B44" s="18">
        <v>10.0</v>
      </c>
      <c r="C44" s="19"/>
      <c r="D44" s="5"/>
      <c r="E44" s="5"/>
      <c r="F44" s="5"/>
      <c r="G44" s="6"/>
    </row>
    <row r="45" ht="15.75" customHeight="1"/>
    <row r="46" ht="15.75" customHeight="1"/>
    <row r="47" ht="15.75" customHeight="1">
      <c r="B47" s="8" t="s">
        <v>29</v>
      </c>
    </row>
    <row r="48" ht="15.75" customHeight="1">
      <c r="B48" s="21" t="s">
        <v>30</v>
      </c>
    </row>
    <row r="49" ht="15.75" customHeight="1">
      <c r="B49" s="15" t="s">
        <v>14</v>
      </c>
      <c r="C49" s="15" t="s">
        <v>31</v>
      </c>
      <c r="D49" s="5"/>
      <c r="E49" s="5"/>
      <c r="F49" s="5"/>
      <c r="G49" s="6"/>
      <c r="H49" s="22" t="s">
        <v>32</v>
      </c>
    </row>
    <row r="50" ht="15.75" customHeight="1">
      <c r="B50" s="16">
        <v>1.0</v>
      </c>
      <c r="C50" s="17" t="s">
        <v>33</v>
      </c>
      <c r="D50" s="5"/>
      <c r="E50" s="5"/>
      <c r="F50" s="5"/>
      <c r="G50" s="6"/>
      <c r="H50" s="23" t="s">
        <v>34</v>
      </c>
    </row>
    <row r="51" ht="15.75" customHeight="1">
      <c r="B51" s="16">
        <v>2.0</v>
      </c>
      <c r="C51" s="17" t="s">
        <v>35</v>
      </c>
      <c r="D51" s="5"/>
      <c r="E51" s="5"/>
      <c r="F51" s="5"/>
      <c r="G51" s="6"/>
      <c r="H51" s="24" t="s">
        <v>36</v>
      </c>
    </row>
    <row r="52" ht="15.75" customHeight="1">
      <c r="B52" s="18">
        <v>3.0</v>
      </c>
      <c r="C52" s="17" t="s">
        <v>37</v>
      </c>
      <c r="D52" s="5"/>
      <c r="E52" s="5"/>
      <c r="F52" s="5"/>
      <c r="G52" s="6"/>
      <c r="H52" s="24" t="s">
        <v>36</v>
      </c>
    </row>
    <row r="53" ht="15.75" customHeight="1">
      <c r="B53" s="18">
        <v>4.0</v>
      </c>
      <c r="C53" s="17" t="s">
        <v>38</v>
      </c>
      <c r="D53" s="5"/>
      <c r="E53" s="5"/>
      <c r="F53" s="5"/>
      <c r="G53" s="6"/>
      <c r="H53" s="23" t="s">
        <v>39</v>
      </c>
    </row>
    <row r="54" ht="15.75" customHeight="1">
      <c r="B54" s="18">
        <v>5.0</v>
      </c>
      <c r="C54" s="17" t="s">
        <v>40</v>
      </c>
      <c r="D54" s="5"/>
      <c r="E54" s="5"/>
      <c r="F54" s="5"/>
      <c r="G54" s="6"/>
      <c r="H54" s="23" t="s">
        <v>41</v>
      </c>
    </row>
    <row r="55" ht="15.75" customHeight="1">
      <c r="B55" s="18">
        <v>6.0</v>
      </c>
      <c r="C55" s="17" t="s">
        <v>42</v>
      </c>
      <c r="D55" s="5"/>
      <c r="E55" s="5"/>
      <c r="F55" s="5"/>
      <c r="G55" s="6"/>
      <c r="H55" s="23" t="s">
        <v>43</v>
      </c>
    </row>
    <row r="56" ht="15.75" customHeight="1">
      <c r="B56" s="18">
        <v>7.0</v>
      </c>
      <c r="C56" s="19"/>
      <c r="D56" s="5"/>
      <c r="E56" s="5"/>
      <c r="F56" s="5"/>
      <c r="G56" s="6"/>
      <c r="H56" s="25"/>
    </row>
    <row r="57" ht="15.75" customHeight="1">
      <c r="B57" s="18">
        <v>8.0</v>
      </c>
      <c r="C57" s="19"/>
      <c r="D57" s="5"/>
      <c r="E57" s="5"/>
      <c r="F57" s="5"/>
      <c r="G57" s="6"/>
      <c r="H57" s="25"/>
    </row>
    <row r="58" ht="15.75" customHeight="1">
      <c r="B58" s="18">
        <v>9.0</v>
      </c>
      <c r="C58" s="19"/>
      <c r="D58" s="5"/>
      <c r="E58" s="5"/>
      <c r="F58" s="5"/>
      <c r="G58" s="6"/>
      <c r="H58" s="25"/>
    </row>
    <row r="59" ht="15.75" customHeight="1">
      <c r="B59" s="18">
        <v>10.0</v>
      </c>
      <c r="C59" s="19"/>
      <c r="D59" s="5"/>
      <c r="E59" s="5"/>
      <c r="F59" s="5"/>
      <c r="G59" s="6"/>
      <c r="H59" s="25"/>
    </row>
    <row r="60" ht="15.75" customHeight="1"/>
    <row r="61" ht="15.75" customHeight="1"/>
    <row r="62" ht="15.75" customHeight="1"/>
    <row r="63" ht="15.75" customHeight="1"/>
    <row r="64" ht="15.75" customHeight="1">
      <c r="H64" s="26"/>
      <c r="I64" s="26"/>
      <c r="J64" s="26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43">
    <mergeCell ref="B1:G1"/>
    <mergeCell ref="C3:G3"/>
    <mergeCell ref="C4:G4"/>
    <mergeCell ref="B7:G7"/>
    <mergeCell ref="C10:G10"/>
    <mergeCell ref="C12:G12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B28:G28"/>
    <mergeCell ref="C30:G30"/>
    <mergeCell ref="C31:G31"/>
    <mergeCell ref="C32:G32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44:G44"/>
    <mergeCell ref="C49:G49"/>
    <mergeCell ref="C57:G57"/>
    <mergeCell ref="C58:G58"/>
    <mergeCell ref="C59:G59"/>
    <mergeCell ref="C50:G50"/>
    <mergeCell ref="C51:G51"/>
    <mergeCell ref="C52:G52"/>
    <mergeCell ref="C56:G56"/>
    <mergeCell ref="C53:G53"/>
    <mergeCell ref="C54:G54"/>
    <mergeCell ref="C55:G55"/>
  </mergeCells>
  <dataValidations>
    <dataValidation type="list" allowBlank="1" showErrorMessage="1" sqref="C3">
      <formula1>Metadata!$A$2:$A$81</formula1>
    </dataValidation>
  </dataValidations>
  <hyperlinks>
    <hyperlink r:id="rId1" ref="C12"/>
    <hyperlink r:id="rId2" ref="H51"/>
    <hyperlink r:id="rId3" ref="H52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4.0"/>
    <col customWidth="1" min="4" max="4" width="21.63"/>
    <col customWidth="1" min="5" max="5" width="27.25"/>
    <col customWidth="1" min="6" max="6" width="25.13"/>
    <col customWidth="1" min="7" max="7" width="24.25"/>
  </cols>
  <sheetData>
    <row r="1">
      <c r="A1" s="1"/>
      <c r="B1" s="27" t="s">
        <v>44</v>
      </c>
      <c r="C1" s="28"/>
      <c r="D1" s="28"/>
      <c r="E1" s="28"/>
      <c r="F1" s="28"/>
      <c r="G1" s="29"/>
    </row>
    <row r="2">
      <c r="A2" s="30" t="str">
        <f>#REF!&amp;" - "&amp;C3</f>
        <v>#REF!</v>
      </c>
      <c r="B2" s="1"/>
      <c r="C2" s="1"/>
      <c r="D2" s="1"/>
      <c r="E2" s="1"/>
      <c r="F2" s="1"/>
      <c r="G2" s="1"/>
    </row>
    <row r="3">
      <c r="A3" s="1"/>
      <c r="B3" s="3" t="s">
        <v>1</v>
      </c>
      <c r="C3" s="19" t="str">
        <f>Refentes!C3</f>
        <v>667 - Programacion Comercial 1</v>
      </c>
      <c r="D3" s="5"/>
      <c r="E3" s="5"/>
      <c r="F3" s="5"/>
      <c r="G3" s="6"/>
    </row>
    <row r="4">
      <c r="A4" s="1"/>
      <c r="B4" s="3" t="s">
        <v>3</v>
      </c>
      <c r="C4" s="7" t="str">
        <f>Refentes!C4</f>
        <v>Segundo Semestre 2026</v>
      </c>
      <c r="D4" s="5"/>
      <c r="E4" s="5"/>
      <c r="F4" s="5"/>
      <c r="G4" s="6"/>
    </row>
    <row r="5">
      <c r="A5" s="1"/>
      <c r="B5" s="31" t="s">
        <v>45</v>
      </c>
    </row>
    <row r="6">
      <c r="A6" s="1"/>
      <c r="B6" s="32" t="s">
        <v>46</v>
      </c>
    </row>
    <row r="7">
      <c r="A7" s="1"/>
      <c r="B7" s="33"/>
      <c r="C7" s="33"/>
      <c r="D7" s="33"/>
      <c r="E7" s="33"/>
      <c r="F7" s="33"/>
      <c r="G7" s="33"/>
    </row>
    <row r="8">
      <c r="A8" s="1"/>
      <c r="B8" s="33"/>
      <c r="C8" s="33"/>
      <c r="D8" s="33"/>
      <c r="E8" s="33"/>
      <c r="F8" s="34" t="s">
        <v>47</v>
      </c>
      <c r="G8" s="34" t="s">
        <v>48</v>
      </c>
    </row>
    <row r="9">
      <c r="A9" s="1"/>
      <c r="B9" s="35" t="s">
        <v>49</v>
      </c>
      <c r="C9" s="5"/>
      <c r="D9" s="5"/>
      <c r="E9" s="6"/>
      <c r="F9" s="10" t="str">
        <f>Refentes!C9</f>
        <v>Universidad Adolfo Ibáñez</v>
      </c>
      <c r="G9" s="10" t="str">
        <f>Refentes!C30</f>
        <v>Curso Power BI para Profesionales</v>
      </c>
    </row>
    <row r="10">
      <c r="A10" s="1"/>
      <c r="B10" s="10" t="s">
        <v>50</v>
      </c>
      <c r="C10" s="10" t="s">
        <v>51</v>
      </c>
      <c r="D10" s="10" t="s">
        <v>52</v>
      </c>
      <c r="E10" s="10" t="s">
        <v>53</v>
      </c>
      <c r="F10" s="10" t="s">
        <v>54</v>
      </c>
      <c r="G10" s="10" t="s">
        <v>54</v>
      </c>
    </row>
    <row r="11">
      <c r="B11" s="36" t="s">
        <v>55</v>
      </c>
      <c r="C11" s="36" t="s">
        <v>56</v>
      </c>
      <c r="D11" s="36" t="s">
        <v>57</v>
      </c>
      <c r="E11" s="36" t="s">
        <v>58</v>
      </c>
      <c r="F11" s="37" t="s">
        <v>59</v>
      </c>
      <c r="G11" s="38"/>
    </row>
    <row r="12">
      <c r="B12" s="36" t="s">
        <v>55</v>
      </c>
      <c r="C12" s="36" t="s">
        <v>56</v>
      </c>
      <c r="D12" s="36" t="s">
        <v>57</v>
      </c>
      <c r="E12" s="36" t="s">
        <v>60</v>
      </c>
      <c r="F12" s="38"/>
      <c r="G12" s="38"/>
    </row>
    <row r="13">
      <c r="B13" s="36" t="s">
        <v>55</v>
      </c>
      <c r="C13" s="36" t="s">
        <v>56</v>
      </c>
      <c r="D13" s="36" t="s">
        <v>57</v>
      </c>
      <c r="E13" s="36" t="s">
        <v>61</v>
      </c>
      <c r="F13" s="38"/>
      <c r="G13" s="38"/>
    </row>
    <row r="14">
      <c r="B14" s="36" t="s">
        <v>55</v>
      </c>
      <c r="C14" s="36" t="s">
        <v>56</v>
      </c>
      <c r="D14" s="36" t="s">
        <v>57</v>
      </c>
      <c r="E14" s="36" t="s">
        <v>62</v>
      </c>
      <c r="F14" s="38"/>
      <c r="G14" s="38"/>
    </row>
    <row r="15">
      <c r="B15" s="36" t="s">
        <v>55</v>
      </c>
      <c r="C15" s="36" t="s">
        <v>56</v>
      </c>
      <c r="D15" s="36" t="s">
        <v>63</v>
      </c>
      <c r="E15" s="36" t="s">
        <v>63</v>
      </c>
      <c r="F15" s="38"/>
      <c r="G15" s="38"/>
    </row>
    <row r="16">
      <c r="B16" s="36" t="s">
        <v>55</v>
      </c>
      <c r="C16" s="36" t="s">
        <v>56</v>
      </c>
      <c r="D16" s="36" t="s">
        <v>64</v>
      </c>
      <c r="E16" s="36" t="s">
        <v>60</v>
      </c>
      <c r="F16" s="38"/>
      <c r="G16" s="38"/>
    </row>
    <row r="17">
      <c r="B17" s="36" t="s">
        <v>55</v>
      </c>
      <c r="C17" s="36" t="s">
        <v>56</v>
      </c>
      <c r="D17" s="39" t="s">
        <v>65</v>
      </c>
      <c r="E17" s="39" t="s">
        <v>66</v>
      </c>
      <c r="F17" s="38"/>
      <c r="G17" s="38"/>
    </row>
    <row r="18">
      <c r="B18" s="36" t="s">
        <v>55</v>
      </c>
      <c r="C18" s="36" t="s">
        <v>56</v>
      </c>
      <c r="D18" s="39" t="s">
        <v>67</v>
      </c>
      <c r="E18" s="39" t="s">
        <v>68</v>
      </c>
      <c r="F18" s="38"/>
      <c r="G18" s="38"/>
    </row>
    <row r="19">
      <c r="B19" s="36" t="s">
        <v>55</v>
      </c>
      <c r="C19" s="36" t="s">
        <v>56</v>
      </c>
      <c r="D19" s="39" t="s">
        <v>69</v>
      </c>
      <c r="E19" s="40" t="s">
        <v>70</v>
      </c>
      <c r="F19" s="38"/>
      <c r="G19" s="38"/>
    </row>
    <row r="20">
      <c r="B20" s="36" t="s">
        <v>55</v>
      </c>
      <c r="C20" s="36" t="s">
        <v>56</v>
      </c>
      <c r="D20" s="39" t="s">
        <v>71</v>
      </c>
      <c r="E20" s="40" t="s">
        <v>72</v>
      </c>
      <c r="F20" s="38"/>
      <c r="G20" s="38"/>
    </row>
    <row r="21">
      <c r="B21" s="36" t="s">
        <v>55</v>
      </c>
      <c r="C21" s="36" t="s">
        <v>56</v>
      </c>
      <c r="D21" s="39" t="s">
        <v>73</v>
      </c>
      <c r="E21" s="40" t="s">
        <v>74</v>
      </c>
      <c r="F21" s="38"/>
      <c r="G21" s="38"/>
    </row>
    <row r="22">
      <c r="B22" s="36" t="s">
        <v>55</v>
      </c>
      <c r="C22" s="36" t="s">
        <v>56</v>
      </c>
      <c r="D22" s="39" t="s">
        <v>75</v>
      </c>
      <c r="E22" s="40" t="s">
        <v>76</v>
      </c>
      <c r="F22" s="38"/>
      <c r="G22" s="38"/>
    </row>
    <row r="23">
      <c r="B23" s="36" t="s">
        <v>55</v>
      </c>
      <c r="C23" s="36" t="s">
        <v>56</v>
      </c>
      <c r="D23" s="39" t="s">
        <v>77</v>
      </c>
      <c r="E23" s="39" t="s">
        <v>78</v>
      </c>
      <c r="F23" s="38"/>
      <c r="G23" s="38"/>
    </row>
    <row r="24">
      <c r="B24" s="36" t="s">
        <v>55</v>
      </c>
      <c r="C24" s="36" t="s">
        <v>56</v>
      </c>
      <c r="D24" s="36" t="s">
        <v>79</v>
      </c>
      <c r="E24" s="36" t="s">
        <v>80</v>
      </c>
      <c r="F24" s="38"/>
      <c r="G24" s="38"/>
    </row>
    <row r="25">
      <c r="B25" s="36" t="s">
        <v>55</v>
      </c>
      <c r="C25" s="36" t="s">
        <v>56</v>
      </c>
      <c r="D25" s="36" t="s">
        <v>81</v>
      </c>
      <c r="E25" s="36" t="s">
        <v>82</v>
      </c>
      <c r="F25" s="38"/>
      <c r="G25" s="38"/>
    </row>
    <row r="26">
      <c r="B26" s="36" t="s">
        <v>55</v>
      </c>
      <c r="C26" s="36" t="s">
        <v>56</v>
      </c>
      <c r="D26" s="36" t="s">
        <v>81</v>
      </c>
      <c r="E26" s="36" t="s">
        <v>83</v>
      </c>
      <c r="F26" s="38"/>
      <c r="G26" s="38"/>
    </row>
    <row r="27">
      <c r="B27" s="36" t="s">
        <v>55</v>
      </c>
      <c r="C27" s="36" t="s">
        <v>56</v>
      </c>
      <c r="D27" s="36" t="s">
        <v>81</v>
      </c>
      <c r="E27" s="36" t="s">
        <v>84</v>
      </c>
      <c r="F27" s="38"/>
      <c r="G27" s="38"/>
    </row>
    <row r="28">
      <c r="B28" s="36" t="s">
        <v>55</v>
      </c>
      <c r="C28" s="36" t="s">
        <v>56</v>
      </c>
      <c r="D28" s="36" t="s">
        <v>81</v>
      </c>
      <c r="E28" s="36" t="s">
        <v>85</v>
      </c>
      <c r="F28" s="38"/>
      <c r="G28" s="38"/>
    </row>
    <row r="29">
      <c r="B29" s="36" t="s">
        <v>55</v>
      </c>
      <c r="C29" s="36" t="s">
        <v>56</v>
      </c>
      <c r="D29" s="36" t="s">
        <v>81</v>
      </c>
      <c r="E29" s="36" t="s">
        <v>86</v>
      </c>
      <c r="F29" s="38"/>
      <c r="G29" s="38"/>
    </row>
    <row r="30">
      <c r="B30" s="36" t="s">
        <v>55</v>
      </c>
      <c r="C30" s="36" t="s">
        <v>56</v>
      </c>
      <c r="D30" s="36" t="s">
        <v>81</v>
      </c>
      <c r="E30" s="36" t="s">
        <v>87</v>
      </c>
      <c r="F30" s="38"/>
      <c r="G30" s="38"/>
    </row>
    <row r="31">
      <c r="B31" s="36" t="s">
        <v>55</v>
      </c>
      <c r="C31" s="36" t="s">
        <v>56</v>
      </c>
      <c r="D31" s="36" t="s">
        <v>81</v>
      </c>
      <c r="E31" s="36" t="s">
        <v>88</v>
      </c>
      <c r="F31" s="38"/>
      <c r="G31" s="38"/>
    </row>
    <row r="32">
      <c r="B32" s="36" t="s">
        <v>89</v>
      </c>
      <c r="C32" s="36" t="s">
        <v>56</v>
      </c>
      <c r="D32" s="36" t="s">
        <v>90</v>
      </c>
      <c r="E32" s="39" t="s">
        <v>91</v>
      </c>
      <c r="F32" s="38"/>
      <c r="G32" s="38"/>
    </row>
    <row r="33">
      <c r="B33" s="36" t="s">
        <v>89</v>
      </c>
      <c r="C33" s="36" t="s">
        <v>56</v>
      </c>
      <c r="D33" s="36" t="s">
        <v>90</v>
      </c>
      <c r="E33" s="39" t="s">
        <v>92</v>
      </c>
      <c r="F33" s="38"/>
      <c r="G33" s="38"/>
    </row>
    <row r="34">
      <c r="B34" s="36" t="s">
        <v>89</v>
      </c>
      <c r="C34" s="36" t="s">
        <v>56</v>
      </c>
      <c r="D34" s="36" t="s">
        <v>90</v>
      </c>
      <c r="E34" s="39" t="s">
        <v>93</v>
      </c>
      <c r="F34" s="38"/>
      <c r="G34" s="38"/>
    </row>
    <row r="35">
      <c r="B35" s="36" t="s">
        <v>89</v>
      </c>
      <c r="C35" s="36" t="s">
        <v>56</v>
      </c>
      <c r="D35" s="36" t="s">
        <v>90</v>
      </c>
      <c r="E35" s="39" t="s">
        <v>94</v>
      </c>
      <c r="F35" s="38"/>
      <c r="G35" s="38"/>
    </row>
    <row r="36">
      <c r="B36" s="36" t="s">
        <v>89</v>
      </c>
      <c r="C36" s="36" t="s">
        <v>56</v>
      </c>
      <c r="D36" s="36" t="s">
        <v>90</v>
      </c>
      <c r="E36" s="39" t="s">
        <v>95</v>
      </c>
      <c r="F36" s="38"/>
      <c r="G36" s="38"/>
    </row>
    <row r="37">
      <c r="B37" s="36" t="s">
        <v>89</v>
      </c>
      <c r="C37" s="36" t="s">
        <v>56</v>
      </c>
      <c r="D37" s="36" t="s">
        <v>90</v>
      </c>
      <c r="E37" s="39" t="s">
        <v>96</v>
      </c>
      <c r="F37" s="38"/>
      <c r="G37" s="38"/>
    </row>
    <row r="38">
      <c r="B38" s="36" t="s">
        <v>89</v>
      </c>
      <c r="C38" s="36" t="s">
        <v>56</v>
      </c>
      <c r="D38" s="36" t="s">
        <v>90</v>
      </c>
      <c r="E38" s="39" t="s">
        <v>97</v>
      </c>
      <c r="F38" s="38"/>
      <c r="G38" s="38"/>
    </row>
    <row r="39">
      <c r="B39" s="36" t="s">
        <v>89</v>
      </c>
      <c r="C39" s="36" t="s">
        <v>98</v>
      </c>
      <c r="D39" s="36" t="s">
        <v>99</v>
      </c>
      <c r="E39" s="36" t="s">
        <v>100</v>
      </c>
      <c r="F39" s="38"/>
      <c r="G39" s="38"/>
    </row>
    <row r="40">
      <c r="B40" s="36" t="s">
        <v>89</v>
      </c>
      <c r="C40" s="36" t="s">
        <v>98</v>
      </c>
      <c r="D40" s="36" t="s">
        <v>99</v>
      </c>
      <c r="E40" s="36" t="s">
        <v>101</v>
      </c>
      <c r="F40" s="38"/>
      <c r="G40" s="38"/>
    </row>
    <row r="41">
      <c r="B41" s="36" t="s">
        <v>89</v>
      </c>
      <c r="C41" s="36" t="s">
        <v>98</v>
      </c>
      <c r="D41" s="36" t="s">
        <v>102</v>
      </c>
      <c r="E41" s="36" t="s">
        <v>103</v>
      </c>
      <c r="F41" s="38"/>
      <c r="G41" s="38"/>
    </row>
    <row r="42">
      <c r="B42" s="36" t="s">
        <v>89</v>
      </c>
      <c r="C42" s="36" t="s">
        <v>98</v>
      </c>
      <c r="D42" s="36" t="s">
        <v>102</v>
      </c>
      <c r="E42" s="36" t="s">
        <v>104</v>
      </c>
      <c r="F42" s="38"/>
      <c r="G42" s="38"/>
    </row>
    <row r="43">
      <c r="B43" s="36" t="s">
        <v>89</v>
      </c>
      <c r="C43" s="36" t="s">
        <v>98</v>
      </c>
      <c r="D43" s="36" t="s">
        <v>102</v>
      </c>
      <c r="E43" s="36" t="s">
        <v>105</v>
      </c>
      <c r="F43" s="38"/>
      <c r="G43" s="38"/>
    </row>
    <row r="44">
      <c r="B44" s="36" t="s">
        <v>89</v>
      </c>
      <c r="C44" s="36" t="s">
        <v>98</v>
      </c>
      <c r="D44" s="36" t="s">
        <v>102</v>
      </c>
      <c r="E44" s="36" t="s">
        <v>106</v>
      </c>
      <c r="F44" s="38"/>
      <c r="G44" s="38"/>
    </row>
    <row r="45">
      <c r="B45" s="36" t="s">
        <v>89</v>
      </c>
      <c r="C45" s="36" t="s">
        <v>98</v>
      </c>
      <c r="D45" s="36" t="s">
        <v>102</v>
      </c>
      <c r="E45" s="36" t="s">
        <v>106</v>
      </c>
      <c r="F45" s="38"/>
      <c r="G45" s="38"/>
    </row>
    <row r="46">
      <c r="B46" s="36" t="s">
        <v>89</v>
      </c>
      <c r="C46" s="36" t="s">
        <v>98</v>
      </c>
      <c r="D46" s="36" t="s">
        <v>107</v>
      </c>
      <c r="E46" s="36" t="s">
        <v>108</v>
      </c>
      <c r="F46" s="38"/>
      <c r="G46" s="38"/>
    </row>
    <row r="47">
      <c r="B47" s="36" t="s">
        <v>109</v>
      </c>
      <c r="C47" s="36" t="s">
        <v>98</v>
      </c>
      <c r="D47" s="36" t="s">
        <v>107</v>
      </c>
      <c r="E47" s="36" t="s">
        <v>110</v>
      </c>
      <c r="F47" s="38"/>
      <c r="G47" s="38"/>
    </row>
    <row r="48">
      <c r="B48" s="36" t="s">
        <v>109</v>
      </c>
      <c r="C48" s="36" t="s">
        <v>98</v>
      </c>
      <c r="D48" s="36" t="s">
        <v>107</v>
      </c>
      <c r="E48" s="36" t="s">
        <v>111</v>
      </c>
      <c r="F48" s="38"/>
      <c r="G48" s="38"/>
    </row>
    <row r="49">
      <c r="B49" s="36" t="s">
        <v>109</v>
      </c>
      <c r="C49" s="36" t="s">
        <v>98</v>
      </c>
      <c r="D49" s="36" t="s">
        <v>112</v>
      </c>
      <c r="E49" s="36" t="s">
        <v>113</v>
      </c>
      <c r="F49" s="38"/>
      <c r="G49" s="38"/>
    </row>
    <row r="50">
      <c r="B50" s="36" t="s">
        <v>109</v>
      </c>
      <c r="C50" s="36" t="s">
        <v>98</v>
      </c>
      <c r="D50" s="36" t="s">
        <v>112</v>
      </c>
      <c r="E50" s="36" t="s">
        <v>114</v>
      </c>
      <c r="F50" s="38"/>
      <c r="G50" s="38"/>
    </row>
    <row r="51">
      <c r="B51" s="36" t="s">
        <v>109</v>
      </c>
      <c r="C51" s="36" t="s">
        <v>98</v>
      </c>
      <c r="D51" s="36" t="s">
        <v>112</v>
      </c>
      <c r="E51" s="36" t="s">
        <v>115</v>
      </c>
      <c r="F51" s="38"/>
      <c r="G51" s="38"/>
    </row>
    <row r="52">
      <c r="B52" s="36" t="s">
        <v>109</v>
      </c>
      <c r="C52" s="36" t="s">
        <v>98</v>
      </c>
      <c r="D52" s="36" t="s">
        <v>116</v>
      </c>
      <c r="E52" s="36" t="s">
        <v>117</v>
      </c>
      <c r="F52" s="38"/>
      <c r="G52" s="38"/>
    </row>
    <row r="53">
      <c r="B53" s="36" t="s">
        <v>109</v>
      </c>
      <c r="C53" s="36" t="s">
        <v>118</v>
      </c>
      <c r="D53" s="36" t="s">
        <v>119</v>
      </c>
      <c r="E53" s="36" t="s">
        <v>120</v>
      </c>
      <c r="F53" s="38"/>
      <c r="G53" s="38"/>
    </row>
    <row r="54">
      <c r="B54" s="36" t="s">
        <v>109</v>
      </c>
      <c r="C54" s="36" t="s">
        <v>118</v>
      </c>
      <c r="D54" s="36" t="s">
        <v>119</v>
      </c>
      <c r="E54" s="36" t="s">
        <v>121</v>
      </c>
      <c r="F54" s="38"/>
      <c r="G54" s="38"/>
    </row>
    <row r="55">
      <c r="B55" s="36" t="s">
        <v>109</v>
      </c>
      <c r="C55" s="36" t="s">
        <v>118</v>
      </c>
      <c r="D55" s="36" t="s">
        <v>119</v>
      </c>
      <c r="E55" s="36" t="s">
        <v>122</v>
      </c>
      <c r="F55" s="38"/>
      <c r="G55" s="38"/>
    </row>
    <row r="56">
      <c r="B56" s="36" t="s">
        <v>109</v>
      </c>
      <c r="C56" s="36" t="s">
        <v>118</v>
      </c>
      <c r="D56" s="36" t="s">
        <v>119</v>
      </c>
      <c r="E56" s="36" t="s">
        <v>123</v>
      </c>
      <c r="F56" s="38"/>
      <c r="G56" s="38"/>
    </row>
    <row r="57">
      <c r="B57" s="36" t="s">
        <v>109</v>
      </c>
      <c r="C57" s="36" t="s">
        <v>118</v>
      </c>
      <c r="D57" s="36" t="s">
        <v>119</v>
      </c>
      <c r="E57" s="36" t="s">
        <v>124</v>
      </c>
      <c r="F57" s="38"/>
      <c r="G57" s="38"/>
    </row>
    <row r="58">
      <c r="B58" s="36" t="s">
        <v>109</v>
      </c>
      <c r="C58" s="36" t="s">
        <v>118</v>
      </c>
      <c r="D58" s="36" t="s">
        <v>119</v>
      </c>
      <c r="E58" s="36" t="s">
        <v>17</v>
      </c>
      <c r="F58" s="38"/>
      <c r="G58" s="38"/>
    </row>
    <row r="59">
      <c r="B59" s="36" t="s">
        <v>109</v>
      </c>
      <c r="C59" s="36" t="s">
        <v>118</v>
      </c>
      <c r="D59" s="36" t="s">
        <v>119</v>
      </c>
      <c r="E59" s="36" t="s">
        <v>125</v>
      </c>
      <c r="F59" s="38"/>
      <c r="G59" s="38"/>
    </row>
    <row r="60">
      <c r="B60" s="36" t="s">
        <v>126</v>
      </c>
      <c r="C60" s="36" t="s">
        <v>118</v>
      </c>
      <c r="D60" s="36" t="s">
        <v>33</v>
      </c>
      <c r="E60" s="36" t="s">
        <v>127</v>
      </c>
      <c r="F60" s="38"/>
      <c r="G60" s="38"/>
    </row>
    <row r="61">
      <c r="B61" s="36" t="s">
        <v>126</v>
      </c>
      <c r="C61" s="36" t="s">
        <v>118</v>
      </c>
      <c r="D61" s="36" t="s">
        <v>33</v>
      </c>
      <c r="E61" s="36" t="s">
        <v>128</v>
      </c>
      <c r="F61" s="38"/>
      <c r="G61" s="38"/>
    </row>
    <row r="62">
      <c r="B62" s="36" t="s">
        <v>126</v>
      </c>
      <c r="C62" s="36" t="s">
        <v>118</v>
      </c>
      <c r="D62" s="36" t="s">
        <v>33</v>
      </c>
      <c r="E62" s="36" t="s">
        <v>129</v>
      </c>
      <c r="F62" s="38"/>
      <c r="G62" s="38"/>
    </row>
    <row r="63">
      <c r="B63" s="36" t="s">
        <v>126</v>
      </c>
      <c r="C63" s="36" t="s">
        <v>118</v>
      </c>
      <c r="D63" s="36" t="s">
        <v>33</v>
      </c>
      <c r="E63" s="36" t="s">
        <v>130</v>
      </c>
      <c r="F63" s="38"/>
      <c r="G63" s="38"/>
    </row>
    <row r="64">
      <c r="B64" s="36" t="s">
        <v>131</v>
      </c>
      <c r="C64" s="36" t="s">
        <v>118</v>
      </c>
      <c r="D64" s="36" t="s">
        <v>33</v>
      </c>
      <c r="E64" s="36" t="s">
        <v>132</v>
      </c>
      <c r="F64" s="38"/>
      <c r="G64" s="38"/>
    </row>
    <row r="65">
      <c r="B65" s="36" t="s">
        <v>131</v>
      </c>
      <c r="C65" s="36" t="s">
        <v>118</v>
      </c>
      <c r="D65" s="36" t="s">
        <v>33</v>
      </c>
      <c r="E65" s="36" t="s">
        <v>133</v>
      </c>
      <c r="F65" s="38"/>
      <c r="G65" s="38"/>
    </row>
    <row r="66">
      <c r="B66" s="36" t="s">
        <v>131</v>
      </c>
      <c r="C66" s="36" t="s">
        <v>118</v>
      </c>
      <c r="D66" s="36" t="s">
        <v>33</v>
      </c>
      <c r="E66" s="36" t="s">
        <v>134</v>
      </c>
      <c r="F66" s="38"/>
      <c r="G66" s="38"/>
    </row>
    <row r="67">
      <c r="B67" s="36" t="s">
        <v>135</v>
      </c>
      <c r="C67" s="36" t="s">
        <v>118</v>
      </c>
      <c r="D67" s="36" t="s">
        <v>33</v>
      </c>
      <c r="E67" s="36" t="s">
        <v>136</v>
      </c>
      <c r="F67" s="38"/>
      <c r="G67" s="38"/>
    </row>
    <row r="68">
      <c r="B68" s="36" t="s">
        <v>135</v>
      </c>
      <c r="C68" s="36" t="s">
        <v>118</v>
      </c>
      <c r="D68" s="36" t="s">
        <v>33</v>
      </c>
      <c r="E68" s="36" t="s">
        <v>137</v>
      </c>
      <c r="F68" s="38"/>
      <c r="G68" s="38"/>
    </row>
    <row r="69">
      <c r="B69" s="36" t="s">
        <v>135</v>
      </c>
      <c r="C69" s="36" t="s">
        <v>118</v>
      </c>
      <c r="D69" s="36" t="s">
        <v>33</v>
      </c>
      <c r="E69" s="36" t="s">
        <v>138</v>
      </c>
      <c r="F69" s="38"/>
      <c r="G69" s="38"/>
    </row>
    <row r="70">
      <c r="B70" s="36" t="s">
        <v>135</v>
      </c>
      <c r="C70" s="36" t="s">
        <v>118</v>
      </c>
      <c r="D70" s="36" t="s">
        <v>33</v>
      </c>
      <c r="E70" s="36" t="s">
        <v>139</v>
      </c>
      <c r="F70" s="38"/>
      <c r="G70" s="38"/>
    </row>
    <row r="71">
      <c r="B71" s="36" t="s">
        <v>135</v>
      </c>
      <c r="C71" s="36" t="s">
        <v>118</v>
      </c>
      <c r="D71" s="36" t="s">
        <v>33</v>
      </c>
      <c r="E71" s="36" t="s">
        <v>140</v>
      </c>
      <c r="F71" s="38"/>
      <c r="G71" s="38"/>
    </row>
    <row r="72">
      <c r="B72" s="36" t="s">
        <v>135</v>
      </c>
      <c r="C72" s="36" t="s">
        <v>118</v>
      </c>
      <c r="D72" s="36" t="s">
        <v>33</v>
      </c>
      <c r="E72" s="36" t="s">
        <v>141</v>
      </c>
      <c r="F72" s="38"/>
      <c r="G72" s="38"/>
    </row>
    <row r="73">
      <c r="B73" s="36" t="s">
        <v>135</v>
      </c>
      <c r="C73" s="36" t="s">
        <v>118</v>
      </c>
      <c r="D73" s="36" t="s">
        <v>33</v>
      </c>
      <c r="E73" s="36" t="s">
        <v>142</v>
      </c>
      <c r="F73" s="38"/>
      <c r="G73" s="38"/>
    </row>
    <row r="74">
      <c r="F74" s="38"/>
      <c r="G74" s="38"/>
    </row>
    <row r="75">
      <c r="F75" s="38"/>
      <c r="G75" s="38"/>
    </row>
    <row r="76">
      <c r="F76" s="38"/>
      <c r="G76" s="38"/>
    </row>
    <row r="77">
      <c r="F77" s="38"/>
      <c r="G77" s="38"/>
    </row>
    <row r="78">
      <c r="F78" s="38"/>
      <c r="G78" s="38"/>
    </row>
    <row r="79">
      <c r="F79" s="38"/>
      <c r="G79" s="38"/>
    </row>
    <row r="80">
      <c r="F80" s="38"/>
      <c r="G80" s="38"/>
    </row>
    <row r="81">
      <c r="F81" s="38"/>
      <c r="G81" s="38"/>
    </row>
    <row r="82">
      <c r="F82" s="38"/>
      <c r="G82" s="38"/>
    </row>
    <row r="83">
      <c r="F83" s="38"/>
      <c r="G83" s="38"/>
    </row>
    <row r="84">
      <c r="F84" s="38"/>
      <c r="G84" s="38"/>
    </row>
    <row r="85">
      <c r="F85" s="38"/>
      <c r="G85" s="38"/>
    </row>
    <row r="86">
      <c r="F86" s="38"/>
      <c r="G86" s="38"/>
    </row>
    <row r="87">
      <c r="F87" s="38"/>
      <c r="G87" s="38"/>
    </row>
    <row r="88">
      <c r="F88" s="38"/>
      <c r="G88" s="38"/>
    </row>
    <row r="89">
      <c r="F89" s="38"/>
      <c r="G89" s="38"/>
    </row>
    <row r="90">
      <c r="F90" s="38"/>
      <c r="G90" s="38"/>
    </row>
    <row r="91">
      <c r="F91" s="38"/>
      <c r="G91" s="38"/>
    </row>
    <row r="92">
      <c r="F92" s="38"/>
      <c r="G92" s="38"/>
    </row>
    <row r="93">
      <c r="F93" s="38"/>
      <c r="G93" s="38"/>
    </row>
    <row r="94">
      <c r="F94" s="38"/>
      <c r="G94" s="38"/>
    </row>
    <row r="95">
      <c r="F95" s="38"/>
      <c r="G95" s="38"/>
    </row>
    <row r="96">
      <c r="F96" s="38"/>
      <c r="G96" s="38"/>
    </row>
    <row r="97">
      <c r="F97" s="38"/>
      <c r="G97" s="38"/>
    </row>
    <row r="98">
      <c r="F98" s="38"/>
      <c r="G98" s="38"/>
    </row>
    <row r="99">
      <c r="F99" s="38"/>
      <c r="G99" s="38"/>
    </row>
    <row r="100">
      <c r="F100" s="38"/>
      <c r="G100" s="38"/>
    </row>
    <row r="101">
      <c r="F101" s="38"/>
      <c r="G101" s="38"/>
    </row>
    <row r="102">
      <c r="F102" s="38"/>
      <c r="G102" s="38"/>
    </row>
    <row r="103">
      <c r="F103" s="38"/>
      <c r="G103" s="38"/>
    </row>
  </sheetData>
  <mergeCells count="6">
    <mergeCell ref="B1:G1"/>
    <mergeCell ref="C3:G3"/>
    <mergeCell ref="C4:G4"/>
    <mergeCell ref="B5:G5"/>
    <mergeCell ref="B6:G6"/>
    <mergeCell ref="B9:E9"/>
  </mergeCells>
  <dataValidations>
    <dataValidation type="list" allowBlank="1" showErrorMessage="1" sqref="G11:G103">
      <formula1>Refentes!$C$35:$G$44</formula1>
    </dataValidation>
    <dataValidation type="list" allowBlank="1" showErrorMessage="1" sqref="F11:F103">
      <formula1>Refentes!$C$15:$G$24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B1" s="27" t="s">
        <v>44</v>
      </c>
      <c r="C1" s="28"/>
      <c r="D1" s="28"/>
      <c r="E1" s="28"/>
      <c r="F1" s="28"/>
      <c r="G1" s="29"/>
    </row>
    <row r="2">
      <c r="B2" s="1"/>
      <c r="C2" s="1"/>
      <c r="D2" s="1"/>
      <c r="E2" s="1"/>
      <c r="F2" s="1"/>
      <c r="G2" s="1"/>
    </row>
    <row r="3">
      <c r="B3" s="3" t="s">
        <v>1</v>
      </c>
      <c r="C3" s="19" t="str">
        <f>Refentes!C3</f>
        <v>667 - Programacion Comercial 1</v>
      </c>
      <c r="D3" s="5"/>
      <c r="E3" s="5"/>
      <c r="F3" s="5"/>
      <c r="G3" s="6"/>
    </row>
    <row r="4">
      <c r="B4" s="3" t="s">
        <v>3</v>
      </c>
      <c r="C4" s="7" t="str">
        <f>Refentes!C4</f>
        <v>Segundo Semestre 2026</v>
      </c>
      <c r="D4" s="5"/>
      <c r="E4" s="5"/>
      <c r="F4" s="5"/>
      <c r="G4" s="6"/>
    </row>
    <row r="5">
      <c r="B5" s="32" t="s">
        <v>46</v>
      </c>
    </row>
    <row r="7">
      <c r="B7" s="41" t="s">
        <v>143</v>
      </c>
      <c r="E7" s="42" t="s">
        <v>144</v>
      </c>
    </row>
    <row r="8">
      <c r="B8" s="11" t="s">
        <v>145</v>
      </c>
      <c r="E8" s="37" t="s">
        <v>33</v>
      </c>
    </row>
    <row r="9">
      <c r="B9" s="11" t="s">
        <v>33</v>
      </c>
      <c r="E9" s="37" t="s">
        <v>35</v>
      </c>
    </row>
    <row r="10">
      <c r="B10" s="11" t="s">
        <v>146</v>
      </c>
      <c r="E10" s="37" t="s">
        <v>38</v>
      </c>
    </row>
    <row r="11">
      <c r="E11" s="38"/>
    </row>
    <row r="12">
      <c r="E12" s="38"/>
    </row>
    <row r="13">
      <c r="E13" s="38"/>
    </row>
    <row r="14">
      <c r="E14" s="38"/>
    </row>
    <row r="15">
      <c r="E15" s="38"/>
    </row>
    <row r="16">
      <c r="E16" s="38"/>
    </row>
    <row r="18">
      <c r="B18" s="43" t="s">
        <v>147</v>
      </c>
    </row>
  </sheetData>
  <mergeCells count="24">
    <mergeCell ref="E9:G9"/>
    <mergeCell ref="E10:G10"/>
    <mergeCell ref="E11:G11"/>
    <mergeCell ref="E12:G12"/>
    <mergeCell ref="E13:G13"/>
    <mergeCell ref="E14:G14"/>
    <mergeCell ref="E15:G15"/>
    <mergeCell ref="E16:G16"/>
    <mergeCell ref="B1:G1"/>
    <mergeCell ref="C3:G3"/>
    <mergeCell ref="C4:G4"/>
    <mergeCell ref="B5:G5"/>
    <mergeCell ref="B7:D7"/>
    <mergeCell ref="E7:G7"/>
    <mergeCell ref="E8:G8"/>
    <mergeCell ref="B15:D15"/>
    <mergeCell ref="B16:D16"/>
    <mergeCell ref="B8:D8"/>
    <mergeCell ref="B9:D9"/>
    <mergeCell ref="B10:D10"/>
    <mergeCell ref="B11:D11"/>
    <mergeCell ref="B12:D12"/>
    <mergeCell ref="B13:D13"/>
    <mergeCell ref="B14:D14"/>
  </mergeCells>
  <dataValidations>
    <dataValidation type="list" allowBlank="1" showErrorMessage="1" sqref="E8:E16">
      <formula1>Refentes!$C$50:$G$59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148</v>
      </c>
    </row>
    <row r="2">
      <c r="A2" s="1" t="s">
        <v>149</v>
      </c>
    </row>
    <row r="3">
      <c r="A3" s="1" t="s">
        <v>150</v>
      </c>
    </row>
    <row r="4">
      <c r="A4" s="1" t="s">
        <v>151</v>
      </c>
    </row>
    <row r="5">
      <c r="A5" s="1" t="s">
        <v>152</v>
      </c>
    </row>
    <row r="6">
      <c r="A6" s="1" t="s">
        <v>153</v>
      </c>
    </row>
    <row r="7">
      <c r="A7" s="1" t="s">
        <v>154</v>
      </c>
    </row>
    <row r="8">
      <c r="A8" s="1" t="s">
        <v>155</v>
      </c>
    </row>
    <row r="9">
      <c r="A9" s="1" t="s">
        <v>156</v>
      </c>
    </row>
    <row r="10">
      <c r="A10" s="1" t="s">
        <v>157</v>
      </c>
    </row>
    <row r="11">
      <c r="A11" s="1" t="s">
        <v>158</v>
      </c>
    </row>
    <row r="12">
      <c r="A12" s="1" t="s">
        <v>159</v>
      </c>
    </row>
    <row r="13">
      <c r="A13" s="1" t="s">
        <v>160</v>
      </c>
    </row>
    <row r="14">
      <c r="A14" s="1" t="s">
        <v>161</v>
      </c>
    </row>
    <row r="15">
      <c r="A15" s="1" t="s">
        <v>162</v>
      </c>
    </row>
    <row r="16">
      <c r="A16" s="1" t="s">
        <v>163</v>
      </c>
    </row>
    <row r="17">
      <c r="A17" s="1" t="s">
        <v>164</v>
      </c>
    </row>
    <row r="18">
      <c r="A18" s="1" t="s">
        <v>165</v>
      </c>
    </row>
    <row r="19">
      <c r="A19" s="1" t="s">
        <v>166</v>
      </c>
    </row>
    <row r="20">
      <c r="A20" s="1" t="s">
        <v>167</v>
      </c>
    </row>
    <row r="21">
      <c r="A21" s="1" t="s">
        <v>168</v>
      </c>
    </row>
    <row r="22">
      <c r="A22" s="1" t="s">
        <v>169</v>
      </c>
    </row>
    <row r="23">
      <c r="A23" s="1" t="s">
        <v>170</v>
      </c>
    </row>
    <row r="24">
      <c r="A24" s="1" t="s">
        <v>171</v>
      </c>
    </row>
    <row r="25">
      <c r="A25" s="1" t="s">
        <v>172</v>
      </c>
    </row>
    <row r="26">
      <c r="A26" s="1" t="s">
        <v>173</v>
      </c>
    </row>
    <row r="27">
      <c r="A27" s="1" t="s">
        <v>174</v>
      </c>
    </row>
    <row r="28">
      <c r="A28" s="1" t="s">
        <v>175</v>
      </c>
    </row>
    <row r="29">
      <c r="A29" s="1" t="s">
        <v>176</v>
      </c>
    </row>
    <row r="30">
      <c r="A30" s="1" t="s">
        <v>177</v>
      </c>
    </row>
    <row r="31">
      <c r="A31" s="1" t="s">
        <v>178</v>
      </c>
    </row>
    <row r="32">
      <c r="A32" s="1" t="s">
        <v>179</v>
      </c>
    </row>
    <row r="33">
      <c r="A33" s="1" t="s">
        <v>180</v>
      </c>
    </row>
    <row r="34">
      <c r="A34" s="1" t="s">
        <v>181</v>
      </c>
    </row>
    <row r="35">
      <c r="A35" s="1" t="s">
        <v>182</v>
      </c>
    </row>
    <row r="36">
      <c r="A36" s="1" t="s">
        <v>183</v>
      </c>
    </row>
    <row r="37">
      <c r="A37" s="1" t="s">
        <v>184</v>
      </c>
    </row>
    <row r="38">
      <c r="A38" s="1" t="s">
        <v>185</v>
      </c>
    </row>
    <row r="39">
      <c r="A39" s="1" t="s">
        <v>186</v>
      </c>
    </row>
    <row r="40">
      <c r="A40" s="1" t="s">
        <v>187</v>
      </c>
    </row>
    <row r="41">
      <c r="A41" s="1" t="s">
        <v>188</v>
      </c>
    </row>
    <row r="42">
      <c r="A42" s="1" t="s">
        <v>189</v>
      </c>
    </row>
    <row r="43">
      <c r="A43" s="1" t="s">
        <v>190</v>
      </c>
    </row>
    <row r="44">
      <c r="A44" s="1" t="s">
        <v>191</v>
      </c>
    </row>
    <row r="45">
      <c r="A45" s="1" t="s">
        <v>192</v>
      </c>
    </row>
    <row r="46">
      <c r="A46" s="1" t="s">
        <v>193</v>
      </c>
    </row>
    <row r="47">
      <c r="A47" s="1" t="s">
        <v>194</v>
      </c>
    </row>
    <row r="48">
      <c r="A48" s="1" t="s">
        <v>195</v>
      </c>
    </row>
    <row r="49">
      <c r="A49" s="1" t="s">
        <v>196</v>
      </c>
    </row>
    <row r="50">
      <c r="A50" s="1" t="s">
        <v>197</v>
      </c>
    </row>
    <row r="51">
      <c r="A51" s="1" t="s">
        <v>198</v>
      </c>
    </row>
    <row r="52">
      <c r="A52" s="1" t="s">
        <v>199</v>
      </c>
    </row>
    <row r="53">
      <c r="A53" s="1" t="s">
        <v>200</v>
      </c>
    </row>
    <row r="54">
      <c r="A54" s="1" t="s">
        <v>201</v>
      </c>
    </row>
    <row r="55">
      <c r="A55" s="1" t="s">
        <v>202</v>
      </c>
    </row>
    <row r="56">
      <c r="A56" s="1" t="s">
        <v>203</v>
      </c>
    </row>
    <row r="57">
      <c r="A57" s="1" t="s">
        <v>204</v>
      </c>
    </row>
    <row r="58">
      <c r="A58" s="1" t="s">
        <v>205</v>
      </c>
    </row>
    <row r="59">
      <c r="A59" s="1" t="s">
        <v>206</v>
      </c>
    </row>
    <row r="60">
      <c r="A60" s="1" t="s">
        <v>207</v>
      </c>
    </row>
    <row r="61">
      <c r="A61" s="1" t="s">
        <v>208</v>
      </c>
    </row>
    <row r="62">
      <c r="A62" s="1" t="s">
        <v>209</v>
      </c>
    </row>
    <row r="63">
      <c r="A63" s="1" t="s">
        <v>210</v>
      </c>
    </row>
    <row r="64">
      <c r="A64" s="1" t="s">
        <v>211</v>
      </c>
    </row>
    <row r="65">
      <c r="A65" s="1" t="s">
        <v>212</v>
      </c>
    </row>
    <row r="66">
      <c r="A66" s="1" t="s">
        <v>213</v>
      </c>
    </row>
    <row r="67">
      <c r="A67" s="1" t="s">
        <v>214</v>
      </c>
    </row>
    <row r="68">
      <c r="A68" s="1" t="s">
        <v>215</v>
      </c>
    </row>
    <row r="69">
      <c r="A69" s="1" t="s">
        <v>216</v>
      </c>
    </row>
    <row r="70">
      <c r="A70" s="1" t="s">
        <v>217</v>
      </c>
    </row>
    <row r="71">
      <c r="A71" s="1" t="s">
        <v>218</v>
      </c>
    </row>
    <row r="72">
      <c r="A72" s="1" t="s">
        <v>219</v>
      </c>
    </row>
    <row r="73">
      <c r="A73" s="1" t="s">
        <v>220</v>
      </c>
    </row>
    <row r="74">
      <c r="A74" s="1" t="s">
        <v>221</v>
      </c>
    </row>
    <row r="75">
      <c r="A75" s="1" t="s">
        <v>222</v>
      </c>
    </row>
    <row r="76">
      <c r="A76" s="1" t="s">
        <v>223</v>
      </c>
    </row>
    <row r="77">
      <c r="A77" s="1" t="s">
        <v>224</v>
      </c>
    </row>
    <row r="78">
      <c r="A78" s="1" t="s">
        <v>225</v>
      </c>
    </row>
    <row r="79">
      <c r="A79" s="1" t="s">
        <v>2</v>
      </c>
    </row>
    <row r="80">
      <c r="A80" s="1" t="s">
        <v>226</v>
      </c>
    </row>
    <row r="81">
      <c r="A81" s="1" t="s">
        <v>227</v>
      </c>
    </row>
  </sheetData>
  <drawing r:id="rId1"/>
</worksheet>
</file>