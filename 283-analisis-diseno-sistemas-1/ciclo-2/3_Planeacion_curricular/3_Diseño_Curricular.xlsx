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<sst xmlns="http://schemas.openxmlformats.org/spreadsheetml/2006/main" count="1501" uniqueCount="325">
  <si>
    <t>Diseño de Contenido Curricular</t>
  </si>
  <si>
    <t>Curso</t>
  </si>
  <si>
    <t>283 - Análisis y Diseño de Sistemas 1</t>
  </si>
  <si>
    <t>Periodo al que aplica</t>
  </si>
  <si>
    <t>Primer Semestre 2026</t>
  </si>
  <si>
    <t>No.</t>
  </si>
  <si>
    <t>Competencia</t>
  </si>
  <si>
    <t>Nombre de la Unidad</t>
  </si>
  <si>
    <t>Tema</t>
  </si>
  <si>
    <t>Subtema</t>
  </si>
  <si>
    <t>Mes</t>
  </si>
  <si>
    <t>Semana</t>
  </si>
  <si>
    <t xml:space="preserve">Genera soluciones de software aplicando buenas prácticas de análisis, control de versiones y metodologías ágiles para garantizar proyectos eficientes y colaborativos en entornos virtuales de trabajo </t>
  </si>
  <si>
    <t>1. Control de Versiones</t>
  </si>
  <si>
    <t>Git</t>
  </si>
  <si>
    <t>Introducción</t>
  </si>
  <si>
    <t>Enero</t>
  </si>
  <si>
    <t>Fases de Git</t>
  </si>
  <si>
    <t>Buenas Prácticas en Git</t>
  </si>
  <si>
    <t>Estructura de commits</t>
  </si>
  <si>
    <t>Comandos</t>
  </si>
  <si>
    <t>Ramas</t>
  </si>
  <si>
    <t>GitFlow y Versionamiento Semántico</t>
  </si>
  <si>
    <t>Febrero</t>
  </si>
  <si>
    <t>Ramas principales</t>
  </si>
  <si>
    <t>Ramas desarrollo</t>
  </si>
  <si>
    <t>Flujo de trabajo</t>
  </si>
  <si>
    <t>Versionamiento semántico</t>
  </si>
  <si>
    <t>Releases</t>
  </si>
  <si>
    <t>2. Diseño y Desarrollo de Sistemas</t>
  </si>
  <si>
    <t>UI/UX</t>
  </si>
  <si>
    <t>10 Principios de Jakob Nielsen</t>
  </si>
  <si>
    <t>Evolución de las interfaces de usuario</t>
  </si>
  <si>
    <t>Herramientas para UX/UI</t>
  </si>
  <si>
    <t>UX/UI con Frameworks</t>
  </si>
  <si>
    <t xml:space="preserve">Utiliza metodologias agiles  como scrum y tableros Kanban para entregar software funcional en cortos periodos de tiempo </t>
  </si>
  <si>
    <t>3. Metodologias de Desarrollo</t>
  </si>
  <si>
    <t>Introducción a las Metodologías de Desarrollo</t>
  </si>
  <si>
    <t>Historia</t>
  </si>
  <si>
    <t>Metodologias robustas</t>
  </si>
  <si>
    <t>Metodologias Agiles</t>
  </si>
  <si>
    <t>Factores para la Selección de una Metodología</t>
  </si>
  <si>
    <t>Tendencias Actuales y Futuras</t>
  </si>
  <si>
    <t xml:space="preserve">Coordina el desarrollo de soluciones grupales empleando metodologias agiles y plataformas colaborativas para organizar y ejecutar reuniones que favorezcan la toma de decisiones y el cumplimiento de objetivos en entornos de trabajo en equipo. </t>
  </si>
  <si>
    <t>SCRUM</t>
  </si>
  <si>
    <t>Roles</t>
  </si>
  <si>
    <t>Artefactos</t>
  </si>
  <si>
    <t>Eventos</t>
  </si>
  <si>
    <t>Pilares</t>
  </si>
  <si>
    <t>Técnicas de Estimación</t>
  </si>
  <si>
    <t xml:space="preserve">Integra herramientas de gestión de requerimientos, pruebas y despliegue continuo utilizando estándares de calidad de software y herramientas como Jira, Git y CI/CD con el fin de asegurar la trazabilidad, confiabilidad y funcionalidad del sistema </t>
  </si>
  <si>
    <t>Agilidad y Organización de Proyectos</t>
  </si>
  <si>
    <t>Introduccion</t>
  </si>
  <si>
    <t>Marzo</t>
  </si>
  <si>
    <t>Jira</t>
  </si>
  <si>
    <t>Trello</t>
  </si>
  <si>
    <t>Fundamentos de la Gestión Visual</t>
  </si>
  <si>
    <t xml:space="preserve">Identifica requerimientos funcionales y no funcionales mediante análisis de procesos actuales, revisión de documentación y elaboración de casos de uso para asegurar que el sistema cumpla con las necesidades del usuario </t>
  </si>
  <si>
    <t>Garantía de Calidad del Software</t>
  </si>
  <si>
    <t>Pruebas funcionales y no funcionales</t>
  </si>
  <si>
    <t>Piramide de pruebas</t>
  </si>
  <si>
    <t>Pruebas unitarias</t>
  </si>
  <si>
    <t>Mocks, stubs y fakes</t>
  </si>
  <si>
    <t>Cobertura de código y métricas</t>
  </si>
  <si>
    <t xml:space="preserve">Valida la calidad del software mediante pruebas unitarias, pruebas E2E y herramientas de cobertura de código para detectar errores tempranos y mejorar la confiabilidad del sistema </t>
  </si>
  <si>
    <t>Pruebas No Funcionales</t>
  </si>
  <si>
    <t>Abril</t>
  </si>
  <si>
    <t>Tipos de Pruebas</t>
  </si>
  <si>
    <t>Pruebas End to End</t>
  </si>
  <si>
    <t>Cypress</t>
  </si>
  <si>
    <t>4. Automatizacion de ciclos de vida del software</t>
  </si>
  <si>
    <t>Orquestador de contenedores</t>
  </si>
  <si>
    <t>Introducción a docker</t>
  </si>
  <si>
    <t>Creación y gestión de imágenes</t>
  </si>
  <si>
    <t>Creación y gestión de contenedores</t>
  </si>
  <si>
    <t>Docker compose</t>
  </si>
  <si>
    <t>Container Registry</t>
  </si>
  <si>
    <t>DevOps</t>
  </si>
  <si>
    <t>Componentes de CI/CD</t>
  </si>
  <si>
    <t>Principios de integracion continua</t>
  </si>
  <si>
    <t>Beneficios de entrega continua</t>
  </si>
  <si>
    <t>Herramientas de integracion continua</t>
  </si>
  <si>
    <t>Configuracion de pipelines CI</t>
  </si>
  <si>
    <t>Ejecucion de pruebas automatizadas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</si>
  <si>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</si>
  <si>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</si>
  <si>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</si>
  <si>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</si>
  <si>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</si>
  <si>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</si>
  <si>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Hablar de mi persona, semestre en el que voy y si trabajo o no y que puedo ofrecer como tutor</t>
  </si>
  <si>
    <t xml:space="preserve">Experiencia docente y profesional </t>
  </si>
  <si>
    <t>Dar a conocer experiencia laboral si trabajo</t>
  </si>
  <si>
    <t>Rol del auxiliar dentro del curso (funciones, actividades y apoyo a los estudiantes).</t>
  </si>
  <si>
    <t>Describir cuales son las funciones de ser auxiliar y preguntar que esperan de mi.</t>
  </si>
  <si>
    <t>Expectativas sobre la dinámica del curso</t>
  </si>
  <si>
    <t>Explicar que espero de mis alumnos durante el semestre</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</si>
  <si>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</si>
  <si>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</si>
  <si>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</si>
  <si>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</si>
  <si>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</si>
  <si>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Las preguntas estan abajo del documento</t>
  </si>
  <si>
    <t>Redactaras una parte practica</t>
  </si>
  <si>
    <t>Deberan de implementar las bases de datos relacionales para hacer un sistema completo de frontend, backend y bd</t>
  </si>
  <si>
    <t xml:space="preserve">3. Presentación de los Estudiantes                                </t>
  </si>
  <si>
    <t xml:space="preserve">No puedes excederte mas de 30 minutos </t>
  </si>
  <si>
    <t>Seleccion al Azar de 5 Estudiantes</t>
  </si>
  <si>
    <t>Elegir del chat de forma aleatoria</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</si>
  <si>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</si>
  <si>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</si>
  <si>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xml:space="preserve">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</si>
  <si>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</si>
  <si>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</si>
  <si>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</si>
  <si>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</si>
  <si>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</si>
  <si>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</si>
  <si>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 de 10 am en adelante dependiendo el numero de estudiantes asignados en el semestre</t>
  </si>
  <si>
    <t xml:space="preserve">4.  Mostrar Programa del Curso                 </t>
  </si>
  <si>
    <t>No puedes excederte mas de 30 minutos</t>
  </si>
  <si>
    <t xml:space="preserve">2. Evaluación de Conocimientos del Curso Actual                                  </t>
  </si>
  <si>
    <t xml:space="preserve">Redactaras 20 preguntas con sus respectivas respuestas </t>
  </si>
  <si>
    <t>PREGUNTAS DE CONOCIMIENTOS PREVIOS</t>
  </si>
  <si>
    <t>¿Cuál es el lenguaje más utilizado para manejar bases de datos relacionales?</t>
  </si>
  <si>
    <t>A) HTML</t>
  </si>
  <si>
    <t>B) SQL</t>
  </si>
  <si>
    <t>C) CSS</t>
  </si>
  <si>
    <t>¿Qué tipo de clave garantiza que cada registro en una tabla sea único?</t>
  </si>
  <si>
    <t>A) Clave primaria</t>
  </si>
  <si>
    <t>B) Clave externa</t>
  </si>
  <si>
    <t>C) Clave alternativa</t>
  </si>
  <si>
    <t>¿Qué comando de SQL se utiliza para extraer datos de una tabla?</t>
  </si>
  <si>
    <t>A) UPDATE</t>
  </si>
  <si>
    <t>B) SELECT</t>
  </si>
  <si>
    <t>C) INSERT</t>
  </si>
  <si>
    <t>¿Qué tipo de relación existe cuando una fila de una tabla puede estar asociada a varias filas de otra tabla, y viceversa?</t>
  </si>
  <si>
    <t>A) Uno a Uno</t>
  </si>
  <si>
    <t>B) Uno a Muchos</t>
  </si>
  <si>
    <t>C) Muchos a Muchos</t>
  </si>
  <si>
    <t>¿Qué comando elimina permanentemente una tabla en SQL?</t>
  </si>
  <si>
    <t>A) DROP</t>
  </si>
  <si>
    <t>B) DELETE</t>
  </si>
  <si>
    <t>C) TRUNCATE</t>
  </si>
  <si>
    <t>¿Qué lenguaje se usa principalmente para estructurar páginas web?</t>
  </si>
  <si>
    <t>A) JavaScript</t>
  </si>
  <si>
    <t>B) HTML</t>
  </si>
  <si>
    <t>¿Cuál de los siguientes se utiliza para dar estilo a una página web?</t>
  </si>
  <si>
    <t>¿Qué framework de JavaScript es popular para construir interfaces de usuario?</t>
  </si>
  <si>
    <t>A) React</t>
  </si>
  <si>
    <t>B) MySQL</t>
  </si>
  <si>
    <t>C) PHP</t>
  </si>
  <si>
    <t>¿Qué atributo de una etiqueta &lt;img&gt; define la dirección de la imagen?</t>
  </si>
  <si>
    <t>A) href</t>
  </si>
  <si>
    <t>B) src</t>
  </si>
  <si>
    <t>C) alt</t>
  </si>
  <si>
    <t>¿Qué significa "responsive design" en desarrollo frontend?</t>
  </si>
  <si>
    <t>A) Páginas que responden con correos automáticos</t>
  </si>
  <si>
    <t>B) Páginas que se adaptan a diferentes dispositivos</t>
  </si>
  <si>
    <t>C) Páginas que responden más rápido en internet</t>
  </si>
  <si>
    <t>¿Qué lenguaje es más común en desarrollo backend?</t>
  </si>
  <si>
    <t>A) Python</t>
  </si>
  <si>
    <t>B) CSS</t>
  </si>
  <si>
    <t>C) HTML</t>
  </si>
  <si>
    <t>¿Cuál de los siguientes protocolos se utiliza para la comunicación entre frontend y backend en aplicaciones web?</t>
  </si>
  <si>
    <t>A) HTTP</t>
  </si>
  <si>
    <t>B) FTP</t>
  </si>
  <si>
    <t>C) SMTP</t>
  </si>
  <si>
    <t>¿Qué significa CRUD en backend?</t>
  </si>
  <si>
    <t>A) Crear, Revisar, Usar, Deletrear</t>
  </si>
  <si>
    <t>B) Create, Read, Update, Delete</t>
  </si>
  <si>
    <t>C) Controlar, Revisar, Usar, Descartar</t>
  </si>
  <si>
    <t>¿Qué base de datos es NoSQL?</t>
  </si>
  <si>
    <t>A) MySQL</t>
  </si>
  <si>
    <t>B) MongoDB</t>
  </si>
  <si>
    <t>C) PostgreSQL</t>
  </si>
  <si>
    <t>En un servidor backend, ¿qué rol cumple una API?</t>
  </si>
  <si>
    <t>A) Almacenar imágenes</t>
  </si>
  <si>
    <t>B) Conectar frontend con la base de datos</t>
  </si>
  <si>
    <t>C) Reemplazar el sistema operativo</t>
  </si>
  <si>
    <t>Diseño de la Sesión de Laboratorio</t>
  </si>
  <si>
    <t>Ponderación</t>
  </si>
  <si>
    <t>Validación de Tiempo</t>
  </si>
  <si>
    <t>1. Área Actitudinal (Saber Ser)</t>
  </si>
  <si>
    <t>Tiene que estar en un rango de 3 a 5 minutos</t>
  </si>
  <si>
    <t>Nombre del Valor</t>
  </si>
  <si>
    <t>Honestidad</t>
  </si>
  <si>
    <t>Descripcion</t>
  </si>
  <si>
    <t xml:space="preserve">Se mostrará una imagen donde se muestre la honestidad cuando se trabaja en grupos.                                    </t>
  </si>
  <si>
    <t>Como se relaciona con los conocimientos de la sesion y se aplicaria</t>
  </si>
  <si>
    <t>Cada estudiante debe ser honesto al documentar sus commits, explicar claramente qué hizo y no atribuirse trabajo ajeno.</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</si>
  <si>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</si>
  <si>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</si>
  <si>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</si>
  <si>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</si>
  <si>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</si>
  <si>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</si>
  <si>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</si>
  <si>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</si>
  <si>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</si>
  <si>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</si>
  <si>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</si>
  <si>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</si>
  <si>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</si>
  <si>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20 a 30 minutos</t>
  </si>
  <si>
    <t>Video</t>
  </si>
  <si>
    <t>3 a 6 minutos</t>
  </si>
  <si>
    <t>Lectura</t>
  </si>
  <si>
    <t>Optativo</t>
  </si>
  <si>
    <t>Ejercicio Demostrativo</t>
  </si>
  <si>
    <t>20 a 25 minutos</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</si>
  <si>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</si>
  <si>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</si>
  <si>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</si>
  <si>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</si>
  <si>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</si>
  <si>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</si>
  <si>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</si>
  <si>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</si>
  <si>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 xml:space="preserve">Responder las preguntas sobre control de versiones vistas en clase
</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</si>
  <si>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</si>
  <si>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</si>
  <si>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</si>
  <si>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</si>
  <si>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</si>
  <si>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</si>
  <si>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</si>
  <si>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 xml:space="preserve">Tolerancia        </t>
  </si>
  <si>
    <t>Se manifiesta al trabajar en equipo, ya que no todos los miembros programan igual ni cometen la misma cantidad de errores.</t>
  </si>
  <si>
    <t>La herramienta facilita esa tolerancia porque permite experimentar, corregir y aprender sin perder el trabajo de otros, promoviendo un ambiente de tolerancia.</t>
  </si>
  <si>
    <t xml:space="preserve">Responder las preguntas sobre Gitflow vistas en clase
</t>
  </si>
  <si>
    <t>Empatia</t>
  </si>
  <si>
    <t>El diseñador identifica frustraciones y expectativas reales.</t>
  </si>
  <si>
    <t>Es la capacidad de comprender las necesidades, emociones y limitaciones de los usuarios para diseñar interfaces que realmente resuelvan sus problemas</t>
  </si>
  <si>
    <t>UX/UI</t>
  </si>
  <si>
    <t>Ejercicio practico</t>
  </si>
  <si>
    <t>Creación de cuenta de Figma y Tailwind</t>
  </si>
  <si>
    <t>Responsabilidad</t>
  </si>
  <si>
    <t>La responsabilidad es la capacidad de cumplir con los compromisos adquiridos, asumir las consecuencias de las propias acciones y actuar de manera confiable y ética.</t>
  </si>
  <si>
    <t>En metodologías ágiles como Scrum o Kanban, la responsabilidad se refleja en que cada miembro del equipo cumple con sus tareas asignadas, documenta adecuadamente su trabajo en Git, informa sobre retrasos o problemas, y participa activamente en las reuniones de planificación y retrospectivas.</t>
  </si>
  <si>
    <t>Corto 1 realizado en UEDI</t>
  </si>
  <si>
    <t>Solidaridad</t>
  </si>
  <si>
    <t>La solidaridad es la disposición a colaborar, apoyar y compartir conocimientos o recursos con los demás, especialmente en momentos de dificultad, buscando el bien común por encima del interés individual</t>
  </si>
  <si>
    <t>La solidaridad se manifiesta cuando los miembros del equipo se apoyan entre sí para cumplir los objetivos del sprint.</t>
  </si>
  <si>
    <t>Scrum</t>
  </si>
  <si>
    <t>Manejo de estimaciones con la pagina planinngpokeronline</t>
  </si>
  <si>
    <t>Disciplina</t>
  </si>
  <si>
    <t>La disciplina es la capacidad de actuar de manera ordenada, constante y responsable, cumpliendo con normas, procesos y compromisos sin necesidad de supervisión constante</t>
  </si>
  <si>
    <t>En Kanban, la disciplina se refleja en la gestión estricta del flujo de trabajo: mantener las tarjetas actualizadas en el tablero, respetar los límites de trabajo en curso, priorizar tareas correctamente y moverlas a las columnas correspondientes según su estado.</t>
  </si>
  <si>
    <t>actividades</t>
  </si>
  <si>
    <t>Crear un tablero de gestión de tareas en la plataforma Jira o Trello</t>
  </si>
  <si>
    <t>La responsabilidad es la capacidad de cumplir con los compromisos adquiridos y asumir las consecuencias de las propias acciones, asegurando que el trabajo realizado sea confiable</t>
  </si>
  <si>
    <t>La responsabilidad se refleja en la creación y ejecución de pruebas unitarias para verificar que cada componente funcione correctamente</t>
  </si>
  <si>
    <t xml:space="preserve">Crea ..    </t>
  </si>
  <si>
    <t>Analisis</t>
  </si>
  <si>
    <t>Toma de evidencia para la conferencia</t>
  </si>
  <si>
    <t>Integridad</t>
  </si>
  <si>
    <t>La integridad es la capacidad de actuar con honestidad, coherencia y ética, asegurando que las acciones se alineen con principios claros y responsables.</t>
  </si>
  <si>
    <t>La integridad se refleja en diseñar y ejecutar pruebas que validen completamente el flujo del sistema tal como lo experimentaría el usuario final.</t>
  </si>
  <si>
    <t>Capturas de pantalla del flujo completo de la prueba ejecutada en Cypress donde se pueda ver cada vista de la pagina https://www.saucedemo.com</t>
  </si>
  <si>
    <t>La responsabilidad implica cumplir con los compromisos asumidos, actuar de manera consciente sobre el impacto de las propias acciones</t>
  </si>
  <si>
    <t>Un desarrollador responsable documenta las imágenes y gestiona versiones para que todo el equipo pueda reproducir el entorno de desarrollo o despliegue sin errores.</t>
  </si>
  <si>
    <t>Corto 3</t>
  </si>
  <si>
    <t>Colaboración</t>
  </si>
  <si>
    <t>La colaboración es la disposición a trabajar en conjunto, compartir conocimientos y apoyar a los demás para lograr objetivos comunes.</t>
  </si>
  <si>
    <t>La colaboración es esencial porque unifica a los equipos de desarrollo y operaciones. Se refleja en prácticas como integración continua, despliegues automatizados y monitoreo conjunto</t>
  </si>
  <si>
    <t>Proyectos</t>
  </si>
  <si>
    <t>La sumatoria de los puntos de los proyectos debe superar el  70% del total de la nota, no puede ser un 100%</t>
  </si>
  <si>
    <t>1. Primer Proyecto</t>
  </si>
  <si>
    <t>Horas para realizarlo</t>
  </si>
  <si>
    <t>Titulo</t>
  </si>
  <si>
    <t>Sistema Integral de Gestión y Automatización de Bibliotecas</t>
  </si>
  <si>
    <t>Qué tecnologías, lenguajes de programación, plataformas, hardware o software se utilizaran</t>
  </si>
  <si>
    <t>Bases de datos SQL, Trello, Cypress, Git</t>
  </si>
  <si>
    <t>Descripción de lo que se realizara</t>
  </si>
  <si>
    <t>El proyecto consiste en desarrollar un sistema integral para bibliotecas que permita la administración completa de recursos, usuarios y servicios. Debe incluir módulos de registro y búsqueda avanzada de libros, gestión de préstamos y devoluciones, control de disponibilidad, y administración de usuarios con roles (administrador, bibliotecario, lector). Además, se requiere implementar funcionalidades adicionales como historial de préstamos, reservas en línea, notificaciones automáticas, generación de reportes estadísticos, integración con códigos de barras o QR, y recomendaciones inteligentes de libros según preferencias del usuario.</t>
  </si>
  <si>
    <t>2. Segundo Proyecto</t>
  </si>
  <si>
    <t>Bases de datos SQL, Trello, Cypress, Docker, Cloud, Git</t>
  </si>
  <si>
    <t>Se agregaran mas funcionalidades al sistema como la gestión de inventario multimedia como audiolibros, revistas digitales y material audiovisual, soporte multilenguaje para ampliar el alcance de la plataforma y un panel de monitoreo con métricas en tiempo real sobre disponibilidad. Todo desde un pipeline CI/CD avanzado que incluya pruebas unitarias, de integración y e2e, junto con despliegues automatizados en entornos cloud</t>
  </si>
  <si>
    <t>3. Tercer Proyecto</t>
  </si>
  <si>
    <t>Optativa</t>
  </si>
  <si>
    <t>Practicas</t>
  </si>
  <si>
    <t>La sumatoria de los puntos de los practicas debe no debe super el  20%</t>
  </si>
  <si>
    <t>1. Primera Practica</t>
  </si>
  <si>
    <t>Obligatoria</t>
  </si>
  <si>
    <t>Plataforma de reservas y citas con software generico</t>
  </si>
  <si>
    <t>Git, Tailwind, Gitkraken</t>
  </si>
  <si>
    <t>Se desarrollara una plataforma genérica de reservas y gestión de citas que pueda aplicarse a distintos escenarios sin necesidad de recompilar el código, únicamente mediante configuraciones y parametrización. El sistema debe incluir registro y autenticación de usuarios, con diferentes roles como administrador, empleado y cliente. Los administradores podrán configurar horarios de atención, disponibilidad de personal o recursos, tiempos de servicio, políticas de cancelación y límites de capacidad. Los clientes tendrán la posibilidad de consultar disponibilidad en tiempo real, agendar, modificar o cancelar citas, así como realizar pagos en línea si el negocio lo requiere. El sistema deberá generar notificaciones automáticas por correo para confirmar citas, enviar recordatorios o avisar sobre cambios, y ofrecer reportes personalizables con métricas de ocupación, servicios más solicitados y estadísticas de clientes. Además, deberá contar con interfaz adaptable con herramientas de UX/UI, gestión de múltiples sucursales y plantillas configurables para adaptar la imagen de la marca como clínicas médicas, salones de belleza, talleres mecánicos u otros negocios de servicios.</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</si>
  <si>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</si>
  <si>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</si>
  <si>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</si>
  <si>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</si>
  <si>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</si>
  <si>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</si>
  <si>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</si>
  <si>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</si>
  <si>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</si>
  <si>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 xml:space="preserve">Repositorios publicos y tags                                          </t>
  </si>
  <si>
    <t>Gitkraken, GIt</t>
  </si>
  <si>
    <t xml:space="preserve">Realizar una Api Rest que muestre su nombre y el nombre de su cancion favorita, luego de eso realizar un tag version 1.0, crear una rama hotfix para corregir un error y en lugar de la cancion cambiar por album, crear el tag 2-0 y  eliminar la rama hotfix. El tag debe de llevar release                                                        </t>
  </si>
  <si>
    <t>2. Segunda Tarea</t>
  </si>
  <si>
    <t>Identificar requerimientos</t>
  </si>
  <si>
    <t>Lucidchart, draw.io</t>
  </si>
  <si>
    <t xml:space="preserve">Dado un sitio web famoso como ebay, amazon o walmart, realizar una lista de todos los requerimientos funcionales y no funcionales que se deben implementar para que esa pagina funciona correctamente                                                        </t>
  </si>
  <si>
    <t>3. Tercera Tarea</t>
  </si>
  <si>
    <t xml:space="preserve">Conferencia del curso                                                </t>
  </si>
  <si>
    <t>Realizar un resumen sobre la conferencia del curso y ademas adjuntar capturas de pantalla que validen su asistencia a la misma</t>
  </si>
  <si>
    <t>4. Cuarta Tarea</t>
  </si>
  <si>
    <t xml:space="preserve">Pruebas E2E                                                </t>
  </si>
  <si>
    <t xml:space="preserve">Realizar la prueba E2E solicitada, realizar el flujo que se pide, adjuntando las capturas de pantalla de cypress, y el codigo del mismo                                                        </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</si>
  <si>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</si>
  <si>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</si>
  <si>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</si>
  <si>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</si>
  <si>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</si>
  <si>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</si>
  <si>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</si>
  <si>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</si>
  <si>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</si>
  <si>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</si>
  <si>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</si>
  <si>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</si>
  <si>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</si>
  <si>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Examen Final</t>
  </si>
  <si>
    <t>Total</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</si>
</sst>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sz val="12.0"/>
      <color theme="1"/>
      <name val="&quot;Times New Roman&quot;"/>
    </font>
    <font>
      <u/>
      <sz val="12.0"/>
      <color theme="1"/>
      <name val="&quot;Times New Roman&quot;"/>
    </font>
    <font>
      <u/>
      <sz val="12.0"/>
      <color theme="1"/>
      <name val="&quot;Times New Roman&quot;"/>
    </font>
    <font>
      <b/>
      <sz val="12.0"/>
      <color rgb="FFFF6D01"/>
      <name val="Arial"/>
    </font>
    <font>
      <b/>
      <sz val="12.0"/>
      <color rgb="FFFFFFFF"/>
      <name val="Arial"/>
    </font>
    <font>
      <color rgb="FF000000"/>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horizontal="center" readingOrder="0"/>
    </xf>
    <xf borderId="0" fillId="0" fontId="4" numFmtId="0" xfId="0" applyAlignment="1" applyFont="1">
      <alignment readingOrder="0" shrinkToFit="0" wrapText="1"/>
    </xf>
    <xf borderId="0" fillId="0" fontId="4"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readingOrder="0"/>
    </xf>
    <xf borderId="0" fillId="0" fontId="4" numFmtId="0" xfId="0" applyAlignment="1" applyFont="1">
      <alignment readingOrder="0" vertical="bottom"/>
    </xf>
    <xf borderId="0" fillId="0" fontId="7" numFmtId="0" xfId="0" applyAlignment="1" applyFont="1">
      <alignment readingOrder="0"/>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4" numFmtId="0" xfId="0" applyAlignment="1" applyFont="1">
      <alignment horizontal="center" shrinkToFit="0" vertical="center" wrapText="1"/>
    </xf>
    <xf borderId="0" fillId="0" fontId="9" numFmtId="0" xfId="0" applyFont="1"/>
    <xf borderId="0" fillId="0" fontId="10" numFmtId="0" xfId="0" applyAlignment="1" applyFont="1">
      <alignment shrinkToFit="0" wrapText="1"/>
    </xf>
    <xf borderId="0" fillId="3" fontId="1" numFmtId="0" xfId="0" applyFill="1" applyFont="1"/>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1" fillId="4" fontId="4" numFmtId="0" xfId="0" applyAlignment="1" applyBorder="1" applyFont="1">
      <alignment readingOrder="0" shrinkToFit="0" vertical="bottom" wrapText="1"/>
    </xf>
    <xf borderId="1" fillId="4" fontId="4" numFmtId="0" xfId="0" applyAlignment="1" applyBorder="1" applyFont="1">
      <alignment shrinkToFit="0" wrapText="1"/>
    </xf>
    <xf borderId="2" fillId="0" fontId="4" numFmtId="0" xfId="0" applyAlignment="1" applyBorder="1" applyFont="1">
      <alignment readingOrder="0"/>
    </xf>
    <xf borderId="1" fillId="4" fontId="4" numFmtId="0" xfId="0" applyBorder="1" applyFont="1"/>
    <xf borderId="0" fillId="0" fontId="12" numFmtId="0" xfId="0" applyFont="1"/>
    <xf borderId="0" fillId="3" fontId="1" numFmtId="0" xfId="0" applyAlignment="1" applyFont="1">
      <alignment readingOrder="0"/>
    </xf>
    <xf borderId="0" fillId="0" fontId="13" numFmtId="0" xfId="0" applyAlignment="1" applyFont="1">
      <alignment shrinkToFit="0" wrapText="1"/>
    </xf>
    <xf borderId="2" fillId="0" fontId="4" numFmtId="0" xfId="0" applyAlignment="1" applyBorder="1" applyFont="1">
      <alignment readingOrder="0" shrinkToFit="0" vertical="center" wrapText="1"/>
    </xf>
    <xf borderId="2" fillId="0" fontId="4" numFmtId="0" xfId="0" applyAlignment="1" applyBorder="1" applyFont="1">
      <alignment vertical="bottom"/>
    </xf>
    <xf borderId="0" fillId="0" fontId="14" numFmtId="0" xfId="0" applyAlignment="1" applyFont="1">
      <alignment readingOrder="0"/>
    </xf>
    <xf borderId="0" fillId="0" fontId="15" numFmtId="0" xfId="0" applyAlignment="1" applyFont="1">
      <alignment readingOrder="0"/>
    </xf>
    <xf borderId="0" fillId="0" fontId="16" numFmtId="0" xfId="0" applyFont="1"/>
    <xf borderId="0" fillId="0" fontId="17" numFmtId="0" xfId="0" applyFont="1"/>
    <xf borderId="2" fillId="5" fontId="4" numFmtId="0" xfId="0" applyAlignment="1" applyBorder="1" applyFill="1" applyFont="1">
      <alignment horizontal="center"/>
    </xf>
    <xf borderId="1" fillId="0" fontId="4" numFmtId="0" xfId="0" applyAlignment="1" applyBorder="1" applyFont="1">
      <alignment shrinkToFit="0" wrapText="1"/>
    </xf>
    <xf borderId="2" fillId="0" fontId="4" numFmtId="0" xfId="0" applyAlignment="1" applyBorder="1" applyFont="1">
      <alignment horizontal="center"/>
    </xf>
    <xf borderId="0" fillId="0" fontId="13" numFmtId="0" xfId="0" applyFont="1"/>
    <xf borderId="0" fillId="6" fontId="18" numFmtId="0" xfId="0" applyFill="1" applyFont="1"/>
    <xf borderId="2" fillId="0" fontId="4" numFmtId="0" xfId="0" applyAlignment="1" applyBorder="1" applyFont="1">
      <alignment horizontal="left" readingOrder="0"/>
    </xf>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7" fontId="4" numFmtId="0" xfId="0" applyBorder="1" applyFill="1" applyFont="1"/>
    <xf borderId="2" fillId="7" fontId="4" numFmtId="0" xfId="0" applyBorder="1" applyFont="1"/>
    <xf borderId="1" fillId="8" fontId="4" numFmtId="0" xfId="0" applyBorder="1" applyFill="1" applyFont="1"/>
    <xf borderId="2" fillId="8" fontId="4" numFmtId="0" xfId="0" applyBorder="1" applyFont="1"/>
    <xf borderId="1" fillId="0" fontId="4" numFmtId="0" xfId="0" applyAlignment="1" applyBorder="1" applyFont="1">
      <alignment readingOrder="0"/>
    </xf>
    <xf borderId="2" fillId="0" fontId="19" numFmtId="0" xfId="0" applyAlignment="1" applyBorder="1" applyFont="1">
      <alignment readingOrder="0"/>
    </xf>
    <xf borderId="0" fillId="0" fontId="20" numFmtId="0" xfId="0" applyFont="1"/>
    <xf borderId="11" fillId="0" fontId="8" numFmtId="0" xfId="0" applyBorder="1" applyFont="1"/>
    <xf borderId="12" fillId="0" fontId="8" numFmtId="0" xfId="0" applyBorder="1" applyFont="1"/>
    <xf borderId="2" fillId="0" fontId="20" numFmtId="0" xfId="0" applyBorder="1" applyFont="1"/>
    <xf borderId="0" fillId="0" fontId="21" numFmtId="0" xfId="0" applyFont="1"/>
    <xf borderId="5" fillId="0" fontId="4" numFmtId="0" xfId="0" applyBorder="1" applyFont="1"/>
    <xf borderId="5" fillId="0" fontId="4" numFmtId="0" xfId="0" applyAlignment="1" applyBorder="1" applyFont="1">
      <alignment readingOrder="0" shrinkToFit="0" vertical="center" wrapText="1"/>
    </xf>
    <xf borderId="2" fillId="0" fontId="20" numFmtId="0" xfId="0" applyAlignment="1" applyBorder="1" applyFont="1">
      <alignment readingOrder="0"/>
    </xf>
    <xf borderId="5" fillId="0" fontId="4" numFmtId="0" xfId="0" applyAlignment="1" applyBorder="1" applyFont="1">
      <alignment readingOrder="0" shrinkToFit="0" wrapText="1"/>
    </xf>
    <xf borderId="4" fillId="0" fontId="4" numFmtId="0" xfId="0" applyBorder="1" applyFont="1"/>
    <xf borderId="0" fillId="6" fontId="18" numFmtId="0" xfId="0" applyAlignment="1" applyFont="1">
      <alignment readingOrder="0"/>
    </xf>
    <xf borderId="3" fillId="0" fontId="4" numFmtId="0" xfId="0" applyBorder="1" applyFont="1"/>
    <xf borderId="0" fillId="0" fontId="22" numFmtId="0" xfId="0" applyFont="1"/>
    <xf borderId="0" fillId="3" fontId="23" numFmtId="0" xfId="0" applyFont="1"/>
    <xf borderId="0" fillId="3" fontId="24" numFmtId="0" xfId="0" applyFont="1"/>
    <xf borderId="0" fillId="0" fontId="23" numFmtId="0" xfId="0" applyFont="1"/>
    <xf borderId="0" fillId="0" fontId="5" numFmtId="0" xfId="0" applyAlignment="1" applyFont="1">
      <alignment shrinkToFit="0" wrapText="1"/>
    </xf>
    <xf borderId="0" fillId="0" fontId="25" numFmtId="0" xfId="0" applyAlignment="1" applyFont="1">
      <alignment shrinkToFit="0" wrapText="1"/>
    </xf>
    <xf borderId="0" fillId="0" fontId="25" numFmtId="0" xfId="0" applyFont="1"/>
    <xf borderId="1" fillId="7" fontId="25" numFmtId="0" xfId="0" applyAlignment="1" applyBorder="1" applyFont="1">
      <alignment shrinkToFit="0" wrapText="1"/>
    </xf>
    <xf borderId="1" fillId="7" fontId="25"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6.88"/>
    <col customWidth="1" min="3" max="3" width="59.25"/>
    <col customWidth="1" min="4" max="4" width="38.38"/>
    <col customWidth="1" min="5" max="5" width="37.13"/>
    <col customWidth="1" min="6" max="6" width="34.0"/>
  </cols>
  <sheetData>
    <row r="1" ht="15.75" customHeight="1"/>
    <row r="2" ht="15.75" customHeight="1">
      <c r="A2" s="1">
        <f>VALUE(LEFT(C4,FIND(" - ",C4)-1))</f>
        <v>283</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3" t="s">
        <v>14</v>
      </c>
      <c r="F9" s="13" t="s">
        <v>15</v>
      </c>
      <c r="G9" s="14" t="s">
        <v>16</v>
      </c>
      <c r="H9" s="14">
        <v>2.0</v>
      </c>
    </row>
    <row r="10" ht="15.75" customHeight="1">
      <c r="B10" s="10">
        <v>2.0</v>
      </c>
      <c r="C10" s="11" t="s">
        <v>12</v>
      </c>
      <c r="D10" s="12" t="s">
        <v>13</v>
      </c>
      <c r="E10" s="13" t="s">
        <v>14</v>
      </c>
      <c r="F10" s="13" t="s">
        <v>17</v>
      </c>
      <c r="G10" s="14" t="s">
        <v>16</v>
      </c>
      <c r="H10" s="14">
        <v>2.0</v>
      </c>
    </row>
    <row r="11" ht="15.75" customHeight="1">
      <c r="B11" s="10">
        <v>3.0</v>
      </c>
      <c r="C11" s="11" t="s">
        <v>12</v>
      </c>
      <c r="D11" s="12" t="s">
        <v>13</v>
      </c>
      <c r="E11" s="13" t="s">
        <v>14</v>
      </c>
      <c r="F11" s="13" t="s">
        <v>18</v>
      </c>
      <c r="G11" s="14" t="s">
        <v>16</v>
      </c>
      <c r="H11" s="14">
        <v>2.0</v>
      </c>
    </row>
    <row r="12" ht="15.75" customHeight="1">
      <c r="B12" s="10">
        <v>4.0</v>
      </c>
      <c r="C12" s="11" t="s">
        <v>12</v>
      </c>
      <c r="D12" s="12" t="s">
        <v>13</v>
      </c>
      <c r="E12" s="13" t="s">
        <v>14</v>
      </c>
      <c r="F12" s="13" t="s">
        <v>19</v>
      </c>
      <c r="G12" s="14" t="s">
        <v>16</v>
      </c>
      <c r="H12" s="14">
        <v>2.0</v>
      </c>
    </row>
    <row r="13" ht="15.75" customHeight="1">
      <c r="B13" s="10">
        <v>5.0</v>
      </c>
      <c r="C13" s="11" t="s">
        <v>12</v>
      </c>
      <c r="D13" s="12" t="s">
        <v>13</v>
      </c>
      <c r="E13" s="13" t="s">
        <v>14</v>
      </c>
      <c r="F13" s="13" t="s">
        <v>20</v>
      </c>
      <c r="G13" s="14" t="s">
        <v>16</v>
      </c>
      <c r="H13" s="14">
        <v>2.0</v>
      </c>
    </row>
    <row r="14" ht="15.75" customHeight="1">
      <c r="B14" s="10">
        <v>6.0</v>
      </c>
      <c r="C14" s="11" t="s">
        <v>12</v>
      </c>
      <c r="D14" s="12" t="s">
        <v>13</v>
      </c>
      <c r="E14" s="13" t="s">
        <v>14</v>
      </c>
      <c r="F14" s="13" t="s">
        <v>21</v>
      </c>
      <c r="G14" s="14" t="s">
        <v>16</v>
      </c>
      <c r="H14" s="14">
        <v>2.0</v>
      </c>
    </row>
    <row r="15" ht="15.75" customHeight="1">
      <c r="B15" s="10">
        <v>7.0</v>
      </c>
      <c r="C15" s="11" t="s">
        <v>12</v>
      </c>
      <c r="D15" s="15" t="s">
        <v>13</v>
      </c>
      <c r="E15" s="13" t="s">
        <v>22</v>
      </c>
      <c r="F15" s="13" t="s">
        <v>15</v>
      </c>
      <c r="G15" s="16" t="s">
        <v>23</v>
      </c>
      <c r="H15" s="14">
        <v>3.0</v>
      </c>
    </row>
    <row r="16" ht="15.75" customHeight="1">
      <c r="B16" s="10">
        <v>8.0</v>
      </c>
      <c r="C16" s="11" t="s">
        <v>12</v>
      </c>
      <c r="D16" s="15" t="s">
        <v>13</v>
      </c>
      <c r="E16" s="13" t="s">
        <v>22</v>
      </c>
      <c r="F16" s="13" t="s">
        <v>24</v>
      </c>
      <c r="G16" s="16" t="s">
        <v>23</v>
      </c>
      <c r="H16" s="14">
        <v>3.0</v>
      </c>
    </row>
    <row r="17" ht="15.75" customHeight="1">
      <c r="B17" s="10">
        <v>9.0</v>
      </c>
      <c r="C17" s="11" t="s">
        <v>12</v>
      </c>
      <c r="D17" s="15" t="s">
        <v>13</v>
      </c>
      <c r="E17" s="13" t="s">
        <v>22</v>
      </c>
      <c r="F17" s="13" t="s">
        <v>25</v>
      </c>
      <c r="G17" s="16" t="s">
        <v>23</v>
      </c>
      <c r="H17" s="14">
        <v>3.0</v>
      </c>
    </row>
    <row r="18" ht="15.75" customHeight="1">
      <c r="B18" s="10">
        <v>10.0</v>
      </c>
      <c r="C18" s="11" t="s">
        <v>12</v>
      </c>
      <c r="D18" s="15" t="s">
        <v>13</v>
      </c>
      <c r="E18" s="13" t="s">
        <v>22</v>
      </c>
      <c r="F18" s="13" t="s">
        <v>26</v>
      </c>
      <c r="G18" s="16" t="s">
        <v>23</v>
      </c>
      <c r="H18" s="14">
        <v>3.0</v>
      </c>
    </row>
    <row r="19" ht="15.75" customHeight="1">
      <c r="B19" s="10">
        <v>11.0</v>
      </c>
      <c r="C19" s="11" t="s">
        <v>12</v>
      </c>
      <c r="D19" s="15" t="s">
        <v>13</v>
      </c>
      <c r="E19" s="13" t="s">
        <v>22</v>
      </c>
      <c r="F19" s="13" t="s">
        <v>27</v>
      </c>
      <c r="G19" s="16" t="s">
        <v>23</v>
      </c>
      <c r="H19" s="14">
        <v>3.0</v>
      </c>
    </row>
    <row r="20" ht="15.75" customHeight="1">
      <c r="B20" s="10">
        <v>12.0</v>
      </c>
      <c r="C20" s="11" t="s">
        <v>12</v>
      </c>
      <c r="D20" s="15" t="s">
        <v>13</v>
      </c>
      <c r="E20" s="13" t="s">
        <v>22</v>
      </c>
      <c r="F20" s="13" t="s">
        <v>28</v>
      </c>
      <c r="G20" s="16" t="s">
        <v>23</v>
      </c>
      <c r="H20" s="14">
        <v>3.0</v>
      </c>
    </row>
    <row r="21" ht="15.75" customHeight="1">
      <c r="B21" s="10">
        <v>13.0</v>
      </c>
      <c r="C21" s="11" t="s">
        <v>12</v>
      </c>
      <c r="D21" s="15" t="s">
        <v>29</v>
      </c>
      <c r="E21" s="13" t="s">
        <v>30</v>
      </c>
      <c r="F21" s="13" t="s">
        <v>15</v>
      </c>
      <c r="G21" s="16" t="s">
        <v>23</v>
      </c>
      <c r="H21" s="14">
        <v>4.0</v>
      </c>
    </row>
    <row r="22" ht="15.75" customHeight="1">
      <c r="B22" s="10">
        <v>14.0</v>
      </c>
      <c r="C22" s="11" t="s">
        <v>12</v>
      </c>
      <c r="D22" s="16" t="s">
        <v>29</v>
      </c>
      <c r="E22" s="16" t="s">
        <v>30</v>
      </c>
      <c r="F22" s="16" t="s">
        <v>31</v>
      </c>
      <c r="G22" s="16" t="s">
        <v>23</v>
      </c>
      <c r="H22" s="14">
        <v>4.0</v>
      </c>
    </row>
    <row r="23" ht="15.75" customHeight="1">
      <c r="B23" s="10">
        <v>15.0</v>
      </c>
      <c r="C23" s="11" t="s">
        <v>12</v>
      </c>
      <c r="D23" s="16" t="s">
        <v>29</v>
      </c>
      <c r="E23" s="16" t="s">
        <v>30</v>
      </c>
      <c r="F23" s="16" t="s">
        <v>32</v>
      </c>
      <c r="G23" s="16" t="s">
        <v>23</v>
      </c>
      <c r="H23" s="14">
        <v>4.0</v>
      </c>
    </row>
    <row r="24" ht="15.75" customHeight="1">
      <c r="B24" s="10">
        <v>16.0</v>
      </c>
      <c r="C24" s="11" t="s">
        <v>12</v>
      </c>
      <c r="D24" s="16" t="s">
        <v>29</v>
      </c>
      <c r="E24" s="16" t="s">
        <v>30</v>
      </c>
      <c r="F24" s="16" t="s">
        <v>33</v>
      </c>
      <c r="G24" s="16" t="s">
        <v>23</v>
      </c>
      <c r="H24" s="14">
        <v>4.0</v>
      </c>
    </row>
    <row r="25" ht="15.75" customHeight="1">
      <c r="B25" s="10">
        <v>17.0</v>
      </c>
      <c r="C25" s="11" t="s">
        <v>12</v>
      </c>
      <c r="D25" s="16" t="s">
        <v>29</v>
      </c>
      <c r="E25" s="16" t="s">
        <v>30</v>
      </c>
      <c r="F25" s="16" t="s">
        <v>34</v>
      </c>
      <c r="G25" s="16" t="s">
        <v>23</v>
      </c>
      <c r="H25" s="14">
        <v>4.0</v>
      </c>
    </row>
    <row r="26" ht="15.75" customHeight="1">
      <c r="B26" s="10">
        <v>18.0</v>
      </c>
      <c r="C26" s="11" t="s">
        <v>35</v>
      </c>
      <c r="D26" s="16" t="s">
        <v>36</v>
      </c>
      <c r="E26" s="16" t="s">
        <v>37</v>
      </c>
      <c r="F26" s="16" t="s">
        <v>15</v>
      </c>
      <c r="G26" s="16" t="s">
        <v>23</v>
      </c>
      <c r="H26" s="14">
        <v>5.0</v>
      </c>
    </row>
    <row r="27" ht="15.75" customHeight="1">
      <c r="B27" s="10">
        <v>19.0</v>
      </c>
      <c r="C27" s="11" t="s">
        <v>35</v>
      </c>
      <c r="D27" s="16" t="s">
        <v>36</v>
      </c>
      <c r="E27" s="16" t="s">
        <v>37</v>
      </c>
      <c r="F27" s="16" t="s">
        <v>38</v>
      </c>
      <c r="G27" s="16" t="s">
        <v>23</v>
      </c>
      <c r="H27" s="14">
        <v>5.0</v>
      </c>
    </row>
    <row r="28" ht="15.75" customHeight="1">
      <c r="B28" s="10">
        <v>20.0</v>
      </c>
      <c r="C28" s="11" t="s">
        <v>35</v>
      </c>
      <c r="D28" s="16" t="s">
        <v>36</v>
      </c>
      <c r="E28" s="16" t="s">
        <v>37</v>
      </c>
      <c r="F28" s="16" t="s">
        <v>39</v>
      </c>
      <c r="G28" s="16" t="s">
        <v>23</v>
      </c>
      <c r="H28" s="14">
        <v>5.0</v>
      </c>
    </row>
    <row r="29" ht="15.75" customHeight="1">
      <c r="B29" s="10">
        <v>21.0</v>
      </c>
      <c r="C29" s="11" t="s">
        <v>35</v>
      </c>
      <c r="D29" s="16" t="s">
        <v>36</v>
      </c>
      <c r="E29" s="16" t="s">
        <v>37</v>
      </c>
      <c r="F29" s="16" t="s">
        <v>40</v>
      </c>
      <c r="G29" s="16" t="s">
        <v>23</v>
      </c>
      <c r="H29" s="14">
        <v>5.0</v>
      </c>
    </row>
    <row r="30" ht="15.75" customHeight="1">
      <c r="B30" s="10">
        <v>22.0</v>
      </c>
      <c r="C30" s="11" t="s">
        <v>35</v>
      </c>
      <c r="D30" s="16" t="s">
        <v>36</v>
      </c>
      <c r="E30" s="16" t="s">
        <v>37</v>
      </c>
      <c r="F30" s="16" t="s">
        <v>41</v>
      </c>
      <c r="G30" s="16" t="s">
        <v>23</v>
      </c>
      <c r="H30" s="14">
        <v>5.0</v>
      </c>
    </row>
    <row r="31" ht="15.75" customHeight="1">
      <c r="B31" s="10">
        <v>23.0</v>
      </c>
      <c r="C31" s="11" t="s">
        <v>35</v>
      </c>
      <c r="D31" s="16" t="s">
        <v>36</v>
      </c>
      <c r="E31" s="16" t="s">
        <v>37</v>
      </c>
      <c r="F31" s="16" t="s">
        <v>42</v>
      </c>
      <c r="G31" s="16" t="s">
        <v>23</v>
      </c>
      <c r="H31" s="14">
        <v>5.0</v>
      </c>
    </row>
    <row r="32" ht="15.75" customHeight="1">
      <c r="B32" s="10">
        <v>24.0</v>
      </c>
      <c r="C32" s="11" t="s">
        <v>43</v>
      </c>
      <c r="D32" s="16" t="s">
        <v>36</v>
      </c>
      <c r="E32" s="16" t="s">
        <v>44</v>
      </c>
      <c r="F32" s="16" t="s">
        <v>15</v>
      </c>
      <c r="G32" s="16" t="s">
        <v>23</v>
      </c>
      <c r="H32" s="14">
        <v>6.0</v>
      </c>
    </row>
    <row r="33" ht="15.75" customHeight="1">
      <c r="B33" s="10">
        <v>25.0</v>
      </c>
      <c r="C33" s="11" t="s">
        <v>43</v>
      </c>
      <c r="D33" s="16" t="s">
        <v>36</v>
      </c>
      <c r="E33" s="16" t="s">
        <v>44</v>
      </c>
      <c r="F33" s="16" t="s">
        <v>45</v>
      </c>
      <c r="G33" s="16" t="s">
        <v>23</v>
      </c>
      <c r="H33" s="14">
        <v>6.0</v>
      </c>
    </row>
    <row r="34" ht="15.75" customHeight="1">
      <c r="B34" s="10">
        <v>26.0</v>
      </c>
      <c r="C34" s="11" t="s">
        <v>43</v>
      </c>
      <c r="D34" s="16" t="s">
        <v>36</v>
      </c>
      <c r="E34" s="16" t="s">
        <v>44</v>
      </c>
      <c r="F34" s="16" t="s">
        <v>46</v>
      </c>
      <c r="G34" s="16" t="s">
        <v>23</v>
      </c>
      <c r="H34" s="14">
        <v>6.0</v>
      </c>
    </row>
    <row r="35" ht="15.75" customHeight="1">
      <c r="B35" s="10">
        <v>27.0</v>
      </c>
      <c r="C35" s="11" t="s">
        <v>43</v>
      </c>
      <c r="D35" s="16" t="s">
        <v>36</v>
      </c>
      <c r="E35" s="16" t="s">
        <v>44</v>
      </c>
      <c r="F35" s="16" t="s">
        <v>47</v>
      </c>
      <c r="G35" s="16" t="s">
        <v>23</v>
      </c>
      <c r="H35" s="14">
        <v>6.0</v>
      </c>
    </row>
    <row r="36" ht="15.75" customHeight="1">
      <c r="B36" s="10">
        <v>28.0</v>
      </c>
      <c r="C36" s="11" t="s">
        <v>43</v>
      </c>
      <c r="D36" s="16" t="s">
        <v>36</v>
      </c>
      <c r="E36" s="16" t="s">
        <v>44</v>
      </c>
      <c r="F36" s="16" t="s">
        <v>48</v>
      </c>
      <c r="G36" s="16" t="s">
        <v>23</v>
      </c>
      <c r="H36" s="14">
        <v>6.0</v>
      </c>
    </row>
    <row r="37" ht="15.75" customHeight="1">
      <c r="B37" s="10">
        <v>29.0</v>
      </c>
      <c r="C37" s="11" t="s">
        <v>43</v>
      </c>
      <c r="D37" s="16" t="s">
        <v>36</v>
      </c>
      <c r="E37" s="16" t="s">
        <v>44</v>
      </c>
      <c r="F37" s="16" t="s">
        <v>49</v>
      </c>
      <c r="G37" s="16" t="s">
        <v>23</v>
      </c>
      <c r="H37" s="14">
        <v>6.0</v>
      </c>
    </row>
    <row r="38" ht="15.75" customHeight="1">
      <c r="B38" s="10">
        <v>30.0</v>
      </c>
      <c r="C38" s="11" t="s">
        <v>50</v>
      </c>
      <c r="D38" s="16" t="s">
        <v>36</v>
      </c>
      <c r="E38" s="16" t="s">
        <v>51</v>
      </c>
      <c r="F38" s="16" t="s">
        <v>52</v>
      </c>
      <c r="G38" s="16" t="s">
        <v>53</v>
      </c>
      <c r="H38" s="14">
        <v>7.0</v>
      </c>
    </row>
    <row r="39" ht="15.75" customHeight="1">
      <c r="B39" s="10">
        <v>31.0</v>
      </c>
      <c r="C39" s="11" t="s">
        <v>50</v>
      </c>
      <c r="D39" s="16" t="s">
        <v>36</v>
      </c>
      <c r="E39" s="16" t="s">
        <v>51</v>
      </c>
      <c r="F39" s="16" t="s">
        <v>54</v>
      </c>
      <c r="G39" s="16" t="s">
        <v>53</v>
      </c>
      <c r="H39" s="14">
        <v>7.0</v>
      </c>
    </row>
    <row r="40" ht="15.75" customHeight="1">
      <c r="B40" s="10">
        <v>32.0</v>
      </c>
      <c r="C40" s="11" t="s">
        <v>50</v>
      </c>
      <c r="D40" s="16" t="s">
        <v>36</v>
      </c>
      <c r="E40" s="16" t="s">
        <v>51</v>
      </c>
      <c r="F40" s="16" t="s">
        <v>55</v>
      </c>
      <c r="G40" s="16" t="s">
        <v>53</v>
      </c>
      <c r="H40" s="14">
        <v>7.0</v>
      </c>
    </row>
    <row r="41" ht="15.75" customHeight="1">
      <c r="B41" s="10">
        <v>33.0</v>
      </c>
      <c r="C41" s="11" t="s">
        <v>50</v>
      </c>
      <c r="D41" s="16" t="s">
        <v>36</v>
      </c>
      <c r="E41" s="16" t="s">
        <v>51</v>
      </c>
      <c r="F41" s="16" t="s">
        <v>56</v>
      </c>
      <c r="G41" s="16" t="s">
        <v>53</v>
      </c>
      <c r="H41" s="14">
        <v>7.0</v>
      </c>
    </row>
    <row r="42" ht="15.75" customHeight="1">
      <c r="B42" s="10">
        <v>34.0</v>
      </c>
      <c r="C42" s="11" t="s">
        <v>57</v>
      </c>
      <c r="D42" s="16" t="s">
        <v>29</v>
      </c>
      <c r="E42" s="16" t="s">
        <v>58</v>
      </c>
      <c r="F42" s="16" t="s">
        <v>59</v>
      </c>
      <c r="G42" s="16" t="s">
        <v>53</v>
      </c>
      <c r="H42" s="14">
        <v>8.0</v>
      </c>
    </row>
    <row r="43" ht="15.75" customHeight="1">
      <c r="B43" s="10">
        <v>35.0</v>
      </c>
      <c r="C43" s="11" t="s">
        <v>57</v>
      </c>
      <c r="D43" s="16" t="s">
        <v>29</v>
      </c>
      <c r="E43" s="16" t="s">
        <v>58</v>
      </c>
      <c r="F43" s="16" t="s">
        <v>60</v>
      </c>
      <c r="G43" s="16" t="s">
        <v>53</v>
      </c>
      <c r="H43" s="14">
        <v>8.0</v>
      </c>
    </row>
    <row r="44" ht="15.75" customHeight="1">
      <c r="B44" s="10">
        <v>36.0</v>
      </c>
      <c r="C44" s="11" t="s">
        <v>57</v>
      </c>
      <c r="D44" s="16" t="s">
        <v>29</v>
      </c>
      <c r="E44" s="16" t="s">
        <v>58</v>
      </c>
      <c r="F44" s="16" t="s">
        <v>61</v>
      </c>
      <c r="G44" s="16" t="s">
        <v>53</v>
      </c>
      <c r="H44" s="14">
        <v>8.0</v>
      </c>
    </row>
    <row r="45" ht="15.75" customHeight="1">
      <c r="B45" s="10">
        <v>37.0</v>
      </c>
      <c r="C45" s="11" t="s">
        <v>57</v>
      </c>
      <c r="D45" s="16" t="s">
        <v>29</v>
      </c>
      <c r="E45" s="16" t="s">
        <v>58</v>
      </c>
      <c r="F45" s="16" t="s">
        <v>62</v>
      </c>
      <c r="G45" s="16" t="s">
        <v>53</v>
      </c>
      <c r="H45" s="14">
        <v>8.0</v>
      </c>
    </row>
    <row r="46" ht="15.75" customHeight="1">
      <c r="B46" s="10">
        <v>38.0</v>
      </c>
      <c r="C46" s="11" t="s">
        <v>57</v>
      </c>
      <c r="D46" s="16" t="s">
        <v>29</v>
      </c>
      <c r="E46" s="16" t="s">
        <v>58</v>
      </c>
      <c r="F46" s="16" t="s">
        <v>63</v>
      </c>
      <c r="G46" s="16" t="s">
        <v>53</v>
      </c>
      <c r="H46" s="14">
        <v>8.0</v>
      </c>
    </row>
    <row r="47" ht="15.75" customHeight="1">
      <c r="B47" s="10">
        <v>39.0</v>
      </c>
      <c r="C47" s="11" t="s">
        <v>64</v>
      </c>
      <c r="D47" s="16" t="s">
        <v>29</v>
      </c>
      <c r="E47" s="16" t="s">
        <v>58</v>
      </c>
      <c r="F47" s="16" t="s">
        <v>65</v>
      </c>
      <c r="G47" s="16" t="s">
        <v>66</v>
      </c>
      <c r="H47" s="14">
        <v>9.0</v>
      </c>
    </row>
    <row r="48" ht="15.75" customHeight="1">
      <c r="B48" s="10">
        <v>40.0</v>
      </c>
      <c r="C48" s="11" t="s">
        <v>64</v>
      </c>
      <c r="D48" s="16" t="s">
        <v>29</v>
      </c>
      <c r="E48" s="16" t="s">
        <v>58</v>
      </c>
      <c r="F48" s="16" t="s">
        <v>67</v>
      </c>
      <c r="G48" s="16" t="s">
        <v>66</v>
      </c>
      <c r="H48" s="14">
        <v>9.0</v>
      </c>
    </row>
    <row r="49" ht="15.75" customHeight="1">
      <c r="B49" s="10">
        <v>41.0</v>
      </c>
      <c r="C49" s="11" t="s">
        <v>64</v>
      </c>
      <c r="D49" s="16" t="s">
        <v>29</v>
      </c>
      <c r="E49" s="16" t="s">
        <v>58</v>
      </c>
      <c r="F49" s="16" t="s">
        <v>68</v>
      </c>
      <c r="G49" s="16" t="s">
        <v>66</v>
      </c>
      <c r="H49" s="14">
        <v>9.0</v>
      </c>
    </row>
    <row r="50" ht="15.75" customHeight="1">
      <c r="B50" s="10">
        <v>42.0</v>
      </c>
      <c r="C50" s="11" t="s">
        <v>64</v>
      </c>
      <c r="D50" s="16" t="s">
        <v>29</v>
      </c>
      <c r="E50" s="16" t="s">
        <v>58</v>
      </c>
      <c r="F50" s="16" t="s">
        <v>69</v>
      </c>
      <c r="G50" s="16" t="s">
        <v>66</v>
      </c>
      <c r="H50" s="14">
        <v>9.0</v>
      </c>
    </row>
    <row r="51" ht="15.75" customHeight="1">
      <c r="B51" s="10">
        <v>43.0</v>
      </c>
      <c r="C51" s="11" t="s">
        <v>50</v>
      </c>
      <c r="D51" s="16" t="s">
        <v>70</v>
      </c>
      <c r="E51" s="16" t="s">
        <v>71</v>
      </c>
      <c r="F51" s="16" t="s">
        <v>72</v>
      </c>
      <c r="G51" s="16" t="s">
        <v>66</v>
      </c>
      <c r="H51" s="14">
        <v>10.0</v>
      </c>
    </row>
    <row r="52" ht="15.75" customHeight="1">
      <c r="B52" s="10">
        <v>44.0</v>
      </c>
      <c r="C52" s="11" t="s">
        <v>50</v>
      </c>
      <c r="D52" s="16" t="s">
        <v>70</v>
      </c>
      <c r="E52" s="16" t="s">
        <v>71</v>
      </c>
      <c r="F52" s="16" t="s">
        <v>73</v>
      </c>
      <c r="G52" s="16" t="s">
        <v>66</v>
      </c>
      <c r="H52" s="14">
        <v>10.0</v>
      </c>
    </row>
    <row r="53" ht="15.75" customHeight="1">
      <c r="B53" s="10">
        <v>45.0</v>
      </c>
      <c r="C53" s="11" t="s">
        <v>50</v>
      </c>
      <c r="D53" s="16" t="s">
        <v>70</v>
      </c>
      <c r="E53" s="16" t="s">
        <v>71</v>
      </c>
      <c r="F53" s="16" t="s">
        <v>74</v>
      </c>
      <c r="G53" s="16" t="s">
        <v>66</v>
      </c>
      <c r="H53" s="14">
        <v>10.0</v>
      </c>
    </row>
    <row r="54" ht="15.75" customHeight="1">
      <c r="B54" s="10">
        <v>46.0</v>
      </c>
      <c r="C54" s="11" t="s">
        <v>50</v>
      </c>
      <c r="D54" s="16" t="s">
        <v>70</v>
      </c>
      <c r="E54" s="16" t="s">
        <v>71</v>
      </c>
      <c r="F54" s="16" t="s">
        <v>75</v>
      </c>
      <c r="G54" s="16" t="s">
        <v>66</v>
      </c>
      <c r="H54" s="14">
        <v>10.0</v>
      </c>
    </row>
    <row r="55" ht="15.75" customHeight="1">
      <c r="B55" s="10">
        <v>47.0</v>
      </c>
      <c r="C55" s="11" t="s">
        <v>50</v>
      </c>
      <c r="D55" s="16" t="s">
        <v>70</v>
      </c>
      <c r="E55" s="16" t="s">
        <v>71</v>
      </c>
      <c r="F55" s="16" t="s">
        <v>76</v>
      </c>
      <c r="G55" s="16" t="s">
        <v>66</v>
      </c>
      <c r="H55" s="14">
        <v>10.0</v>
      </c>
    </row>
    <row r="56" ht="15.75" customHeight="1">
      <c r="B56" s="10">
        <v>48.0</v>
      </c>
      <c r="C56" s="11" t="s">
        <v>50</v>
      </c>
      <c r="D56" s="16" t="s">
        <v>70</v>
      </c>
      <c r="E56" s="16" t="s">
        <v>77</v>
      </c>
      <c r="F56" s="16" t="s">
        <v>15</v>
      </c>
      <c r="G56" s="16" t="s">
        <v>66</v>
      </c>
      <c r="H56" s="14">
        <v>11.0</v>
      </c>
    </row>
    <row r="57" ht="15.75" customHeight="1">
      <c r="B57" s="10">
        <v>49.0</v>
      </c>
      <c r="C57" s="11" t="s">
        <v>50</v>
      </c>
      <c r="D57" s="16" t="s">
        <v>70</v>
      </c>
      <c r="E57" s="16" t="s">
        <v>77</v>
      </c>
      <c r="F57" s="16" t="s">
        <v>78</v>
      </c>
      <c r="G57" s="16" t="s">
        <v>66</v>
      </c>
      <c r="H57" s="14">
        <v>11.0</v>
      </c>
    </row>
    <row r="58" ht="15.75" customHeight="1">
      <c r="B58" s="10">
        <v>50.0</v>
      </c>
      <c r="C58" s="11" t="s">
        <v>50</v>
      </c>
      <c r="D58" s="16" t="s">
        <v>70</v>
      </c>
      <c r="E58" s="16" t="s">
        <v>77</v>
      </c>
      <c r="F58" s="16" t="s">
        <v>79</v>
      </c>
      <c r="G58" s="16" t="s">
        <v>66</v>
      </c>
      <c r="H58" s="14">
        <v>11.0</v>
      </c>
    </row>
    <row r="59" ht="15.75" customHeight="1">
      <c r="B59" s="10">
        <v>51.0</v>
      </c>
      <c r="C59" s="11" t="s">
        <v>50</v>
      </c>
      <c r="D59" s="16" t="s">
        <v>70</v>
      </c>
      <c r="E59" s="16" t="s">
        <v>77</v>
      </c>
      <c r="F59" s="16" t="s">
        <v>80</v>
      </c>
      <c r="G59" s="16" t="s">
        <v>66</v>
      </c>
      <c r="H59" s="14">
        <v>11.0</v>
      </c>
    </row>
    <row r="60" ht="15.75" customHeight="1">
      <c r="B60" s="10">
        <v>52.0</v>
      </c>
      <c r="C60" s="11" t="s">
        <v>50</v>
      </c>
      <c r="D60" s="16" t="s">
        <v>70</v>
      </c>
      <c r="E60" s="16" t="s">
        <v>77</v>
      </c>
      <c r="F60" s="16" t="s">
        <v>81</v>
      </c>
      <c r="G60" s="16" t="s">
        <v>66</v>
      </c>
      <c r="H60" s="14">
        <v>11.0</v>
      </c>
    </row>
    <row r="61" ht="15.75" customHeight="1">
      <c r="B61" s="10">
        <v>53.0</v>
      </c>
      <c r="C61" s="11" t="s">
        <v>50</v>
      </c>
      <c r="D61" s="16" t="s">
        <v>70</v>
      </c>
      <c r="E61" s="16" t="s">
        <v>77</v>
      </c>
      <c r="F61" s="16" t="s">
        <v>82</v>
      </c>
      <c r="G61" s="16" t="s">
        <v>66</v>
      </c>
      <c r="H61" s="14">
        <v>11.0</v>
      </c>
    </row>
    <row r="62" ht="15.75" customHeight="1">
      <c r="B62" s="10">
        <v>54.0</v>
      </c>
      <c r="C62" s="11" t="s">
        <v>50</v>
      </c>
      <c r="D62" s="16" t="s">
        <v>70</v>
      </c>
      <c r="E62" s="16" t="s">
        <v>77</v>
      </c>
      <c r="F62" s="16" t="s">
        <v>83</v>
      </c>
      <c r="G62" s="16" t="s">
        <v>66</v>
      </c>
      <c r="H62" s="14">
        <v>11.0</v>
      </c>
    </row>
    <row r="63" ht="15.75" customHeight="1">
      <c r="C63" s="17"/>
      <c r="H63" s="5"/>
    </row>
    <row r="64" ht="15.75" customHeight="1">
      <c r="C64" s="17"/>
      <c r="H64" s="5"/>
    </row>
    <row r="65" ht="15.75" customHeight="1">
      <c r="C65" s="17"/>
      <c r="H65" s="5"/>
    </row>
    <row r="66" ht="15.75" customHeight="1">
      <c r="C66" s="17"/>
      <c r="H66" s="5"/>
    </row>
    <row r="67" ht="15.75" customHeight="1">
      <c r="C67" s="17"/>
      <c r="H67" s="5"/>
    </row>
    <row r="68" ht="15.75" customHeight="1">
      <c r="C68" s="17"/>
      <c r="H68" s="5"/>
    </row>
    <row r="69" ht="15.75" customHeight="1">
      <c r="C69" s="17"/>
      <c r="H69" s="5"/>
    </row>
    <row r="70" ht="15.75" customHeight="1">
      <c r="C70" s="17"/>
      <c r="H70" s="5"/>
    </row>
    <row r="71" ht="15.75" customHeight="1">
      <c r="C71" s="17"/>
      <c r="H71" s="5"/>
    </row>
    <row r="72" ht="15.75" customHeight="1">
      <c r="C72" s="17"/>
      <c r="H72" s="5"/>
    </row>
    <row r="73" ht="15.75" customHeight="1">
      <c r="C73" s="17"/>
      <c r="H73" s="5"/>
    </row>
    <row r="74" ht="15.75" customHeight="1">
      <c r="C74" s="17"/>
      <c r="H74" s="5"/>
    </row>
    <row r="75" ht="15.75" customHeight="1">
      <c r="C75" s="17"/>
      <c r="H75" s="5"/>
    </row>
    <row r="76" ht="15.75" customHeight="1">
      <c r="C76" s="17"/>
      <c r="H76" s="5"/>
    </row>
    <row r="77" ht="15.75" customHeight="1">
      <c r="C77" s="17"/>
      <c r="H77" s="5"/>
    </row>
    <row r="78" ht="15.75" customHeight="1">
      <c r="C78" s="17"/>
      <c r="H78" s="5"/>
    </row>
    <row r="79" ht="15.75" customHeight="1">
      <c r="C79" s="17"/>
      <c r="H79" s="5"/>
    </row>
    <row r="80" ht="15.75" customHeight="1">
      <c r="C80" s="17"/>
      <c r="H80" s="5"/>
    </row>
    <row r="81" ht="15.75" customHeight="1">
      <c r="C81" s="17"/>
      <c r="H81" s="5"/>
    </row>
    <row r="82" ht="15.75" customHeight="1">
      <c r="C82" s="17"/>
      <c r="H82" s="5"/>
    </row>
    <row r="83" ht="15.75" customHeight="1">
      <c r="C83" s="17"/>
      <c r="H83" s="5"/>
    </row>
    <row r="84" ht="15.75" customHeight="1">
      <c r="C84" s="17"/>
      <c r="H84" s="5"/>
    </row>
    <row r="85" ht="15.75" customHeight="1">
      <c r="C85" s="17"/>
      <c r="H85" s="5"/>
    </row>
    <row r="86" ht="15.75" customHeight="1">
      <c r="C86" s="17"/>
      <c r="H86" s="5"/>
    </row>
    <row r="87" ht="15.75" customHeight="1">
      <c r="C87" s="17"/>
      <c r="H87" s="5"/>
    </row>
    <row r="88" ht="15.75" customHeight="1">
      <c r="C88" s="17"/>
      <c r="H88" s="5"/>
    </row>
    <row r="89" ht="15.75" customHeight="1">
      <c r="C89" s="17"/>
      <c r="H89" s="5"/>
    </row>
    <row r="90" ht="15.75" customHeight="1">
      <c r="C90" s="17"/>
      <c r="H90" s="5"/>
    </row>
    <row r="91" ht="15.75" customHeight="1">
      <c r="C91" s="17"/>
      <c r="H91" s="5"/>
    </row>
    <row r="92" ht="15.75" customHeight="1">
      <c r="C92" s="17"/>
      <c r="H92" s="5"/>
    </row>
    <row r="93" ht="15.75" customHeight="1">
      <c r="C93" s="17"/>
      <c r="H93" s="5"/>
    </row>
    <row r="94" ht="15.75" customHeight="1">
      <c r="C94" s="17"/>
      <c r="H94" s="5"/>
    </row>
    <row r="95" ht="15.75" customHeight="1">
      <c r="C95" s="17"/>
      <c r="H95" s="5"/>
    </row>
    <row r="96" ht="15.75" customHeight="1">
      <c r="C96" s="17"/>
      <c r="H96" s="5"/>
    </row>
    <row r="97" ht="15.75" customHeight="1">
      <c r="C97" s="17"/>
      <c r="H97" s="5"/>
    </row>
    <row r="98" ht="15.75" customHeight="1">
      <c r="C98" s="17"/>
      <c r="H98" s="5"/>
    </row>
    <row r="99" ht="15.75" customHeight="1">
      <c r="C99" s="17"/>
      <c r="H99" s="5"/>
    </row>
    <row r="100" ht="15.75" customHeight="1">
      <c r="C100" s="17"/>
      <c r="H100" s="5"/>
    </row>
    <row r="101" ht="15.75" customHeight="1">
      <c r="C101" s="17"/>
      <c r="H101" s="5"/>
    </row>
    <row r="102" ht="15.75" customHeight="1">
      <c r="C102" s="17"/>
      <c r="H102" s="5"/>
    </row>
    <row r="103" ht="15.75" customHeight="1">
      <c r="C103" s="17"/>
    </row>
    <row r="104" ht="15.75" customHeight="1">
      <c r="C104" s="17"/>
    </row>
    <row r="105" ht="15.75" customHeight="1">
      <c r="C105" s="17"/>
    </row>
    <row r="106" ht="15.75" customHeight="1">
      <c r="C106" s="17"/>
    </row>
    <row r="107" ht="15.75" customHeight="1">
      <c r="C107" s="17"/>
    </row>
    <row r="108" ht="15.75" customHeight="1">
      <c r="C108" s="17"/>
    </row>
    <row r="109" ht="15.75" customHeight="1">
      <c r="C109" s="17"/>
    </row>
    <row r="110" ht="15.75" customHeight="1">
      <c r="C110" s="17"/>
    </row>
    <row r="111" ht="15.75" customHeight="1">
      <c r="C111" s="17"/>
    </row>
    <row r="112" ht="15.75" customHeight="1">
      <c r="C112" s="17"/>
    </row>
    <row r="113" ht="15.75" customHeight="1">
      <c r="C113" s="17"/>
    </row>
    <row r="114" ht="15.75" customHeight="1">
      <c r="C114" s="17"/>
    </row>
    <row r="115" ht="15.75" customHeight="1">
      <c r="C115" s="17"/>
    </row>
    <row r="116" ht="15.75" customHeight="1">
      <c r="C116" s="17"/>
    </row>
    <row r="117" ht="15.75" customHeight="1">
      <c r="C117" s="17"/>
    </row>
    <row r="118" ht="15.75" customHeight="1">
      <c r="C118" s="17"/>
    </row>
    <row r="119" ht="15.75" customHeight="1">
      <c r="C119" s="17"/>
    </row>
    <row r="120" ht="15.75" customHeight="1">
      <c r="C120" s="17"/>
    </row>
    <row r="121" ht="15.75" customHeight="1">
      <c r="C121" s="17"/>
    </row>
    <row r="122" ht="15.75" customHeight="1">
      <c r="C122" s="17"/>
    </row>
    <row r="123" ht="15.75" customHeight="1">
      <c r="C123" s="17"/>
    </row>
    <row r="124" ht="15.75" customHeight="1">
      <c r="C124" s="17"/>
    </row>
    <row r="125" ht="15.75" customHeight="1">
      <c r="C125" s="17"/>
    </row>
    <row r="126" ht="15.75" customHeight="1">
      <c r="C126" s="17"/>
    </row>
    <row r="127" ht="15.75" customHeight="1">
      <c r="C127" s="17"/>
    </row>
    <row r="128" ht="15.75" customHeight="1">
      <c r="C128" s="17"/>
    </row>
    <row r="129" ht="15.75" customHeight="1">
      <c r="C129" s="17"/>
    </row>
    <row r="130" ht="15.75" customHeight="1">
      <c r="C130" s="17"/>
    </row>
    <row r="131" ht="15.75" customHeight="1">
      <c r="C131" s="17"/>
    </row>
    <row r="132" ht="15.75" customHeight="1">
      <c r="C132" s="17"/>
    </row>
    <row r="133" ht="15.75" customHeight="1">
      <c r="C133" s="17"/>
    </row>
    <row r="134" ht="15.75" customHeight="1">
      <c r="C134" s="17"/>
    </row>
    <row r="135" ht="15.75" customHeight="1">
      <c r="C135" s="17"/>
    </row>
    <row r="136" ht="15.75" customHeight="1">
      <c r="C136" s="17"/>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8" t="s">
        <v>1</v>
      </c>
      <c r="C4" s="19" t="str">
        <f>'Diseño'!C4</f>
        <v>283 - Análisis y Diseño de Sistemas 1</v>
      </c>
      <c r="D4" s="20"/>
      <c r="E4" s="20"/>
      <c r="F4" s="20"/>
      <c r="G4" s="21"/>
    </row>
    <row r="5" ht="15.75" customHeight="1">
      <c r="B5" s="22" t="s">
        <v>11</v>
      </c>
      <c r="C5" s="19">
        <v>1.0</v>
      </c>
      <c r="D5" s="20"/>
      <c r="E5" s="20"/>
      <c r="F5" s="20"/>
      <c r="G5" s="21"/>
    </row>
    <row r="6" ht="15.75" customHeight="1">
      <c r="B6" s="22" t="s">
        <v>84</v>
      </c>
      <c r="C6" s="19">
        <f>B15+B22+B29+B41+B47+C48+H32</f>
        <v>90</v>
      </c>
      <c r="D6" s="20"/>
      <c r="E6" s="20"/>
      <c r="F6" s="20"/>
      <c r="G6" s="21"/>
    </row>
    <row r="7" ht="15.75" customHeight="1"/>
    <row r="8" ht="15.75" customHeight="1">
      <c r="K8" s="23" t="s">
        <v>85</v>
      </c>
    </row>
    <row r="9" ht="15.75" customHeight="1">
      <c r="A9" s="24" t="s">
        <v>86</v>
      </c>
      <c r="G9" s="25" t="s">
        <v>87</v>
      </c>
      <c r="H9" s="26">
        <f>B15</f>
        <v>15</v>
      </c>
    </row>
    <row r="10" ht="15.75" customHeight="1">
      <c r="G10" s="27" t="s">
        <v>88</v>
      </c>
    </row>
    <row r="11" ht="24.75" customHeight="1">
      <c r="A11" s="28" t="s">
        <v>89</v>
      </c>
      <c r="B11" s="29" t="s">
        <v>90</v>
      </c>
      <c r="C11" s="20"/>
      <c r="D11" s="20"/>
      <c r="E11" s="20"/>
      <c r="F11" s="20"/>
      <c r="G11" s="20"/>
      <c r="H11" s="21"/>
    </row>
    <row r="12" ht="15.75" customHeight="1">
      <c r="A12" s="30" t="s">
        <v>91</v>
      </c>
      <c r="B12" s="29" t="s">
        <v>92</v>
      </c>
      <c r="C12" s="20"/>
      <c r="D12" s="20"/>
      <c r="E12" s="20"/>
      <c r="F12" s="20"/>
      <c r="G12" s="20"/>
      <c r="H12" s="21"/>
    </row>
    <row r="13" ht="15.75" customHeight="1">
      <c r="A13" s="31" t="s">
        <v>93</v>
      </c>
      <c r="B13" s="32" t="s">
        <v>94</v>
      </c>
      <c r="C13" s="20"/>
      <c r="D13" s="20"/>
      <c r="E13" s="20"/>
      <c r="F13" s="20"/>
      <c r="G13" s="20"/>
      <c r="H13" s="21"/>
    </row>
    <row r="14" ht="15.75" customHeight="1">
      <c r="A14" s="31" t="s">
        <v>95</v>
      </c>
      <c r="B14" s="32" t="s">
        <v>96</v>
      </c>
      <c r="C14" s="20"/>
      <c r="D14" s="20"/>
      <c r="E14" s="20"/>
      <c r="F14" s="20"/>
      <c r="G14" s="20"/>
      <c r="H14" s="21"/>
    </row>
    <row r="15" ht="15.75" customHeight="1">
      <c r="A15" s="33" t="s">
        <v>97</v>
      </c>
      <c r="B15" s="32">
        <v>15.0</v>
      </c>
      <c r="C15" s="20"/>
      <c r="D15" s="20"/>
      <c r="E15" s="20"/>
      <c r="F15" s="20"/>
      <c r="G15" s="20"/>
      <c r="H15" s="21"/>
    </row>
    <row r="16" ht="15.75" customHeight="1"/>
    <row r="17" ht="15.75" customHeight="1"/>
    <row r="18" ht="15.75" customHeight="1">
      <c r="A18" s="34" t="s">
        <v>98</v>
      </c>
      <c r="G18" s="25" t="s">
        <v>87</v>
      </c>
      <c r="H18" s="35">
        <v>20.0</v>
      </c>
    </row>
    <row r="19" ht="15.75" customHeight="1">
      <c r="G19" s="27" t="s">
        <v>99</v>
      </c>
      <c r="K19" s="23" t="s">
        <v>100</v>
      </c>
    </row>
    <row r="20" ht="15.75" customHeight="1">
      <c r="A20" s="28" t="s">
        <v>101</v>
      </c>
      <c r="B20" s="29" t="s">
        <v>102</v>
      </c>
      <c r="C20" s="20"/>
      <c r="D20" s="20"/>
      <c r="E20" s="20"/>
      <c r="F20" s="20"/>
      <c r="G20" s="20"/>
      <c r="H20" s="21"/>
    </row>
    <row r="21" ht="15.75" customHeight="1">
      <c r="A21" s="28" t="s">
        <v>103</v>
      </c>
      <c r="B21" s="29" t="s">
        <v>104</v>
      </c>
      <c r="C21" s="20"/>
      <c r="D21" s="20"/>
      <c r="E21" s="20"/>
      <c r="F21" s="20"/>
      <c r="G21" s="20"/>
      <c r="H21" s="21"/>
    </row>
    <row r="22" ht="15.75" customHeight="1">
      <c r="A22" s="33" t="s">
        <v>97</v>
      </c>
      <c r="B22" s="32">
        <v>15.0</v>
      </c>
      <c r="C22" s="20"/>
      <c r="D22" s="20"/>
      <c r="E22" s="20"/>
      <c r="F22" s="20"/>
      <c r="G22" s="20"/>
      <c r="H22" s="21"/>
    </row>
    <row r="23" ht="15.75" customHeight="1"/>
    <row r="24" ht="15.75" customHeight="1"/>
    <row r="25" ht="15.75" customHeight="1">
      <c r="A25" s="34" t="s">
        <v>105</v>
      </c>
      <c r="G25" s="36" t="s">
        <v>87</v>
      </c>
      <c r="H25" s="26">
        <f>B29</f>
        <v>10</v>
      </c>
    </row>
    <row r="26" ht="15.75" customHeight="1">
      <c r="G26" s="27" t="s">
        <v>106</v>
      </c>
      <c r="H26" s="27"/>
      <c r="I26" s="27"/>
      <c r="J26" s="27"/>
    </row>
    <row r="27" ht="39.75" customHeight="1">
      <c r="A27" s="28" t="s">
        <v>107</v>
      </c>
      <c r="B27" s="29" t="s">
        <v>108</v>
      </c>
      <c r="C27" s="20"/>
      <c r="D27" s="20"/>
      <c r="E27" s="20"/>
      <c r="F27" s="20"/>
      <c r="G27" s="20"/>
      <c r="H27" s="21"/>
      <c r="K27" s="23" t="s">
        <v>109</v>
      </c>
    </row>
    <row r="28" ht="69.75" customHeight="1">
      <c r="A28" s="28" t="s">
        <v>110</v>
      </c>
      <c r="B28" s="37" t="s">
        <v>111</v>
      </c>
      <c r="C28" s="20"/>
      <c r="D28" s="20"/>
      <c r="E28" s="20"/>
      <c r="F28" s="20"/>
      <c r="G28" s="20"/>
      <c r="H28" s="21"/>
    </row>
    <row r="29" ht="15.75" customHeight="1">
      <c r="A29" s="33" t="s">
        <v>97</v>
      </c>
      <c r="B29" s="32">
        <v>10.0</v>
      </c>
      <c r="C29" s="20"/>
      <c r="D29" s="20"/>
      <c r="E29" s="20"/>
      <c r="F29" s="20"/>
      <c r="G29" s="20"/>
      <c r="H29" s="21"/>
    </row>
    <row r="30" ht="15.75" customHeight="1"/>
    <row r="31" ht="15.75" customHeight="1"/>
    <row r="32" ht="15.75" customHeight="1">
      <c r="A32" s="34" t="s">
        <v>112</v>
      </c>
      <c r="G32" s="36" t="s">
        <v>87</v>
      </c>
      <c r="H32" s="26">
        <f>B36</f>
        <v>5</v>
      </c>
    </row>
    <row r="33" ht="15.75" customHeight="1">
      <c r="A33" s="6" t="s">
        <v>113</v>
      </c>
      <c r="G33" s="6" t="s">
        <v>114</v>
      </c>
    </row>
    <row r="34" ht="15.75" customHeight="1">
      <c r="A34" s="28" t="s">
        <v>115</v>
      </c>
      <c r="B34" s="38"/>
      <c r="C34" s="20"/>
      <c r="D34" s="20"/>
      <c r="E34" s="20"/>
      <c r="F34" s="20"/>
      <c r="G34" s="20"/>
      <c r="H34" s="21"/>
      <c r="K34" s="23" t="s">
        <v>116</v>
      </c>
    </row>
    <row r="35" ht="15.75" customHeight="1">
      <c r="A35" s="28" t="s">
        <v>117</v>
      </c>
      <c r="B35" s="29" t="s">
        <v>118</v>
      </c>
      <c r="C35" s="20"/>
      <c r="D35" s="20"/>
      <c r="E35" s="20"/>
      <c r="F35" s="20"/>
      <c r="G35" s="20"/>
      <c r="H35" s="21"/>
    </row>
    <row r="36" ht="15.75" customHeight="1">
      <c r="A36" s="33" t="s">
        <v>97</v>
      </c>
      <c r="B36" s="32">
        <v>5.0</v>
      </c>
      <c r="C36" s="20"/>
      <c r="D36" s="20"/>
      <c r="E36" s="20"/>
      <c r="F36" s="20"/>
      <c r="G36" s="20"/>
      <c r="H36" s="21"/>
    </row>
    <row r="37" ht="15.75" customHeight="1"/>
    <row r="38" ht="15.75" customHeight="1"/>
    <row r="39" ht="15.75" customHeight="1">
      <c r="A39" s="34" t="s">
        <v>119</v>
      </c>
      <c r="G39" s="36" t="s">
        <v>87</v>
      </c>
      <c r="H39" s="26">
        <f>B41</f>
        <v>30</v>
      </c>
    </row>
    <row r="40" ht="15.75" customHeight="1">
      <c r="G40" s="27" t="s">
        <v>120</v>
      </c>
    </row>
    <row r="41" ht="15.75" customHeight="1">
      <c r="A41" s="33" t="s">
        <v>97</v>
      </c>
      <c r="B41" s="32">
        <v>30.0</v>
      </c>
      <c r="C41" s="20"/>
      <c r="D41" s="20"/>
      <c r="E41" s="20"/>
      <c r="F41" s="20"/>
      <c r="G41" s="20"/>
      <c r="H41" s="21"/>
    </row>
    <row r="42" ht="15.75" customHeight="1"/>
    <row r="43" ht="15.75" customHeight="1"/>
    <row r="44" ht="15.75" customHeight="1">
      <c r="A44" s="34" t="s">
        <v>121</v>
      </c>
      <c r="G44" s="36" t="s">
        <v>87</v>
      </c>
      <c r="H44" s="26">
        <f>B47</f>
        <v>15</v>
      </c>
    </row>
    <row r="45" ht="15.75" customHeight="1">
      <c r="G45" s="27" t="s">
        <v>88</v>
      </c>
    </row>
    <row r="46" ht="15.75" customHeight="1">
      <c r="A46" s="28" t="s">
        <v>122</v>
      </c>
      <c r="B46" s="38"/>
      <c r="C46" s="20"/>
      <c r="D46" s="20"/>
      <c r="E46" s="20"/>
      <c r="F46" s="20"/>
      <c r="G46" s="20"/>
      <c r="H46" s="21"/>
    </row>
    <row r="47" ht="15.75" customHeight="1">
      <c r="A47" s="33" t="s">
        <v>97</v>
      </c>
      <c r="B47" s="32">
        <v>15.0</v>
      </c>
      <c r="C47" s="20"/>
      <c r="D47" s="20"/>
      <c r="E47" s="20"/>
      <c r="F47" s="20"/>
      <c r="G47" s="20"/>
      <c r="H47" s="21"/>
    </row>
    <row r="48" ht="15.75" customHeight="1"/>
    <row r="49" ht="15.75" customHeight="1"/>
    <row r="50" ht="15.75" customHeight="1"/>
    <row r="51" ht="15.75" customHeight="1"/>
    <row r="52" ht="15.75" customHeight="1">
      <c r="A52" s="16" t="s">
        <v>123</v>
      </c>
    </row>
    <row r="53" ht="15.75" customHeight="1">
      <c r="A53" s="39" t="s">
        <v>124</v>
      </c>
    </row>
    <row r="54" ht="15.75" customHeight="1">
      <c r="A54" s="39" t="s">
        <v>125</v>
      </c>
    </row>
    <row r="55" ht="15.75" customHeight="1">
      <c r="A55" s="40" t="s">
        <v>126</v>
      </c>
    </row>
    <row r="56" ht="15.75" customHeight="1">
      <c r="A56" s="40" t="s">
        <v>127</v>
      </c>
    </row>
    <row r="57" ht="15.75" customHeight="1">
      <c r="A57" s="41"/>
    </row>
    <row r="58" ht="15.75" customHeight="1">
      <c r="A58" s="40" t="s">
        <v>128</v>
      </c>
    </row>
    <row r="59" ht="15.75" customHeight="1">
      <c r="A59" s="40" t="s">
        <v>129</v>
      </c>
    </row>
    <row r="60" ht="15.75" customHeight="1">
      <c r="A60" s="40" t="s">
        <v>130</v>
      </c>
    </row>
    <row r="61" ht="15.75" customHeight="1">
      <c r="A61" s="40" t="s">
        <v>131</v>
      </c>
    </row>
    <row r="62" ht="15.75" customHeight="1">
      <c r="A62" s="41"/>
    </row>
    <row r="63" ht="15.75" customHeight="1">
      <c r="A63" s="40" t="s">
        <v>132</v>
      </c>
    </row>
    <row r="64" ht="15.75" customHeight="1">
      <c r="A64" s="40" t="s">
        <v>133</v>
      </c>
    </row>
    <row r="65" ht="15.75" customHeight="1">
      <c r="A65" s="40" t="s">
        <v>134</v>
      </c>
    </row>
    <row r="66" ht="15.75" customHeight="1">
      <c r="A66" s="40" t="s">
        <v>135</v>
      </c>
    </row>
    <row r="67" ht="15.75" customHeight="1">
      <c r="A67" s="41"/>
    </row>
    <row r="68" ht="15.75" customHeight="1">
      <c r="A68" s="40" t="s">
        <v>136</v>
      </c>
    </row>
    <row r="69" ht="15.75" customHeight="1">
      <c r="A69" s="40" t="s">
        <v>137</v>
      </c>
    </row>
    <row r="70" ht="15.75" customHeight="1">
      <c r="A70" s="40" t="s">
        <v>138</v>
      </c>
    </row>
    <row r="71" ht="15.75" customHeight="1">
      <c r="A71" s="40" t="s">
        <v>139</v>
      </c>
    </row>
    <row r="72" ht="15.75" customHeight="1">
      <c r="A72" s="41"/>
    </row>
    <row r="73" ht="15.75" customHeight="1">
      <c r="A73" s="40" t="s">
        <v>140</v>
      </c>
    </row>
    <row r="74" ht="15.75" customHeight="1">
      <c r="A74" s="40" t="s">
        <v>141</v>
      </c>
    </row>
    <row r="75" ht="15.75" customHeight="1">
      <c r="A75" s="40" t="s">
        <v>142</v>
      </c>
    </row>
    <row r="76" ht="15.75" customHeight="1">
      <c r="A76" s="40" t="s">
        <v>143</v>
      </c>
    </row>
    <row r="77" ht="15.75" customHeight="1"/>
    <row r="78" ht="15.75" customHeight="1">
      <c r="A78" s="39" t="s">
        <v>144</v>
      </c>
    </row>
    <row r="79" ht="15.75" customHeight="1">
      <c r="A79" s="39" t="s">
        <v>145</v>
      </c>
    </row>
    <row r="80" ht="15.75" customHeight="1">
      <c r="A80" s="40" t="s">
        <v>146</v>
      </c>
    </row>
    <row r="81" ht="15.75" customHeight="1">
      <c r="A81" s="40" t="s">
        <v>127</v>
      </c>
    </row>
    <row r="82" ht="15.75" customHeight="1">
      <c r="A82" s="41"/>
    </row>
    <row r="83" ht="15.75" customHeight="1">
      <c r="A83" s="40" t="s">
        <v>147</v>
      </c>
    </row>
    <row r="84" ht="15.75" customHeight="1">
      <c r="A84" s="40" t="s">
        <v>125</v>
      </c>
    </row>
    <row r="85" ht="15.75" customHeight="1">
      <c r="A85" s="40" t="s">
        <v>126</v>
      </c>
    </row>
    <row r="86" ht="15.75" customHeight="1">
      <c r="A86" s="40" t="s">
        <v>127</v>
      </c>
    </row>
    <row r="87" ht="15.75" customHeight="1">
      <c r="A87" s="41"/>
    </row>
    <row r="88" ht="15.75" customHeight="1">
      <c r="A88" s="40" t="s">
        <v>148</v>
      </c>
    </row>
    <row r="89" ht="15.75" customHeight="1">
      <c r="A89" s="40" t="s">
        <v>149</v>
      </c>
    </row>
    <row r="90" ht="15.75" customHeight="1">
      <c r="A90" s="40" t="s">
        <v>150</v>
      </c>
    </row>
    <row r="91" ht="15.75" customHeight="1">
      <c r="A91" s="40" t="s">
        <v>151</v>
      </c>
    </row>
    <row r="92" ht="15.75" customHeight="1">
      <c r="A92" s="41"/>
    </row>
    <row r="93" ht="15.75" customHeight="1">
      <c r="A93" s="40" t="s">
        <v>152</v>
      </c>
    </row>
    <row r="94" ht="15.75" customHeight="1">
      <c r="A94" s="40" t="s">
        <v>153</v>
      </c>
    </row>
    <row r="95" ht="15.75" customHeight="1">
      <c r="A95" s="40" t="s">
        <v>154</v>
      </c>
    </row>
    <row r="96" ht="15.75" customHeight="1">
      <c r="A96" s="40" t="s">
        <v>155</v>
      </c>
    </row>
    <row r="97" ht="15.75" customHeight="1">
      <c r="A97" s="41"/>
    </row>
    <row r="98" ht="15.75" customHeight="1">
      <c r="A98" s="40" t="s">
        <v>156</v>
      </c>
    </row>
    <row r="99" ht="15.75" customHeight="1">
      <c r="A99" s="40" t="s">
        <v>157</v>
      </c>
    </row>
    <row r="100" ht="15.75" customHeight="1">
      <c r="A100" s="40" t="s">
        <v>158</v>
      </c>
    </row>
    <row r="101" ht="15.75" customHeight="1">
      <c r="A101" s="40" t="s">
        <v>159</v>
      </c>
    </row>
    <row r="102" ht="15.75" customHeight="1">
      <c r="A102" s="41"/>
    </row>
    <row r="103" ht="15.75" customHeight="1">
      <c r="A103" s="40" t="s">
        <v>160</v>
      </c>
    </row>
    <row r="104" ht="15.75" customHeight="1">
      <c r="A104" s="40" t="s">
        <v>161</v>
      </c>
    </row>
    <row r="105" ht="15.75" customHeight="1">
      <c r="A105" s="40" t="s">
        <v>162</v>
      </c>
    </row>
    <row r="106" ht="15.75" customHeight="1">
      <c r="A106" s="40" t="s">
        <v>163</v>
      </c>
    </row>
    <row r="107" ht="15.75" customHeight="1">
      <c r="A107" s="41"/>
    </row>
    <row r="108" ht="15.75" customHeight="1">
      <c r="A108" s="40" t="s">
        <v>164</v>
      </c>
    </row>
    <row r="109" ht="15.75" customHeight="1">
      <c r="A109" s="40" t="s">
        <v>165</v>
      </c>
    </row>
    <row r="110" ht="15.75" customHeight="1">
      <c r="A110" s="40" t="s">
        <v>166</v>
      </c>
    </row>
    <row r="111" ht="15.75" customHeight="1">
      <c r="A111" s="40" t="s">
        <v>167</v>
      </c>
    </row>
    <row r="112" ht="15.75" customHeight="1">
      <c r="A112" s="41"/>
    </row>
    <row r="113" ht="15.75" customHeight="1">
      <c r="A113" s="40" t="s">
        <v>168</v>
      </c>
    </row>
    <row r="114" ht="15.75" customHeight="1">
      <c r="A114" s="40" t="s">
        <v>169</v>
      </c>
    </row>
    <row r="115" ht="15.75" customHeight="1">
      <c r="A115" s="40" t="s">
        <v>170</v>
      </c>
    </row>
    <row r="116" ht="15.75" customHeight="1">
      <c r="A116" s="40" t="s">
        <v>171</v>
      </c>
    </row>
    <row r="117" ht="15.75" customHeight="1">
      <c r="A117" s="41"/>
    </row>
    <row r="118" ht="15.75" customHeight="1">
      <c r="A118" s="40" t="s">
        <v>172</v>
      </c>
    </row>
    <row r="119" ht="15.75" customHeight="1">
      <c r="A119" s="40" t="s">
        <v>173</v>
      </c>
    </row>
    <row r="120" ht="15.75" customHeight="1">
      <c r="A120" s="40" t="s">
        <v>174</v>
      </c>
    </row>
    <row r="121" ht="15.75" customHeight="1">
      <c r="A121" s="40" t="s">
        <v>175</v>
      </c>
    </row>
    <row r="122" ht="15.75" customHeight="1">
      <c r="A122" s="41"/>
    </row>
    <row r="123" ht="15.75" customHeight="1">
      <c r="A123" s="40" t="s">
        <v>176</v>
      </c>
    </row>
    <row r="124" ht="15.75" customHeight="1">
      <c r="A124" s="40" t="s">
        <v>177</v>
      </c>
    </row>
    <row r="125" ht="15.75" customHeight="1">
      <c r="A125" s="40" t="s">
        <v>178</v>
      </c>
    </row>
    <row r="126" ht="15.75" customHeight="1">
      <c r="A126" s="40" t="s">
        <v>179</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2.0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24.0"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186</v>
      </c>
      <c r="C12" s="20"/>
      <c r="D12" s="20"/>
      <c r="E12" s="20"/>
      <c r="F12" s="20"/>
      <c r="G12" s="20"/>
      <c r="H12" s="21"/>
    </row>
    <row r="13" ht="15.75" customHeight="1">
      <c r="A13" s="33" t="s">
        <v>87</v>
      </c>
      <c r="B13" s="48">
        <v>3.0</v>
      </c>
      <c r="C13" s="20"/>
      <c r="D13" s="20"/>
      <c r="E13" s="20"/>
      <c r="F13" s="20"/>
      <c r="G13" s="20"/>
      <c r="H13" s="21"/>
    </row>
    <row r="14" ht="15.75" customHeight="1">
      <c r="A14" s="49" t="s">
        <v>187</v>
      </c>
      <c r="B14" s="20"/>
      <c r="C14" s="20"/>
      <c r="D14" s="20"/>
      <c r="E14" s="20"/>
      <c r="F14" s="20"/>
      <c r="G14" s="20"/>
      <c r="H14" s="21"/>
    </row>
    <row r="15" ht="15.75" customHeight="1">
      <c r="A15" s="50" t="s">
        <v>188</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190</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12</v>
      </c>
      <c r="C23" s="20"/>
      <c r="D23" s="20"/>
      <c r="E23" s="20"/>
      <c r="F23" s="20"/>
      <c r="G23" s="20"/>
      <c r="H23" s="21"/>
    </row>
    <row r="24" ht="15.75" customHeight="1">
      <c r="A24" s="31" t="s">
        <v>193</v>
      </c>
      <c r="B24" s="19"/>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13</v>
      </c>
      <c r="C28" s="21"/>
      <c r="D28" s="32" t="s">
        <v>14</v>
      </c>
      <c r="E28" s="21"/>
      <c r="F28" s="32" t="s">
        <v>15</v>
      </c>
      <c r="G28" s="20"/>
      <c r="H28" s="21"/>
    </row>
    <row r="29" ht="15.75" customHeight="1">
      <c r="A29" s="22">
        <v>2.0</v>
      </c>
      <c r="B29" s="32" t="s">
        <v>13</v>
      </c>
      <c r="C29" s="21"/>
      <c r="D29" s="32" t="s">
        <v>14</v>
      </c>
      <c r="E29" s="21"/>
      <c r="F29" s="32" t="s">
        <v>17</v>
      </c>
      <c r="G29" s="20"/>
      <c r="H29" s="21"/>
    </row>
    <row r="30" ht="15.75" customHeight="1">
      <c r="A30" s="22">
        <v>3.0</v>
      </c>
      <c r="B30" s="32" t="s">
        <v>13</v>
      </c>
      <c r="C30" s="21"/>
      <c r="D30" s="32" t="s">
        <v>14</v>
      </c>
      <c r="E30" s="21"/>
      <c r="F30" s="32" t="s">
        <v>18</v>
      </c>
      <c r="G30" s="20"/>
      <c r="H30" s="21"/>
    </row>
    <row r="31" ht="15.75" customHeight="1">
      <c r="A31" s="22">
        <v>4.0</v>
      </c>
      <c r="B31" s="32" t="s">
        <v>13</v>
      </c>
      <c r="C31" s="21"/>
      <c r="D31" s="32" t="s">
        <v>14</v>
      </c>
      <c r="E31" s="21"/>
      <c r="F31" s="32" t="s">
        <v>19</v>
      </c>
      <c r="G31" s="20"/>
      <c r="H31" s="21"/>
    </row>
    <row r="32" ht="15.75" customHeight="1">
      <c r="A32" s="22">
        <v>5.0</v>
      </c>
      <c r="B32" s="32" t="s">
        <v>13</v>
      </c>
      <c r="C32" s="21"/>
      <c r="D32" s="32" t="s">
        <v>14</v>
      </c>
      <c r="E32" s="21"/>
      <c r="F32" s="32" t="s">
        <v>20</v>
      </c>
      <c r="G32" s="20"/>
      <c r="H32" s="21"/>
    </row>
    <row r="33" ht="15.75" customHeight="1">
      <c r="A33" s="22">
        <v>6.0</v>
      </c>
      <c r="B33" s="32" t="s">
        <v>13</v>
      </c>
      <c r="C33" s="21"/>
      <c r="D33" s="32" t="s">
        <v>14</v>
      </c>
      <c r="E33" s="21"/>
      <c r="F33" s="32" t="s">
        <v>21</v>
      </c>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12</v>
      </c>
      <c r="C47" s="20"/>
      <c r="D47" s="20"/>
      <c r="E47" s="20"/>
      <c r="F47" s="20"/>
      <c r="G47" s="20"/>
      <c r="H47" s="21"/>
    </row>
    <row r="48" ht="15.75" customHeight="1">
      <c r="A48" s="31" t="s">
        <v>215</v>
      </c>
      <c r="B48" s="32" t="s">
        <v>216</v>
      </c>
      <c r="C48" s="20"/>
      <c r="D48" s="20"/>
      <c r="E48" s="20"/>
      <c r="F48" s="20"/>
      <c r="G48" s="20"/>
      <c r="H48" s="21"/>
    </row>
    <row r="49" ht="15.75" customHeight="1">
      <c r="A49" s="31" t="s">
        <v>181</v>
      </c>
      <c r="B49" s="62">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219</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62">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3.0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227</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228</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69" t="s">
        <v>229</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12</v>
      </c>
      <c r="C23" s="20"/>
      <c r="D23" s="20"/>
      <c r="E23" s="20"/>
      <c r="F23" s="20"/>
      <c r="G23" s="20"/>
      <c r="H23" s="21"/>
    </row>
    <row r="24" ht="15.75" customHeight="1">
      <c r="A24" s="31" t="s">
        <v>193</v>
      </c>
      <c r="B24" s="19"/>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13</v>
      </c>
      <c r="C28" s="21"/>
      <c r="D28" s="32" t="s">
        <v>22</v>
      </c>
      <c r="E28" s="21"/>
      <c r="F28" s="32" t="s">
        <v>15</v>
      </c>
      <c r="G28" s="20"/>
      <c r="H28" s="21"/>
    </row>
    <row r="29" ht="15.75" customHeight="1">
      <c r="A29" s="22">
        <v>2.0</v>
      </c>
      <c r="B29" s="32" t="s">
        <v>13</v>
      </c>
      <c r="C29" s="21"/>
      <c r="D29" s="32" t="s">
        <v>22</v>
      </c>
      <c r="E29" s="21"/>
      <c r="F29" s="32" t="s">
        <v>24</v>
      </c>
      <c r="G29" s="20"/>
      <c r="H29" s="21"/>
    </row>
    <row r="30" ht="15.75" customHeight="1">
      <c r="A30" s="22">
        <v>3.0</v>
      </c>
      <c r="B30" s="32" t="s">
        <v>13</v>
      </c>
      <c r="C30" s="21"/>
      <c r="D30" s="32" t="s">
        <v>22</v>
      </c>
      <c r="E30" s="21"/>
      <c r="F30" s="32" t="s">
        <v>25</v>
      </c>
      <c r="G30" s="20"/>
      <c r="H30" s="21"/>
    </row>
    <row r="31" ht="15.75" customHeight="1">
      <c r="A31" s="22">
        <v>4.0</v>
      </c>
      <c r="B31" s="32" t="s">
        <v>13</v>
      </c>
      <c r="C31" s="21"/>
      <c r="D31" s="32" t="s">
        <v>22</v>
      </c>
      <c r="E31" s="21"/>
      <c r="F31" s="32" t="s">
        <v>26</v>
      </c>
      <c r="G31" s="20"/>
      <c r="H31" s="21"/>
    </row>
    <row r="32" ht="15.75" customHeight="1">
      <c r="A32" s="22">
        <v>5.0</v>
      </c>
      <c r="B32" s="32" t="s">
        <v>13</v>
      </c>
      <c r="C32" s="21"/>
      <c r="D32" s="32" t="s">
        <v>22</v>
      </c>
      <c r="E32" s="21"/>
      <c r="F32" s="32" t="s">
        <v>27</v>
      </c>
      <c r="G32" s="20"/>
      <c r="H32" s="21"/>
    </row>
    <row r="33" ht="15.75" customHeight="1">
      <c r="A33" s="22">
        <v>6.0</v>
      </c>
      <c r="B33" s="32" t="s">
        <v>13</v>
      </c>
      <c r="C33" s="21"/>
      <c r="D33" s="32" t="s">
        <v>22</v>
      </c>
      <c r="E33" s="21"/>
      <c r="F33" s="32" t="s">
        <v>28</v>
      </c>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12</v>
      </c>
      <c r="C47" s="20"/>
      <c r="D47" s="20"/>
      <c r="E47" s="20"/>
      <c r="F47" s="20"/>
      <c r="G47" s="20"/>
      <c r="H47" s="21"/>
    </row>
    <row r="48" ht="15.75" customHeight="1">
      <c r="A48" s="31" t="s">
        <v>215</v>
      </c>
      <c r="B48" s="32" t="s">
        <v>216</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230</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4.0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231</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232</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71" t="s">
        <v>233</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12</v>
      </c>
      <c r="C23" s="20"/>
      <c r="D23" s="20"/>
      <c r="E23" s="20"/>
      <c r="F23" s="20"/>
      <c r="G23" s="20"/>
      <c r="H23" s="21"/>
    </row>
    <row r="24" ht="15.75" customHeight="1">
      <c r="A24" s="31" t="s">
        <v>193</v>
      </c>
      <c r="B24" s="19"/>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29</v>
      </c>
      <c r="C28" s="21"/>
      <c r="D28" s="32" t="s">
        <v>234</v>
      </c>
      <c r="E28" s="21"/>
      <c r="F28" s="32" t="s">
        <v>15</v>
      </c>
      <c r="G28" s="20"/>
      <c r="H28" s="21"/>
    </row>
    <row r="29" ht="15.75" customHeight="1">
      <c r="A29" s="22">
        <v>2.0</v>
      </c>
      <c r="B29" s="32" t="s">
        <v>29</v>
      </c>
      <c r="C29" s="21"/>
      <c r="D29" s="32" t="s">
        <v>234</v>
      </c>
      <c r="E29" s="21"/>
      <c r="F29" s="32" t="s">
        <v>31</v>
      </c>
      <c r="G29" s="20"/>
      <c r="H29" s="21"/>
    </row>
    <row r="30" ht="15.75" customHeight="1">
      <c r="A30" s="22">
        <v>3.0</v>
      </c>
      <c r="B30" s="32" t="s">
        <v>29</v>
      </c>
      <c r="C30" s="21"/>
      <c r="D30" s="32" t="s">
        <v>234</v>
      </c>
      <c r="E30" s="21"/>
      <c r="F30" s="32" t="s">
        <v>32</v>
      </c>
      <c r="G30" s="20"/>
      <c r="H30" s="21"/>
    </row>
    <row r="31" ht="15.75" customHeight="1">
      <c r="A31" s="22">
        <v>4.0</v>
      </c>
      <c r="B31" s="32" t="s">
        <v>29</v>
      </c>
      <c r="C31" s="21"/>
      <c r="D31" s="32" t="s">
        <v>234</v>
      </c>
      <c r="E31" s="21"/>
      <c r="F31" s="32" t="s">
        <v>33</v>
      </c>
      <c r="G31" s="20"/>
      <c r="H31" s="21"/>
    </row>
    <row r="32" ht="15.75" customHeight="1">
      <c r="A32" s="22">
        <v>5.0</v>
      </c>
      <c r="B32" s="32" t="s">
        <v>29</v>
      </c>
      <c r="C32" s="21"/>
      <c r="D32" s="32" t="s">
        <v>234</v>
      </c>
      <c r="E32" s="21"/>
      <c r="F32" s="32" t="s">
        <v>34</v>
      </c>
      <c r="G32" s="20"/>
      <c r="H32" s="21"/>
    </row>
    <row r="33" ht="15.75" customHeight="1">
      <c r="A33" s="22">
        <v>6.0</v>
      </c>
      <c r="B33" s="32"/>
      <c r="C33" s="21"/>
      <c r="D33" s="19"/>
      <c r="E33" s="21"/>
      <c r="F33" s="19"/>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57</v>
      </c>
      <c r="C47" s="20"/>
      <c r="D47" s="20"/>
      <c r="E47" s="20"/>
      <c r="F47" s="20"/>
      <c r="G47" s="20"/>
      <c r="H47" s="21"/>
    </row>
    <row r="48" ht="15.75" customHeight="1">
      <c r="A48" s="31" t="s">
        <v>215</v>
      </c>
      <c r="B48" s="32" t="s">
        <v>235</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236</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5.0</v>
      </c>
      <c r="D5" s="20"/>
      <c r="E5" s="20"/>
      <c r="F5" s="20"/>
      <c r="G5" s="21"/>
    </row>
    <row r="6" ht="15.75" customHeight="1">
      <c r="B6" s="44" t="s">
        <v>84</v>
      </c>
      <c r="C6" s="19">
        <f>H10+H21+H44+H68</f>
        <v>103</v>
      </c>
      <c r="D6" s="20"/>
      <c r="E6" s="20"/>
      <c r="F6" s="20"/>
      <c r="G6" s="21"/>
      <c r="I6" s="5"/>
    </row>
    <row r="7" ht="15.75" customHeight="1">
      <c r="B7" s="44" t="s">
        <v>181</v>
      </c>
      <c r="C7" s="19">
        <f>B49+B60</f>
        <v>3</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237</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71" t="s">
        <v>238</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239</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35</v>
      </c>
      <c r="C23" s="20"/>
      <c r="D23" s="20"/>
      <c r="E23" s="20"/>
      <c r="F23" s="20"/>
      <c r="G23" s="20"/>
      <c r="H23" s="21"/>
    </row>
    <row r="24" ht="15.75" customHeight="1">
      <c r="A24" s="31" t="s">
        <v>193</v>
      </c>
      <c r="B24" s="19"/>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36</v>
      </c>
      <c r="C28" s="21"/>
      <c r="D28" s="32" t="s">
        <v>37</v>
      </c>
      <c r="E28" s="21"/>
      <c r="F28" s="32" t="s">
        <v>15</v>
      </c>
      <c r="G28" s="20"/>
      <c r="H28" s="21"/>
    </row>
    <row r="29" ht="15.75" customHeight="1">
      <c r="A29" s="22">
        <v>2.0</v>
      </c>
      <c r="B29" s="32" t="s">
        <v>36</v>
      </c>
      <c r="C29" s="21"/>
      <c r="D29" s="32" t="s">
        <v>37</v>
      </c>
      <c r="E29" s="21"/>
      <c r="F29" s="32" t="s">
        <v>38</v>
      </c>
      <c r="G29" s="20"/>
      <c r="H29" s="21"/>
    </row>
    <row r="30" ht="15.75" customHeight="1">
      <c r="A30" s="22">
        <v>3.0</v>
      </c>
      <c r="B30" s="32" t="s">
        <v>36</v>
      </c>
      <c r="C30" s="21"/>
      <c r="D30" s="32" t="s">
        <v>37</v>
      </c>
      <c r="E30" s="21"/>
      <c r="F30" s="32" t="s">
        <v>39</v>
      </c>
      <c r="G30" s="20"/>
      <c r="H30" s="21"/>
    </row>
    <row r="31" ht="15.75" customHeight="1">
      <c r="A31" s="22">
        <v>4.0</v>
      </c>
      <c r="B31" s="32" t="s">
        <v>36</v>
      </c>
      <c r="C31" s="21"/>
      <c r="D31" s="32" t="s">
        <v>37</v>
      </c>
      <c r="E31" s="21"/>
      <c r="F31" s="32" t="s">
        <v>40</v>
      </c>
      <c r="G31" s="20"/>
      <c r="H31" s="21"/>
    </row>
    <row r="32" ht="15.75" customHeight="1">
      <c r="A32" s="22">
        <v>5.0</v>
      </c>
      <c r="B32" s="32" t="s">
        <v>36</v>
      </c>
      <c r="C32" s="21"/>
      <c r="D32" s="32" t="s">
        <v>37</v>
      </c>
      <c r="E32" s="21"/>
      <c r="F32" s="32" t="s">
        <v>41</v>
      </c>
      <c r="G32" s="20"/>
      <c r="H32" s="21"/>
    </row>
    <row r="33" ht="15.75" customHeight="1">
      <c r="A33" s="22">
        <v>6.0</v>
      </c>
      <c r="B33" s="32" t="s">
        <v>36</v>
      </c>
      <c r="C33" s="21"/>
      <c r="D33" s="32" t="s">
        <v>37</v>
      </c>
      <c r="E33" s="21"/>
      <c r="F33" s="32" t="s">
        <v>42</v>
      </c>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43</v>
      </c>
      <c r="C47" s="20"/>
      <c r="D47" s="20"/>
      <c r="E47" s="20"/>
      <c r="F47" s="20"/>
      <c r="G47" s="20"/>
      <c r="H47" s="21"/>
    </row>
    <row r="48" ht="15.75" customHeight="1">
      <c r="A48" s="31" t="s">
        <v>215</v>
      </c>
      <c r="B48" s="32" t="s">
        <v>216</v>
      </c>
      <c r="C48" s="20"/>
      <c r="D48" s="20"/>
      <c r="E48" s="20"/>
      <c r="F48" s="20"/>
      <c r="G48" s="20"/>
      <c r="H48" s="21"/>
    </row>
    <row r="49" ht="15.75" customHeight="1">
      <c r="A49" s="31" t="s">
        <v>181</v>
      </c>
      <c r="B49" s="70">
        <v>3.0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240</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6.0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241</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242</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243</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35</v>
      </c>
      <c r="C23" s="20"/>
      <c r="D23" s="20"/>
      <c r="E23" s="20"/>
      <c r="F23" s="20"/>
      <c r="G23" s="20"/>
      <c r="H23" s="21"/>
    </row>
    <row r="24" ht="15.75" customHeight="1">
      <c r="A24" s="31" t="s">
        <v>193</v>
      </c>
      <c r="B24" s="32" t="s">
        <v>43</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36</v>
      </c>
      <c r="C28" s="21"/>
      <c r="D28" s="32" t="s">
        <v>244</v>
      </c>
      <c r="E28" s="21"/>
      <c r="F28" s="32" t="s">
        <v>15</v>
      </c>
      <c r="G28" s="20"/>
      <c r="H28" s="21"/>
    </row>
    <row r="29" ht="15.75" customHeight="1">
      <c r="A29" s="22">
        <v>2.0</v>
      </c>
      <c r="B29" s="32" t="s">
        <v>36</v>
      </c>
      <c r="C29" s="21"/>
      <c r="D29" s="32" t="s">
        <v>244</v>
      </c>
      <c r="E29" s="21"/>
      <c r="F29" s="32" t="s">
        <v>45</v>
      </c>
      <c r="G29" s="20"/>
      <c r="H29" s="21"/>
    </row>
    <row r="30" ht="15.75" customHeight="1">
      <c r="A30" s="22">
        <v>3.0</v>
      </c>
      <c r="B30" s="32" t="s">
        <v>36</v>
      </c>
      <c r="C30" s="21"/>
      <c r="D30" s="32" t="s">
        <v>244</v>
      </c>
      <c r="E30" s="21"/>
      <c r="F30" s="32" t="s">
        <v>46</v>
      </c>
      <c r="G30" s="20"/>
      <c r="H30" s="21"/>
    </row>
    <row r="31" ht="15.75" customHeight="1">
      <c r="A31" s="22">
        <v>4.0</v>
      </c>
      <c r="B31" s="32" t="s">
        <v>36</v>
      </c>
      <c r="C31" s="21"/>
      <c r="D31" s="32" t="s">
        <v>244</v>
      </c>
      <c r="E31" s="21"/>
      <c r="F31" s="32" t="s">
        <v>47</v>
      </c>
      <c r="G31" s="20"/>
      <c r="H31" s="21"/>
    </row>
    <row r="32" ht="15.75" customHeight="1">
      <c r="A32" s="22">
        <v>5.0</v>
      </c>
      <c r="B32" s="32" t="s">
        <v>36</v>
      </c>
      <c r="C32" s="21"/>
      <c r="D32" s="32" t="s">
        <v>244</v>
      </c>
      <c r="E32" s="21"/>
      <c r="F32" s="32" t="s">
        <v>48</v>
      </c>
      <c r="G32" s="20"/>
      <c r="H32" s="21"/>
    </row>
    <row r="33" ht="15.75" customHeight="1">
      <c r="A33" s="22">
        <v>6.0</v>
      </c>
      <c r="B33" s="32" t="s">
        <v>36</v>
      </c>
      <c r="C33" s="21"/>
      <c r="D33" s="32" t="s">
        <v>244</v>
      </c>
      <c r="E33" s="21"/>
      <c r="F33" s="32" t="s">
        <v>49</v>
      </c>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50</v>
      </c>
      <c r="C47" s="20"/>
      <c r="D47" s="20"/>
      <c r="E47" s="20"/>
      <c r="F47" s="20"/>
      <c r="G47" s="20"/>
      <c r="H47" s="21"/>
    </row>
    <row r="48" ht="15.75" customHeight="1">
      <c r="A48" s="31" t="s">
        <v>215</v>
      </c>
      <c r="B48" s="32" t="s">
        <v>235</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245</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7.0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246</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247</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248</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50</v>
      </c>
      <c r="C23" s="20"/>
      <c r="D23" s="20"/>
      <c r="E23" s="20"/>
      <c r="F23" s="20"/>
      <c r="G23" s="20"/>
      <c r="H23" s="21"/>
    </row>
    <row r="24" ht="15.75" customHeight="1">
      <c r="A24" s="31" t="s">
        <v>193</v>
      </c>
      <c r="B24" s="32" t="s">
        <v>35</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36</v>
      </c>
      <c r="C28" s="21"/>
      <c r="D28" s="32" t="s">
        <v>51</v>
      </c>
      <c r="E28" s="21"/>
      <c r="F28" s="32" t="s">
        <v>52</v>
      </c>
      <c r="G28" s="20"/>
      <c r="H28" s="21"/>
    </row>
    <row r="29" ht="15.75" customHeight="1">
      <c r="A29" s="22">
        <v>2.0</v>
      </c>
      <c r="B29" s="32" t="s">
        <v>36</v>
      </c>
      <c r="C29" s="21"/>
      <c r="D29" s="32" t="s">
        <v>51</v>
      </c>
      <c r="E29" s="21"/>
      <c r="F29" s="32" t="s">
        <v>54</v>
      </c>
      <c r="G29" s="20"/>
      <c r="H29" s="21"/>
    </row>
    <row r="30" ht="15.75" customHeight="1">
      <c r="A30" s="22">
        <v>3.0</v>
      </c>
      <c r="B30" s="32" t="s">
        <v>36</v>
      </c>
      <c r="C30" s="21"/>
      <c r="D30" s="32" t="s">
        <v>51</v>
      </c>
      <c r="E30" s="21"/>
      <c r="F30" s="32" t="s">
        <v>55</v>
      </c>
      <c r="G30" s="20"/>
      <c r="H30" s="21"/>
    </row>
    <row r="31" ht="15.75" customHeight="1">
      <c r="A31" s="22">
        <v>4.0</v>
      </c>
      <c r="B31" s="32" t="s">
        <v>36</v>
      </c>
      <c r="C31" s="21"/>
      <c r="D31" s="32" t="s">
        <v>51</v>
      </c>
      <c r="E31" s="21"/>
      <c r="F31" s="32" t="s">
        <v>56</v>
      </c>
      <c r="G31" s="20"/>
      <c r="H31" s="21"/>
    </row>
    <row r="32" ht="15.75" customHeight="1">
      <c r="A32" s="22">
        <v>5.0</v>
      </c>
      <c r="B32" s="32"/>
      <c r="C32" s="21"/>
      <c r="D32" s="32"/>
      <c r="E32" s="21"/>
      <c r="F32" s="19"/>
      <c r="G32" s="20"/>
      <c r="H32" s="21"/>
    </row>
    <row r="33" ht="15.75" customHeight="1">
      <c r="A33" s="22">
        <v>6.0</v>
      </c>
      <c r="B33" s="32"/>
      <c r="C33" s="21"/>
      <c r="D33" s="19"/>
      <c r="E33" s="21"/>
      <c r="F33" s="19"/>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35</v>
      </c>
      <c r="C47" s="20"/>
      <c r="D47" s="20"/>
      <c r="E47" s="20"/>
      <c r="F47" s="20"/>
      <c r="G47" s="20"/>
      <c r="H47" s="21"/>
    </row>
    <row r="48" ht="15.75" customHeight="1">
      <c r="A48" s="31" t="s">
        <v>215</v>
      </c>
      <c r="B48" s="19" t="s">
        <v>249</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250</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8.0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237</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251</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252</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57</v>
      </c>
      <c r="C23" s="20"/>
      <c r="D23" s="20"/>
      <c r="E23" s="20"/>
      <c r="F23" s="20"/>
      <c r="G23" s="20"/>
      <c r="H23" s="21"/>
    </row>
    <row r="24" ht="15.75" customHeight="1">
      <c r="A24" s="31" t="s">
        <v>193</v>
      </c>
      <c r="B24" s="32" t="s">
        <v>64</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29</v>
      </c>
      <c r="C28" s="21"/>
      <c r="D28" s="32" t="s">
        <v>58</v>
      </c>
      <c r="E28" s="21"/>
      <c r="F28" s="32" t="s">
        <v>59</v>
      </c>
      <c r="G28" s="20"/>
      <c r="H28" s="21"/>
    </row>
    <row r="29" ht="15.75" customHeight="1">
      <c r="A29" s="22">
        <v>2.0</v>
      </c>
      <c r="B29" s="32" t="s">
        <v>29</v>
      </c>
      <c r="C29" s="21"/>
      <c r="D29" s="32" t="s">
        <v>58</v>
      </c>
      <c r="E29" s="21"/>
      <c r="F29" s="32" t="s">
        <v>60</v>
      </c>
      <c r="G29" s="20"/>
      <c r="H29" s="21"/>
    </row>
    <row r="30" ht="15.75" customHeight="1">
      <c r="A30" s="22">
        <v>3.0</v>
      </c>
      <c r="B30" s="32" t="s">
        <v>29</v>
      </c>
      <c r="C30" s="21"/>
      <c r="D30" s="32" t="s">
        <v>58</v>
      </c>
      <c r="E30" s="21"/>
      <c r="F30" s="32" t="s">
        <v>61</v>
      </c>
      <c r="G30" s="20"/>
      <c r="H30" s="21"/>
    </row>
    <row r="31" ht="15.75" customHeight="1">
      <c r="A31" s="22">
        <v>4.0</v>
      </c>
      <c r="B31" s="32" t="s">
        <v>29</v>
      </c>
      <c r="C31" s="21"/>
      <c r="D31" s="32" t="s">
        <v>58</v>
      </c>
      <c r="E31" s="21"/>
      <c r="F31" s="32" t="s">
        <v>62</v>
      </c>
      <c r="G31" s="20"/>
      <c r="H31" s="21"/>
    </row>
    <row r="32" ht="15.75" customHeight="1">
      <c r="A32" s="22">
        <v>5.0</v>
      </c>
      <c r="B32" s="32" t="s">
        <v>29</v>
      </c>
      <c r="C32" s="21"/>
      <c r="D32" s="32" t="s">
        <v>58</v>
      </c>
      <c r="E32" s="21"/>
      <c r="F32" s="32" t="s">
        <v>63</v>
      </c>
      <c r="G32" s="20"/>
      <c r="H32" s="21"/>
    </row>
    <row r="33" ht="15.75" customHeight="1">
      <c r="A33" s="22">
        <v>6.0</v>
      </c>
      <c r="B33" s="19"/>
      <c r="C33" s="21"/>
      <c r="E33" s="72"/>
      <c r="F33" s="19"/>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19" t="s">
        <v>253</v>
      </c>
      <c r="C47" s="20"/>
      <c r="D47" s="20"/>
      <c r="E47" s="20"/>
      <c r="F47" s="20"/>
      <c r="G47" s="20"/>
      <c r="H47" s="21"/>
    </row>
    <row r="48" ht="15.75" customHeight="1">
      <c r="A48" s="31" t="s">
        <v>215</v>
      </c>
      <c r="B48" s="32" t="s">
        <v>254</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255</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B47:H47"/>
    <mergeCell ref="B48:H48"/>
    <mergeCell ref="B49:H49"/>
    <mergeCell ref="B50:H50"/>
    <mergeCell ref="A52:H52"/>
    <mergeCell ref="A53:H55"/>
    <mergeCell ref="B58:H58"/>
    <mergeCell ref="A71:H71"/>
    <mergeCell ref="A72:H73"/>
    <mergeCell ref="B59:H59"/>
    <mergeCell ref="B60:H60"/>
    <mergeCell ref="B61:H61"/>
    <mergeCell ref="A63:H63"/>
    <mergeCell ref="A64:H66"/>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F33:H33"/>
    <mergeCell ref="B34:C34"/>
    <mergeCell ref="D34:E34"/>
    <mergeCell ref="F34:H34"/>
    <mergeCell ref="D38:H38"/>
    <mergeCell ref="D39:H39"/>
    <mergeCell ref="D40:H40"/>
    <mergeCell ref="D41:H41"/>
    <mergeCell ref="D42:H42"/>
    <mergeCell ref="A44:F44"/>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9.0</v>
      </c>
      <c r="D5" s="20"/>
      <c r="E5" s="20"/>
      <c r="F5" s="20"/>
      <c r="G5" s="21"/>
    </row>
    <row r="6" ht="15.75" customHeight="1">
      <c r="B6" s="44" t="s">
        <v>84</v>
      </c>
      <c r="C6" s="19">
        <f>H10+H21+H44+H68</f>
        <v>103</v>
      </c>
      <c r="D6" s="20"/>
      <c r="E6" s="20"/>
      <c r="F6" s="20"/>
      <c r="G6" s="21"/>
      <c r="I6" s="5"/>
    </row>
    <row r="7" ht="15.75" customHeight="1">
      <c r="B7" s="44" t="s">
        <v>181</v>
      </c>
      <c r="C7" s="19">
        <f>B49+B60</f>
        <v>1</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256</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257</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258</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64</v>
      </c>
      <c r="C23" s="20"/>
      <c r="D23" s="20"/>
      <c r="E23" s="20"/>
      <c r="F23" s="20"/>
      <c r="G23" s="20"/>
      <c r="H23" s="21"/>
    </row>
    <row r="24" ht="15.75" customHeight="1">
      <c r="A24" s="31" t="s">
        <v>193</v>
      </c>
      <c r="B24" s="32" t="s">
        <v>12</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29</v>
      </c>
      <c r="C28" s="21"/>
      <c r="D28" s="32" t="s">
        <v>58</v>
      </c>
      <c r="E28" s="21"/>
      <c r="F28" s="32" t="s">
        <v>65</v>
      </c>
      <c r="G28" s="20"/>
      <c r="H28" s="21"/>
    </row>
    <row r="29" ht="15.75" customHeight="1">
      <c r="A29" s="22">
        <v>2.0</v>
      </c>
      <c r="B29" s="32" t="s">
        <v>29</v>
      </c>
      <c r="C29" s="21"/>
      <c r="D29" s="32" t="s">
        <v>58</v>
      </c>
      <c r="E29" s="21"/>
      <c r="F29" s="32" t="s">
        <v>67</v>
      </c>
      <c r="G29" s="20"/>
      <c r="H29" s="21"/>
    </row>
    <row r="30" ht="15.75" customHeight="1">
      <c r="A30" s="22">
        <v>3.0</v>
      </c>
      <c r="B30" s="32" t="s">
        <v>29</v>
      </c>
      <c r="C30" s="21"/>
      <c r="D30" s="32" t="s">
        <v>58</v>
      </c>
      <c r="E30" s="21"/>
      <c r="F30" s="32" t="s">
        <v>68</v>
      </c>
      <c r="G30" s="20"/>
      <c r="H30" s="21"/>
    </row>
    <row r="31" ht="15.75" customHeight="1">
      <c r="A31" s="22">
        <v>4.0</v>
      </c>
      <c r="B31" s="32" t="s">
        <v>29</v>
      </c>
      <c r="C31" s="21"/>
      <c r="D31" s="32" t="s">
        <v>58</v>
      </c>
      <c r="E31" s="21"/>
      <c r="F31" s="32" t="s">
        <v>69</v>
      </c>
      <c r="G31" s="20"/>
      <c r="H31" s="21"/>
    </row>
    <row r="32" ht="15.75" customHeight="1">
      <c r="A32" s="22">
        <v>5.0</v>
      </c>
      <c r="B32" s="19"/>
      <c r="C32" s="21"/>
      <c r="D32" s="19"/>
      <c r="E32" s="21"/>
      <c r="F32" s="19"/>
      <c r="G32" s="20"/>
      <c r="H32" s="21"/>
    </row>
    <row r="33" ht="15.75" customHeight="1">
      <c r="A33" s="22">
        <v>6.0</v>
      </c>
      <c r="B33" s="19"/>
      <c r="C33" s="21"/>
      <c r="D33" s="19"/>
      <c r="E33" s="21"/>
      <c r="F33" s="19"/>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64</v>
      </c>
      <c r="C47" s="20"/>
      <c r="D47" s="20"/>
      <c r="E47" s="20"/>
      <c r="F47" s="20"/>
      <c r="G47" s="20"/>
      <c r="H47" s="21"/>
    </row>
    <row r="48" ht="15.75" customHeight="1">
      <c r="A48" s="31" t="s">
        <v>215</v>
      </c>
      <c r="B48" s="32" t="s">
        <v>235</v>
      </c>
      <c r="C48" s="20"/>
      <c r="D48" s="20"/>
      <c r="E48" s="20"/>
      <c r="F48" s="20"/>
      <c r="G48" s="20"/>
      <c r="H48" s="21"/>
    </row>
    <row r="49" ht="15.75" customHeight="1">
      <c r="A49" s="31" t="s">
        <v>181</v>
      </c>
      <c r="B49" s="70">
        <v>1.0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259</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10.0</v>
      </c>
      <c r="D5" s="20"/>
      <c r="E5" s="20"/>
      <c r="F5" s="20"/>
      <c r="G5" s="21"/>
    </row>
    <row r="6" ht="15.75" customHeight="1">
      <c r="B6" s="44" t="s">
        <v>84</v>
      </c>
      <c r="C6" s="19">
        <f>H10+H21+H44+H68</f>
        <v>103</v>
      </c>
      <c r="D6" s="20"/>
      <c r="E6" s="20"/>
      <c r="F6" s="20"/>
      <c r="G6" s="21"/>
      <c r="I6" s="5"/>
    </row>
    <row r="7" ht="15.75" customHeight="1">
      <c r="B7" s="44" t="s">
        <v>181</v>
      </c>
      <c r="C7" s="19">
        <f>B49+B60</f>
        <v>3</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237</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260</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261</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50</v>
      </c>
      <c r="C23" s="20"/>
      <c r="D23" s="20"/>
      <c r="E23" s="20"/>
      <c r="F23" s="20"/>
      <c r="G23" s="20"/>
      <c r="H23" s="21"/>
    </row>
    <row r="24" ht="15.75" customHeight="1">
      <c r="A24" s="31" t="s">
        <v>193</v>
      </c>
      <c r="B24" s="32" t="s">
        <v>57</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70</v>
      </c>
      <c r="C28" s="21"/>
      <c r="D28" s="32" t="s">
        <v>71</v>
      </c>
      <c r="E28" s="21"/>
      <c r="F28" s="32" t="s">
        <v>72</v>
      </c>
      <c r="G28" s="20"/>
      <c r="H28" s="21"/>
    </row>
    <row r="29" ht="15.75" customHeight="1">
      <c r="A29" s="22">
        <v>2.0</v>
      </c>
      <c r="B29" s="32" t="s">
        <v>70</v>
      </c>
      <c r="C29" s="21"/>
      <c r="D29" s="32" t="s">
        <v>71</v>
      </c>
      <c r="E29" s="21"/>
      <c r="F29" s="32" t="s">
        <v>73</v>
      </c>
      <c r="G29" s="20"/>
      <c r="H29" s="21"/>
    </row>
    <row r="30" ht="15.75" customHeight="1">
      <c r="A30" s="22">
        <v>3.0</v>
      </c>
      <c r="B30" s="32" t="s">
        <v>70</v>
      </c>
      <c r="C30" s="21"/>
      <c r="D30" s="32" t="s">
        <v>71</v>
      </c>
      <c r="E30" s="21"/>
      <c r="F30" s="32" t="s">
        <v>74</v>
      </c>
      <c r="G30" s="20"/>
      <c r="H30" s="21"/>
    </row>
    <row r="31" ht="15.75" customHeight="1">
      <c r="A31" s="22">
        <v>4.0</v>
      </c>
      <c r="B31" s="32" t="s">
        <v>70</v>
      </c>
      <c r="C31" s="21"/>
      <c r="D31" s="32" t="s">
        <v>71</v>
      </c>
      <c r="E31" s="21"/>
      <c r="F31" s="32" t="s">
        <v>75</v>
      </c>
      <c r="G31" s="20"/>
      <c r="H31" s="21"/>
    </row>
    <row r="32" ht="15.75" customHeight="1">
      <c r="A32" s="22">
        <v>5.0</v>
      </c>
      <c r="B32" s="32" t="s">
        <v>70</v>
      </c>
      <c r="C32" s="21"/>
      <c r="D32" s="32" t="s">
        <v>71</v>
      </c>
      <c r="E32" s="21"/>
      <c r="F32" s="32" t="s">
        <v>76</v>
      </c>
      <c r="G32" s="20"/>
      <c r="H32" s="21"/>
    </row>
    <row r="33" ht="15.75" customHeight="1">
      <c r="A33" s="22">
        <v>6.0</v>
      </c>
      <c r="B33" s="19"/>
      <c r="C33" s="21"/>
      <c r="D33" s="19"/>
      <c r="E33" s="21"/>
      <c r="F33" s="19"/>
      <c r="G33" s="20"/>
      <c r="H33" s="21"/>
    </row>
    <row r="34" ht="15.75" customHeight="1">
      <c r="A34" s="22">
        <v>7.0</v>
      </c>
      <c r="B34" s="19"/>
      <c r="C34" s="21"/>
      <c r="D34" s="19"/>
      <c r="E34" s="21"/>
      <c r="F34" s="19"/>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50</v>
      </c>
      <c r="C47" s="20"/>
      <c r="D47" s="20"/>
      <c r="E47" s="20"/>
      <c r="F47" s="20"/>
      <c r="G47" s="20"/>
      <c r="H47" s="21"/>
    </row>
    <row r="48" ht="15.75" customHeight="1">
      <c r="A48" s="31" t="s">
        <v>215</v>
      </c>
      <c r="B48" s="32" t="s">
        <v>216</v>
      </c>
      <c r="C48" s="20"/>
      <c r="D48" s="20"/>
      <c r="E48" s="20"/>
      <c r="F48" s="20"/>
      <c r="G48" s="20"/>
      <c r="H48" s="21"/>
    </row>
    <row r="49" ht="15.75" customHeight="1">
      <c r="A49" s="31" t="s">
        <v>181</v>
      </c>
      <c r="B49" s="70">
        <v>3.0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262</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180</v>
      </c>
    </row>
    <row r="3" ht="15.75" customHeight="1"/>
    <row r="4" ht="15.75" customHeight="1">
      <c r="B4" s="18" t="s">
        <v>1</v>
      </c>
      <c r="C4" s="43" t="str">
        <f>'Diseño'!C4</f>
        <v>283 - Análisis y Diseño de Sistemas 1</v>
      </c>
      <c r="D4" s="20"/>
      <c r="E4" s="20"/>
      <c r="F4" s="20"/>
      <c r="G4" s="21"/>
    </row>
    <row r="5" ht="15.75" customHeight="1">
      <c r="B5" s="22" t="s">
        <v>11</v>
      </c>
      <c r="C5" s="19">
        <v>11.0</v>
      </c>
      <c r="D5" s="20"/>
      <c r="E5" s="20"/>
      <c r="F5" s="20"/>
      <c r="G5" s="21"/>
    </row>
    <row r="6" ht="15.75" customHeight="1">
      <c r="B6" s="44" t="s">
        <v>84</v>
      </c>
      <c r="C6" s="19">
        <f>H10+H21+H44+H68</f>
        <v>103</v>
      </c>
      <c r="D6" s="20"/>
      <c r="E6" s="20"/>
      <c r="F6" s="20"/>
      <c r="G6" s="21"/>
      <c r="I6" s="5"/>
    </row>
    <row r="7" ht="15.75" customHeight="1">
      <c r="B7" s="44" t="s">
        <v>181</v>
      </c>
      <c r="C7" s="19">
        <f>B49+B60</f>
        <v>3</v>
      </c>
      <c r="D7" s="20"/>
      <c r="E7" s="20"/>
      <c r="F7" s="20"/>
      <c r="G7" s="21"/>
    </row>
    <row r="8" ht="15.75" customHeight="1">
      <c r="B8" s="44" t="s">
        <v>182</v>
      </c>
      <c r="C8" s="45" t="str">
        <f>IF(H44&lt;=0, "❌ ERROR: La Actividad 1 debe tener un tiempo mayor a 0.", IF(H21&gt;60, "❌ ERROR: El 'Área de Conocimiento' no puede exceder los 60 min.", IF((H10+H21+H44+H68)&lt;100, "❌ ERROR: El tiempo total debe ser de al menos 100 min.", "✅ VALIDACIÓN CORRECTA")))</f>
        <v>✅ VALIDACIÓN CORRECTA</v>
      </c>
      <c r="D8" s="20"/>
      <c r="E8" s="20"/>
      <c r="F8" s="20"/>
      <c r="G8" s="21"/>
      <c r="I8" s="5"/>
      <c r="J8" s="5"/>
      <c r="K8" s="5"/>
    </row>
    <row r="9" ht="15.75" customHeight="1"/>
    <row r="10" ht="15.75" customHeight="1">
      <c r="A10" s="46" t="s">
        <v>183</v>
      </c>
      <c r="G10" s="36" t="s">
        <v>87</v>
      </c>
      <c r="H10" s="47">
        <f>B13</f>
        <v>3</v>
      </c>
    </row>
    <row r="11" ht="15.75" customHeight="1">
      <c r="G11" s="27" t="s">
        <v>184</v>
      </c>
    </row>
    <row r="12" ht="15.75" customHeight="1">
      <c r="A12" s="31" t="s">
        <v>185</v>
      </c>
      <c r="B12" s="32" t="s">
        <v>263</v>
      </c>
      <c r="C12" s="20"/>
      <c r="D12" s="20"/>
      <c r="E12" s="20"/>
      <c r="F12" s="20"/>
      <c r="G12" s="20"/>
      <c r="H12" s="21"/>
    </row>
    <row r="13" ht="15.75" customHeight="1">
      <c r="A13" s="33" t="s">
        <v>87</v>
      </c>
      <c r="B13" s="32">
        <v>3.0</v>
      </c>
      <c r="C13" s="20"/>
      <c r="D13" s="20"/>
      <c r="E13" s="20"/>
      <c r="F13" s="20"/>
      <c r="G13" s="20"/>
      <c r="H13" s="21"/>
    </row>
    <row r="14" ht="15.75" customHeight="1">
      <c r="A14" s="49" t="s">
        <v>187</v>
      </c>
      <c r="B14" s="20"/>
      <c r="C14" s="20"/>
      <c r="D14" s="20"/>
      <c r="E14" s="20"/>
      <c r="F14" s="20"/>
      <c r="G14" s="20"/>
      <c r="H14" s="21"/>
    </row>
    <row r="15" ht="15.75" customHeight="1">
      <c r="A15" s="50" t="s">
        <v>264</v>
      </c>
      <c r="B15" s="51"/>
      <c r="C15" s="51"/>
      <c r="D15" s="51"/>
      <c r="E15" s="51"/>
      <c r="F15" s="51"/>
      <c r="G15" s="51"/>
      <c r="H15" s="52"/>
    </row>
    <row r="16" ht="15.75" customHeight="1">
      <c r="A16" s="53"/>
      <c r="B16" s="54"/>
      <c r="C16" s="54"/>
      <c r="D16" s="54"/>
      <c r="E16" s="54"/>
      <c r="F16" s="54"/>
      <c r="G16" s="54"/>
      <c r="H16" s="55"/>
    </row>
    <row r="17" ht="15.75" customHeight="1">
      <c r="A17" s="49" t="s">
        <v>189</v>
      </c>
      <c r="B17" s="20"/>
      <c r="C17" s="20"/>
      <c r="D17" s="20"/>
      <c r="E17" s="20"/>
      <c r="F17" s="20"/>
      <c r="G17" s="20"/>
      <c r="H17" s="21"/>
    </row>
    <row r="18" ht="15.75" customHeight="1">
      <c r="A18" s="50" t="s">
        <v>265</v>
      </c>
      <c r="B18" s="51"/>
      <c r="C18" s="51"/>
      <c r="D18" s="51"/>
      <c r="E18" s="51"/>
      <c r="F18" s="51"/>
      <c r="G18" s="51"/>
      <c r="H18" s="52"/>
    </row>
    <row r="19" ht="15.75" customHeight="1">
      <c r="A19" s="53"/>
      <c r="B19" s="54"/>
      <c r="C19" s="54"/>
      <c r="D19" s="54"/>
      <c r="E19" s="54"/>
      <c r="F19" s="54"/>
      <c r="G19" s="54"/>
      <c r="H19" s="55"/>
    </row>
    <row r="20" ht="15.75" customHeight="1"/>
    <row r="21" ht="15.75" customHeight="1">
      <c r="A21" s="46" t="s">
        <v>191</v>
      </c>
      <c r="G21" s="36" t="s">
        <v>87</v>
      </c>
      <c r="H21" s="47">
        <f>SUM(D39:H42)</f>
        <v>60</v>
      </c>
      <c r="I21" s="5"/>
    </row>
    <row r="22" ht="15.75" customHeight="1">
      <c r="G22" s="27" t="s">
        <v>192</v>
      </c>
    </row>
    <row r="23" ht="15.75" customHeight="1">
      <c r="A23" s="31" t="s">
        <v>193</v>
      </c>
      <c r="B23" s="32" t="s">
        <v>50</v>
      </c>
      <c r="C23" s="20"/>
      <c r="D23" s="20"/>
      <c r="E23" s="20"/>
      <c r="F23" s="20"/>
      <c r="G23" s="20"/>
      <c r="H23" s="21"/>
    </row>
    <row r="24" ht="15.75" customHeight="1">
      <c r="A24" s="31" t="s">
        <v>193</v>
      </c>
      <c r="B24" s="32" t="s">
        <v>57</v>
      </c>
      <c r="C24" s="20"/>
      <c r="D24" s="20"/>
      <c r="E24" s="20"/>
      <c r="F24" s="20"/>
      <c r="G24" s="20"/>
      <c r="H24" s="21"/>
    </row>
    <row r="25" ht="15.75" customHeight="1"/>
    <row r="26" ht="15.75" customHeight="1">
      <c r="A26" s="56" t="s">
        <v>194</v>
      </c>
      <c r="B26" s="5"/>
      <c r="C26" s="5"/>
      <c r="D26" s="5"/>
    </row>
    <row r="27" ht="15.75" customHeight="1">
      <c r="A27" s="57" t="s">
        <v>5</v>
      </c>
      <c r="B27" s="58" t="s">
        <v>195</v>
      </c>
      <c r="C27" s="21"/>
      <c r="D27" s="58" t="s">
        <v>196</v>
      </c>
      <c r="E27" s="21"/>
      <c r="F27" s="58" t="s">
        <v>197</v>
      </c>
      <c r="G27" s="20"/>
      <c r="H27" s="21"/>
    </row>
    <row r="28" ht="15.75" customHeight="1">
      <c r="A28" s="22">
        <v>1.0</v>
      </c>
      <c r="B28" s="32" t="s">
        <v>70</v>
      </c>
      <c r="C28" s="21"/>
      <c r="D28" s="32" t="s">
        <v>77</v>
      </c>
      <c r="E28" s="21"/>
      <c r="F28" s="32" t="s">
        <v>15</v>
      </c>
      <c r="G28" s="20"/>
      <c r="H28" s="21"/>
    </row>
    <row r="29" ht="15.75" customHeight="1">
      <c r="A29" s="22">
        <v>2.0</v>
      </c>
      <c r="B29" s="32" t="s">
        <v>70</v>
      </c>
      <c r="C29" s="21"/>
      <c r="D29" s="32" t="s">
        <v>77</v>
      </c>
      <c r="E29" s="21"/>
      <c r="F29" s="32" t="s">
        <v>78</v>
      </c>
      <c r="G29" s="20"/>
      <c r="H29" s="21"/>
    </row>
    <row r="30" ht="15.75" customHeight="1">
      <c r="A30" s="22">
        <v>3.0</v>
      </c>
      <c r="B30" s="32" t="s">
        <v>70</v>
      </c>
      <c r="C30" s="21"/>
      <c r="D30" s="32" t="s">
        <v>77</v>
      </c>
      <c r="E30" s="21"/>
      <c r="F30" s="32" t="s">
        <v>79</v>
      </c>
      <c r="G30" s="20"/>
      <c r="H30" s="21"/>
    </row>
    <row r="31" ht="15.75" customHeight="1">
      <c r="A31" s="22">
        <v>4.0</v>
      </c>
      <c r="B31" s="32" t="s">
        <v>70</v>
      </c>
      <c r="C31" s="21"/>
      <c r="D31" s="32" t="s">
        <v>77</v>
      </c>
      <c r="E31" s="21"/>
      <c r="F31" s="32" t="s">
        <v>80</v>
      </c>
      <c r="G31" s="20"/>
      <c r="H31" s="21"/>
    </row>
    <row r="32" ht="15.75" customHeight="1">
      <c r="A32" s="22">
        <v>5.0</v>
      </c>
      <c r="B32" s="32" t="s">
        <v>70</v>
      </c>
      <c r="C32" s="21"/>
      <c r="D32" s="32" t="s">
        <v>77</v>
      </c>
      <c r="E32" s="21"/>
      <c r="F32" s="32" t="s">
        <v>81</v>
      </c>
      <c r="G32" s="20"/>
      <c r="H32" s="21"/>
    </row>
    <row r="33" ht="15.75" customHeight="1">
      <c r="A33" s="22">
        <v>6.0</v>
      </c>
      <c r="B33" s="32" t="s">
        <v>70</v>
      </c>
      <c r="C33" s="21"/>
      <c r="D33" s="32" t="s">
        <v>77</v>
      </c>
      <c r="E33" s="21"/>
      <c r="F33" s="32" t="s">
        <v>82</v>
      </c>
      <c r="G33" s="20"/>
      <c r="H33" s="21"/>
    </row>
    <row r="34" ht="15.75" customHeight="1">
      <c r="A34" s="22">
        <v>7.0</v>
      </c>
      <c r="B34" s="32" t="s">
        <v>70</v>
      </c>
      <c r="C34" s="21"/>
      <c r="D34" s="32" t="s">
        <v>77</v>
      </c>
      <c r="E34" s="21"/>
      <c r="F34" s="32" t="s">
        <v>83</v>
      </c>
      <c r="G34" s="20"/>
      <c r="H34" s="21"/>
    </row>
    <row r="35" ht="15.75" customHeight="1"/>
    <row r="36" ht="15.75" customHeight="1">
      <c r="A36" s="56" t="s">
        <v>198</v>
      </c>
    </row>
    <row r="37" ht="15.75" customHeight="1">
      <c r="A37" s="5"/>
      <c r="B37" s="5"/>
      <c r="C37" s="5"/>
      <c r="D37" s="5"/>
      <c r="E37" s="5"/>
      <c r="F37" s="5"/>
      <c r="G37" s="5"/>
      <c r="H37" s="5"/>
    </row>
    <row r="38" ht="15.75" customHeight="1">
      <c r="A38" s="57" t="s">
        <v>199</v>
      </c>
      <c r="B38" s="57" t="s">
        <v>200</v>
      </c>
      <c r="C38" s="59" t="s">
        <v>201</v>
      </c>
      <c r="D38" s="60" t="s">
        <v>87</v>
      </c>
      <c r="E38" s="20"/>
      <c r="F38" s="20"/>
      <c r="G38" s="20"/>
      <c r="H38" s="21"/>
    </row>
    <row r="39" ht="15.75" customHeight="1">
      <c r="A39" s="22" t="s">
        <v>202</v>
      </c>
      <c r="B39" s="22" t="s">
        <v>203</v>
      </c>
      <c r="C39" s="61" t="s">
        <v>204</v>
      </c>
      <c r="D39" s="32">
        <v>30.0</v>
      </c>
      <c r="E39" s="20"/>
      <c r="F39" s="20"/>
      <c r="G39" s="20"/>
      <c r="H39" s="21"/>
    </row>
    <row r="40" ht="15.75" customHeight="1">
      <c r="A40" s="22" t="s">
        <v>205</v>
      </c>
      <c r="B40" s="22" t="s">
        <v>203</v>
      </c>
      <c r="C40" s="22" t="s">
        <v>206</v>
      </c>
      <c r="D40" s="32">
        <v>5.0</v>
      </c>
      <c r="E40" s="20"/>
      <c r="F40" s="20"/>
      <c r="G40" s="20"/>
      <c r="H40" s="21"/>
    </row>
    <row r="41" ht="15.75" customHeight="1">
      <c r="A41" s="22" t="s">
        <v>207</v>
      </c>
      <c r="B41" s="22" t="s">
        <v>208</v>
      </c>
      <c r="C41" s="22"/>
      <c r="D41" s="32">
        <v>0.0</v>
      </c>
      <c r="E41" s="20"/>
      <c r="F41" s="20"/>
      <c r="G41" s="20"/>
      <c r="H41" s="21"/>
    </row>
    <row r="42" ht="15.75" customHeight="1">
      <c r="A42" s="22" t="s">
        <v>209</v>
      </c>
      <c r="B42" s="22" t="s">
        <v>203</v>
      </c>
      <c r="C42" s="61" t="s">
        <v>210</v>
      </c>
      <c r="D42" s="32">
        <v>25.0</v>
      </c>
      <c r="E42" s="20"/>
      <c r="F42" s="20"/>
      <c r="G42" s="20"/>
      <c r="H42" s="21"/>
    </row>
    <row r="43" ht="15.75" customHeight="1"/>
    <row r="44" ht="15.75" customHeight="1">
      <c r="A44" s="46" t="s">
        <v>211</v>
      </c>
      <c r="G44" s="36" t="s">
        <v>87</v>
      </c>
      <c r="H44" s="47">
        <f>B50</f>
        <v>30</v>
      </c>
    </row>
    <row r="45" ht="15.75" customHeight="1">
      <c r="G45" s="27" t="s">
        <v>212</v>
      </c>
    </row>
    <row r="46" ht="15.75" customHeight="1">
      <c r="A46" s="27" t="s">
        <v>213</v>
      </c>
    </row>
    <row r="47">
      <c r="A47" s="31" t="s">
        <v>214</v>
      </c>
      <c r="B47" s="32" t="s">
        <v>50</v>
      </c>
      <c r="C47" s="20"/>
      <c r="D47" s="20"/>
      <c r="E47" s="20"/>
      <c r="F47" s="20"/>
      <c r="G47" s="20"/>
      <c r="H47" s="21"/>
    </row>
    <row r="48" ht="15.75" customHeight="1">
      <c r="A48" s="31" t="s">
        <v>215</v>
      </c>
      <c r="B48" s="32" t="s">
        <v>216</v>
      </c>
      <c r="C48" s="20"/>
      <c r="D48" s="20"/>
      <c r="E48" s="20"/>
      <c r="F48" s="20"/>
      <c r="G48" s="20"/>
      <c r="H48" s="21"/>
    </row>
    <row r="49" ht="15.75" customHeight="1">
      <c r="A49" s="31" t="s">
        <v>181</v>
      </c>
      <c r="B49" s="70">
        <v>3.0</v>
      </c>
      <c r="C49" s="20"/>
      <c r="D49" s="20"/>
      <c r="E49" s="20"/>
      <c r="F49" s="20"/>
      <c r="G49" s="20"/>
      <c r="H49" s="21"/>
    </row>
    <row r="50" ht="15.75" customHeight="1">
      <c r="A50" s="31" t="s">
        <v>87</v>
      </c>
      <c r="B50" s="32">
        <v>30.0</v>
      </c>
      <c r="C50" s="20"/>
      <c r="D50" s="20"/>
      <c r="E50" s="20"/>
      <c r="F50" s="20"/>
      <c r="G50" s="20"/>
      <c r="H50" s="21"/>
    </row>
    <row r="51" ht="15.75" customHeight="1">
      <c r="A51" s="63" t="s">
        <v>217</v>
      </c>
      <c r="B51" s="5"/>
      <c r="C51" s="5"/>
      <c r="D51" s="5"/>
      <c r="E51" s="5"/>
      <c r="F51" s="5"/>
      <c r="G51" s="5"/>
      <c r="H51" s="5"/>
    </row>
    <row r="52" ht="15.75" customHeight="1">
      <c r="A52" s="49" t="s">
        <v>218</v>
      </c>
      <c r="B52" s="20"/>
      <c r="C52" s="20"/>
      <c r="D52" s="20"/>
      <c r="E52" s="20"/>
      <c r="F52" s="20"/>
      <c r="G52" s="20"/>
      <c r="H52" s="21"/>
    </row>
    <row r="53" ht="15.75" customHeight="1">
      <c r="A53" s="50" t="s">
        <v>262</v>
      </c>
      <c r="B53" s="51"/>
      <c r="C53" s="51"/>
      <c r="D53" s="51"/>
      <c r="E53" s="51"/>
      <c r="F53" s="51"/>
      <c r="G53" s="51"/>
      <c r="H53" s="52"/>
    </row>
    <row r="54" ht="15.75" customHeight="1">
      <c r="A54" s="64"/>
      <c r="H54" s="65"/>
    </row>
    <row r="55" ht="15.75" customHeight="1">
      <c r="A55" s="53"/>
      <c r="B55" s="54"/>
      <c r="C55" s="54"/>
      <c r="D55" s="54"/>
      <c r="E55" s="54"/>
      <c r="F55" s="54"/>
      <c r="G55" s="54"/>
      <c r="H55" s="55"/>
    </row>
    <row r="56" ht="15.75" customHeight="1"/>
    <row r="57" ht="15.75" customHeight="1">
      <c r="A57" s="27" t="s">
        <v>220</v>
      </c>
    </row>
    <row r="58">
      <c r="A58" s="31" t="s">
        <v>214</v>
      </c>
      <c r="B58" s="19"/>
      <c r="C58" s="20"/>
      <c r="D58" s="20"/>
      <c r="E58" s="20"/>
      <c r="F58" s="20"/>
      <c r="G58" s="20"/>
      <c r="H58" s="21"/>
    </row>
    <row r="59" ht="15.75" customHeight="1">
      <c r="A59" s="31" t="s">
        <v>215</v>
      </c>
      <c r="B59" s="19"/>
      <c r="C59" s="20"/>
      <c r="D59" s="20"/>
      <c r="E59" s="20"/>
      <c r="F59" s="20"/>
      <c r="G59" s="20"/>
      <c r="H59" s="21"/>
    </row>
    <row r="60" ht="15.75" customHeight="1">
      <c r="A60" s="31" t="s">
        <v>181</v>
      </c>
      <c r="B60" s="66"/>
      <c r="C60" s="20"/>
      <c r="D60" s="20"/>
      <c r="E60" s="20"/>
      <c r="F60" s="20"/>
      <c r="G60" s="20"/>
      <c r="H60" s="21"/>
    </row>
    <row r="61" ht="15.75" customHeight="1">
      <c r="A61" s="31" t="s">
        <v>87</v>
      </c>
      <c r="B61" s="66"/>
      <c r="C61" s="20"/>
      <c r="D61" s="20"/>
      <c r="E61" s="20"/>
      <c r="F61" s="20"/>
      <c r="G61" s="20"/>
      <c r="H61" s="21"/>
    </row>
    <row r="62" ht="15.75" customHeight="1">
      <c r="A62" s="67" t="s">
        <v>221</v>
      </c>
      <c r="B62" s="5"/>
      <c r="C62" s="5"/>
      <c r="D62" s="5"/>
      <c r="E62" s="5"/>
      <c r="F62" s="5"/>
      <c r="G62" s="5"/>
      <c r="H62" s="5"/>
    </row>
    <row r="63" ht="15.75" customHeight="1">
      <c r="A63" s="49" t="s">
        <v>218</v>
      </c>
      <c r="B63" s="20"/>
      <c r="C63" s="20"/>
      <c r="D63" s="20"/>
      <c r="E63" s="20"/>
      <c r="F63" s="20"/>
      <c r="G63" s="20"/>
      <c r="H63" s="21"/>
    </row>
    <row r="64" ht="15.75" customHeight="1">
      <c r="A64" s="68"/>
      <c r="B64" s="51"/>
      <c r="C64" s="51"/>
      <c r="D64" s="51"/>
      <c r="E64" s="51"/>
      <c r="F64" s="51"/>
      <c r="G64" s="51"/>
      <c r="H64" s="52"/>
    </row>
    <row r="65" ht="15.75" customHeight="1">
      <c r="A65" s="64"/>
      <c r="H65" s="65"/>
    </row>
    <row r="66" ht="15.75" customHeight="1">
      <c r="A66" s="53"/>
      <c r="B66" s="54"/>
      <c r="C66" s="54"/>
      <c r="D66" s="54"/>
      <c r="E66" s="54"/>
      <c r="F66" s="54"/>
      <c r="G66" s="54"/>
      <c r="H66" s="55"/>
    </row>
    <row r="67" ht="15.75" customHeight="1"/>
    <row r="68" ht="15.75" customHeight="1">
      <c r="A68" s="46" t="s">
        <v>222</v>
      </c>
      <c r="G68" s="36" t="s">
        <v>87</v>
      </c>
      <c r="H68" s="47">
        <f>B70</f>
        <v>10</v>
      </c>
    </row>
    <row r="69" ht="15.75" customHeight="1">
      <c r="G69" s="27" t="s">
        <v>223</v>
      </c>
    </row>
    <row r="70" ht="15.75" customHeight="1">
      <c r="A70" s="31" t="s">
        <v>87</v>
      </c>
      <c r="B70" s="70">
        <v>10.0</v>
      </c>
      <c r="C70" s="20"/>
      <c r="D70" s="20"/>
      <c r="E70" s="20"/>
      <c r="F70" s="20"/>
      <c r="G70" s="20"/>
      <c r="H70" s="21"/>
    </row>
    <row r="71" ht="15.75" customHeight="1">
      <c r="A71" s="60" t="s">
        <v>224</v>
      </c>
      <c r="B71" s="20"/>
      <c r="C71" s="20"/>
      <c r="D71" s="20"/>
      <c r="E71" s="20"/>
      <c r="F71" s="20"/>
      <c r="G71" s="20"/>
      <c r="H71" s="21"/>
    </row>
    <row r="72" ht="15.75" customHeight="1">
      <c r="A72" s="50" t="s">
        <v>225</v>
      </c>
      <c r="B72" s="51"/>
      <c r="C72" s="51"/>
      <c r="D72" s="51"/>
      <c r="E72" s="51"/>
      <c r="F72" s="51"/>
      <c r="G72" s="51"/>
      <c r="H72" s="52"/>
    </row>
    <row r="73" ht="15.75" customHeight="1">
      <c r="A73" s="53"/>
      <c r="B73" s="54"/>
      <c r="C73" s="54"/>
      <c r="D73" s="54"/>
      <c r="E73" s="54"/>
      <c r="F73" s="54"/>
      <c r="G73" s="54"/>
      <c r="H73" s="55"/>
    </row>
    <row r="74" ht="15.75" customHeight="1">
      <c r="A74" s="27" t="s">
        <v>226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266</v>
      </c>
    </row>
    <row r="3" ht="15.75" customHeight="1"/>
    <row r="4" ht="15.75" customHeight="1">
      <c r="B4" s="18" t="s">
        <v>1</v>
      </c>
      <c r="C4" s="19" t="str">
        <f>'Diseño'!C4</f>
        <v>283 - Análisis y Diseño de Sistemas 1</v>
      </c>
      <c r="D4" s="20"/>
      <c r="E4" s="20"/>
      <c r="F4" s="20"/>
      <c r="G4" s="21"/>
    </row>
    <row r="5" ht="15.75" customHeight="1">
      <c r="B5" s="44" t="s">
        <v>84</v>
      </c>
      <c r="C5" s="19">
        <f>H9+H26+H43</f>
        <v>160</v>
      </c>
      <c r="D5" s="20"/>
      <c r="E5" s="20"/>
      <c r="F5" s="20"/>
      <c r="G5" s="21"/>
    </row>
    <row r="6" ht="15.75" customHeight="1">
      <c r="B6" s="44" t="s">
        <v>181</v>
      </c>
      <c r="C6" s="19">
        <f>F9+F26+F43</f>
        <v>50</v>
      </c>
      <c r="D6" s="20"/>
      <c r="E6" s="20"/>
      <c r="F6" s="20"/>
      <c r="G6" s="21"/>
    </row>
    <row r="7" ht="15.75" customHeight="1">
      <c r="B7" s="6" t="s">
        <v>267</v>
      </c>
    </row>
    <row r="8" ht="15.75" customHeight="1"/>
    <row r="9" ht="15.75" customHeight="1">
      <c r="A9" s="46" t="s">
        <v>268</v>
      </c>
      <c r="E9" s="36" t="s">
        <v>181</v>
      </c>
      <c r="F9" s="73">
        <v>23.0</v>
      </c>
      <c r="G9" s="36" t="s">
        <v>269</v>
      </c>
      <c r="H9" s="73">
        <v>50.0</v>
      </c>
    </row>
    <row r="10" ht="15.75" customHeight="1">
      <c r="A10" s="6" t="s">
        <v>203</v>
      </c>
    </row>
    <row r="11" ht="15.75" customHeight="1">
      <c r="A11" s="57" t="s">
        <v>193</v>
      </c>
      <c r="B11" s="32" t="s">
        <v>35</v>
      </c>
      <c r="C11" s="20"/>
      <c r="D11" s="20"/>
      <c r="E11" s="20"/>
      <c r="F11" s="20"/>
      <c r="G11" s="20"/>
      <c r="H11" s="21"/>
    </row>
    <row r="12" ht="15.75" customHeight="1">
      <c r="A12" s="57" t="s">
        <v>193</v>
      </c>
      <c r="B12" s="32" t="s">
        <v>64</v>
      </c>
      <c r="C12" s="20"/>
      <c r="D12" s="20"/>
      <c r="E12" s="20"/>
      <c r="F12" s="20"/>
      <c r="G12" s="20"/>
      <c r="H12" s="21"/>
    </row>
    <row r="13" ht="15.75" customHeight="1">
      <c r="A13" s="57" t="s">
        <v>193</v>
      </c>
      <c r="B13" s="32" t="s">
        <v>57</v>
      </c>
      <c r="C13" s="20"/>
      <c r="D13" s="20"/>
      <c r="E13" s="20"/>
      <c r="F13" s="20"/>
      <c r="G13" s="20"/>
      <c r="H13" s="21"/>
    </row>
    <row r="14" ht="15.75" customHeight="1">
      <c r="A14" s="57" t="s">
        <v>270</v>
      </c>
      <c r="B14" s="32" t="s">
        <v>271</v>
      </c>
      <c r="C14" s="20"/>
      <c r="D14" s="20"/>
      <c r="E14" s="20"/>
      <c r="F14" s="20"/>
      <c r="G14" s="20"/>
      <c r="H14" s="21"/>
    </row>
    <row r="15" ht="15.75" customHeight="1">
      <c r="A15" s="49" t="s">
        <v>272</v>
      </c>
      <c r="B15" s="20"/>
      <c r="C15" s="20"/>
      <c r="D15" s="20"/>
      <c r="E15" s="20"/>
      <c r="F15" s="20"/>
      <c r="G15" s="20"/>
      <c r="H15" s="21"/>
    </row>
    <row r="16" ht="15.75" customHeight="1">
      <c r="A16" s="50" t="s">
        <v>273</v>
      </c>
      <c r="B16" s="51"/>
      <c r="C16" s="51"/>
      <c r="D16" s="51"/>
      <c r="E16" s="51"/>
      <c r="F16" s="51"/>
      <c r="G16" s="51"/>
      <c r="H16" s="52"/>
    </row>
    <row r="17" ht="15.75" customHeight="1">
      <c r="A17" s="64"/>
      <c r="H17" s="65"/>
    </row>
    <row r="18" ht="15.75" customHeight="1">
      <c r="A18" s="53"/>
      <c r="B18" s="54"/>
      <c r="C18" s="54"/>
      <c r="D18" s="54"/>
      <c r="E18" s="54"/>
      <c r="F18" s="54"/>
      <c r="G18" s="54"/>
      <c r="H18" s="55"/>
    </row>
    <row r="19" ht="15.75" customHeight="1">
      <c r="A19" s="49" t="s">
        <v>274</v>
      </c>
      <c r="B19" s="20"/>
      <c r="C19" s="20"/>
      <c r="D19" s="20"/>
      <c r="E19" s="20"/>
      <c r="F19" s="20"/>
      <c r="G19" s="20"/>
      <c r="H19" s="21"/>
    </row>
    <row r="20" ht="15.75" customHeight="1">
      <c r="A20" s="71" t="s">
        <v>275</v>
      </c>
      <c r="B20" s="51"/>
      <c r="C20" s="51"/>
      <c r="D20" s="51"/>
      <c r="E20" s="51"/>
      <c r="F20" s="51"/>
      <c r="G20" s="51"/>
      <c r="H20" s="52"/>
    </row>
    <row r="21" ht="15.75" customHeight="1">
      <c r="A21" s="64"/>
      <c r="H21" s="65"/>
    </row>
    <row r="22" ht="15.75" customHeight="1">
      <c r="A22" s="64"/>
      <c r="H22" s="65"/>
    </row>
    <row r="23" ht="15.75" customHeight="1">
      <c r="A23" s="53"/>
      <c r="B23" s="54"/>
      <c r="C23" s="54"/>
      <c r="D23" s="54"/>
      <c r="E23" s="54"/>
      <c r="F23" s="54"/>
      <c r="G23" s="54"/>
      <c r="H23" s="55"/>
    </row>
    <row r="24" ht="15.75" customHeight="1"/>
    <row r="25" ht="15.75" customHeight="1"/>
    <row r="26" ht="15.75" customHeight="1">
      <c r="A26" s="46" t="s">
        <v>276</v>
      </c>
      <c r="E26" s="36" t="s">
        <v>181</v>
      </c>
      <c r="F26" s="73">
        <v>27.0</v>
      </c>
      <c r="G26" s="36" t="s">
        <v>269</v>
      </c>
      <c r="H26" s="73">
        <v>60.0</v>
      </c>
    </row>
    <row r="27" ht="15.75" customHeight="1">
      <c r="A27" s="6" t="s">
        <v>203</v>
      </c>
    </row>
    <row r="28" ht="15.75" customHeight="1">
      <c r="A28" s="57" t="s">
        <v>193</v>
      </c>
      <c r="B28" s="32" t="s">
        <v>50</v>
      </c>
      <c r="C28" s="20"/>
      <c r="D28" s="20"/>
      <c r="E28" s="20"/>
      <c r="F28" s="20"/>
      <c r="G28" s="20"/>
      <c r="H28" s="21"/>
    </row>
    <row r="29" ht="15.75" customHeight="1">
      <c r="A29" s="57" t="s">
        <v>193</v>
      </c>
      <c r="B29" s="32" t="s">
        <v>43</v>
      </c>
      <c r="C29" s="20"/>
      <c r="D29" s="20"/>
      <c r="E29" s="20"/>
      <c r="F29" s="20"/>
      <c r="G29" s="20"/>
      <c r="H29" s="21"/>
    </row>
    <row r="30" ht="15.75" customHeight="1">
      <c r="A30" s="57" t="s">
        <v>193</v>
      </c>
      <c r="B30" s="32" t="s">
        <v>57</v>
      </c>
      <c r="C30" s="20"/>
      <c r="D30" s="20"/>
      <c r="E30" s="20"/>
      <c r="F30" s="20"/>
      <c r="G30" s="20"/>
      <c r="H30" s="21"/>
    </row>
    <row r="31" ht="15.75" customHeight="1">
      <c r="A31" s="57" t="s">
        <v>270</v>
      </c>
      <c r="B31" s="32" t="s">
        <v>271</v>
      </c>
      <c r="C31" s="20"/>
      <c r="D31" s="20"/>
      <c r="E31" s="20"/>
      <c r="F31" s="20"/>
      <c r="G31" s="20"/>
      <c r="H31" s="21"/>
    </row>
    <row r="32" ht="15.75" customHeight="1">
      <c r="A32" s="49" t="s">
        <v>272</v>
      </c>
      <c r="B32" s="20"/>
      <c r="C32" s="20"/>
      <c r="D32" s="20"/>
      <c r="E32" s="20"/>
      <c r="F32" s="20"/>
      <c r="G32" s="20"/>
      <c r="H32" s="21"/>
    </row>
    <row r="33" ht="15.75" customHeight="1">
      <c r="A33" s="50" t="s">
        <v>277</v>
      </c>
      <c r="B33" s="51"/>
      <c r="C33" s="51"/>
      <c r="D33" s="51"/>
      <c r="E33" s="51"/>
      <c r="F33" s="51"/>
      <c r="G33" s="51"/>
      <c r="H33" s="52"/>
    </row>
    <row r="34" ht="15.75" customHeight="1">
      <c r="A34" s="64"/>
      <c r="H34" s="65"/>
    </row>
    <row r="35" ht="15.75" customHeight="1">
      <c r="A35" s="53"/>
      <c r="B35" s="54"/>
      <c r="C35" s="54"/>
      <c r="D35" s="54"/>
      <c r="E35" s="54"/>
      <c r="F35" s="54"/>
      <c r="G35" s="54"/>
      <c r="H35" s="55"/>
    </row>
    <row r="36" ht="15.75" customHeight="1">
      <c r="A36" s="49" t="s">
        <v>274</v>
      </c>
      <c r="B36" s="20"/>
      <c r="C36" s="20"/>
      <c r="D36" s="20"/>
      <c r="E36" s="20"/>
      <c r="F36" s="20"/>
      <c r="G36" s="20"/>
      <c r="H36" s="21"/>
    </row>
    <row r="37" ht="15.75" customHeight="1">
      <c r="A37" s="69" t="s">
        <v>278</v>
      </c>
      <c r="B37" s="51"/>
      <c r="C37" s="51"/>
      <c r="D37" s="51"/>
      <c r="E37" s="51"/>
      <c r="F37" s="51"/>
      <c r="G37" s="51"/>
      <c r="H37" s="52"/>
    </row>
    <row r="38" ht="15.75" customHeight="1">
      <c r="A38" s="64"/>
      <c r="H38" s="65"/>
    </row>
    <row r="39" ht="15.75" customHeight="1">
      <c r="A39" s="64"/>
      <c r="H39" s="65"/>
    </row>
    <row r="40" ht="15.75" customHeight="1">
      <c r="A40" s="53"/>
      <c r="B40" s="54"/>
      <c r="C40" s="54"/>
      <c r="D40" s="54"/>
      <c r="E40" s="54"/>
      <c r="F40" s="54"/>
      <c r="G40" s="54"/>
      <c r="H40" s="55"/>
    </row>
    <row r="41" ht="15.75" customHeight="1"/>
    <row r="42" ht="15.75" customHeight="1"/>
    <row r="43" ht="15.75" customHeight="1">
      <c r="A43" s="46" t="s">
        <v>279</v>
      </c>
      <c r="E43" s="36" t="s">
        <v>181</v>
      </c>
      <c r="F43" s="47"/>
      <c r="G43" s="36" t="s">
        <v>269</v>
      </c>
      <c r="H43" s="73">
        <v>50.0</v>
      </c>
    </row>
    <row r="44" ht="15.75" customHeight="1">
      <c r="A44" s="63" t="s">
        <v>280</v>
      </c>
    </row>
    <row r="45" ht="15.75" customHeight="1">
      <c r="A45" s="57" t="s">
        <v>193</v>
      </c>
      <c r="B45" s="19"/>
      <c r="C45" s="20"/>
      <c r="D45" s="20"/>
      <c r="E45" s="20"/>
      <c r="F45" s="20"/>
      <c r="G45" s="20"/>
      <c r="H45" s="21"/>
    </row>
    <row r="46" ht="15.75" customHeight="1">
      <c r="A46" s="57" t="s">
        <v>193</v>
      </c>
      <c r="B46" s="19"/>
      <c r="C46" s="20"/>
      <c r="D46" s="20"/>
      <c r="E46" s="20"/>
      <c r="F46" s="20"/>
      <c r="G46" s="20"/>
      <c r="H46" s="21"/>
    </row>
    <row r="47" ht="15.75" customHeight="1">
      <c r="A47" s="57" t="s">
        <v>193</v>
      </c>
      <c r="B47" s="19"/>
      <c r="C47" s="20"/>
      <c r="D47" s="20"/>
      <c r="E47" s="20"/>
      <c r="F47" s="20"/>
      <c r="G47" s="20"/>
      <c r="H47" s="21"/>
    </row>
    <row r="48" ht="15.75" customHeight="1">
      <c r="A48" s="57" t="s">
        <v>270</v>
      </c>
      <c r="B48" s="19"/>
      <c r="C48" s="20"/>
      <c r="D48" s="20"/>
      <c r="E48" s="20"/>
      <c r="F48" s="20"/>
      <c r="G48" s="20"/>
      <c r="H48" s="21"/>
    </row>
    <row r="49" ht="15.75" customHeight="1">
      <c r="A49" s="49" t="s">
        <v>272</v>
      </c>
      <c r="B49" s="20"/>
      <c r="C49" s="20"/>
      <c r="D49" s="20"/>
      <c r="E49" s="20"/>
      <c r="F49" s="20"/>
      <c r="G49" s="20"/>
      <c r="H49" s="21"/>
    </row>
    <row r="50" ht="15.75" customHeight="1">
      <c r="A50" s="68"/>
      <c r="B50" s="51"/>
      <c r="C50" s="51"/>
      <c r="D50" s="51"/>
      <c r="E50" s="51"/>
      <c r="F50" s="51"/>
      <c r="G50" s="51"/>
      <c r="H50" s="52"/>
    </row>
    <row r="51" ht="15.75" customHeight="1">
      <c r="A51" s="64"/>
      <c r="H51" s="65"/>
    </row>
    <row r="52" ht="15.75" customHeight="1">
      <c r="A52" s="53"/>
      <c r="B52" s="54"/>
      <c r="C52" s="54"/>
      <c r="D52" s="54"/>
      <c r="E52" s="54"/>
      <c r="F52" s="54"/>
      <c r="G52" s="54"/>
      <c r="H52" s="55"/>
    </row>
    <row r="53" ht="15.75" customHeight="1">
      <c r="A53" s="49" t="s">
        <v>274</v>
      </c>
      <c r="B53" s="20"/>
      <c r="C53" s="20"/>
      <c r="D53" s="20"/>
      <c r="E53" s="20"/>
      <c r="F53" s="20"/>
      <c r="G53" s="20"/>
      <c r="H53" s="21"/>
    </row>
    <row r="54" ht="15.75" customHeight="1">
      <c r="A54" s="68"/>
      <c r="B54" s="51"/>
      <c r="C54" s="51"/>
      <c r="D54" s="51"/>
      <c r="E54" s="51"/>
      <c r="F54" s="51"/>
      <c r="G54" s="51"/>
      <c r="H54" s="52"/>
    </row>
    <row r="55" ht="15.75" customHeight="1">
      <c r="A55" s="64"/>
      <c r="H55" s="65"/>
    </row>
    <row r="56" ht="15.75" customHeight="1">
      <c r="A56" s="64"/>
      <c r="H56" s="65"/>
    </row>
    <row r="57" ht="15.75" customHeight="1">
      <c r="A57" s="53"/>
      <c r="B57" s="54"/>
      <c r="C57" s="54"/>
      <c r="D57" s="54"/>
      <c r="E57" s="54"/>
      <c r="F57" s="54"/>
      <c r="G57" s="54"/>
      <c r="H57" s="55"/>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281</v>
      </c>
    </row>
    <row r="3" ht="15.75" customHeight="1"/>
    <row r="4" ht="15.75" customHeight="1">
      <c r="B4" s="18" t="s">
        <v>1</v>
      </c>
      <c r="C4" s="19" t="str">
        <f>'Diseño'!C4</f>
        <v>283 - Análisis y Diseño de Sistemas 1</v>
      </c>
      <c r="D4" s="20"/>
      <c r="E4" s="20"/>
      <c r="F4" s="20"/>
      <c r="G4" s="21"/>
    </row>
    <row r="5" ht="15.75" customHeight="1">
      <c r="B5" s="44" t="s">
        <v>84</v>
      </c>
      <c r="C5" s="19">
        <f>H9+H26+H43+H60+H77+H94+H111</f>
        <v>40</v>
      </c>
      <c r="D5" s="20"/>
      <c r="E5" s="20"/>
      <c r="F5" s="20"/>
      <c r="G5" s="21"/>
    </row>
    <row r="6" ht="15.75" customHeight="1">
      <c r="B6" s="44" t="s">
        <v>181</v>
      </c>
      <c r="C6" s="32">
        <v>26.0</v>
      </c>
      <c r="D6" s="20"/>
      <c r="E6" s="20"/>
      <c r="F6" s="20"/>
      <c r="G6" s="21"/>
    </row>
    <row r="7" ht="15.75" customHeight="1">
      <c r="B7" s="6" t="s">
        <v>282</v>
      </c>
    </row>
    <row r="8" ht="15.75" customHeight="1"/>
    <row r="9" ht="15.75" customHeight="1">
      <c r="A9" s="46" t="s">
        <v>283</v>
      </c>
      <c r="E9" s="36" t="s">
        <v>181</v>
      </c>
      <c r="F9" s="73">
        <v>16.0</v>
      </c>
      <c r="G9" s="36" t="s">
        <v>269</v>
      </c>
      <c r="H9" s="73">
        <v>40.0</v>
      </c>
    </row>
    <row r="10" ht="15.75" customHeight="1">
      <c r="A10" s="6" t="s">
        <v>284</v>
      </c>
    </row>
    <row r="11" ht="15.75" customHeight="1">
      <c r="A11" s="57" t="s">
        <v>193</v>
      </c>
      <c r="B11" s="32" t="s">
        <v>43</v>
      </c>
      <c r="C11" s="20"/>
      <c r="D11" s="20"/>
      <c r="E11" s="20"/>
      <c r="F11" s="20"/>
      <c r="G11" s="20"/>
      <c r="H11" s="21"/>
    </row>
    <row r="12" ht="15.75" customHeight="1">
      <c r="A12" s="57" t="s">
        <v>193</v>
      </c>
      <c r="B12" s="32" t="s">
        <v>57</v>
      </c>
      <c r="C12" s="20"/>
      <c r="D12" s="20"/>
      <c r="E12" s="20"/>
      <c r="F12" s="20"/>
      <c r="G12" s="20"/>
      <c r="H12" s="21"/>
    </row>
    <row r="13" ht="15.75" customHeight="1">
      <c r="A13" s="57" t="s">
        <v>193</v>
      </c>
      <c r="B13" s="19"/>
      <c r="C13" s="20"/>
      <c r="D13" s="20"/>
      <c r="E13" s="20"/>
      <c r="F13" s="20"/>
      <c r="G13" s="20"/>
      <c r="H13" s="21"/>
    </row>
    <row r="14" ht="15.75" customHeight="1">
      <c r="A14" s="57" t="s">
        <v>270</v>
      </c>
      <c r="B14" s="32" t="s">
        <v>285</v>
      </c>
      <c r="C14" s="20"/>
      <c r="D14" s="20"/>
      <c r="E14" s="20"/>
      <c r="F14" s="20"/>
      <c r="G14" s="20"/>
      <c r="H14" s="21"/>
    </row>
    <row r="15" ht="15.75" customHeight="1">
      <c r="A15" s="49" t="s">
        <v>272</v>
      </c>
      <c r="B15" s="20"/>
      <c r="C15" s="20"/>
      <c r="D15" s="20"/>
      <c r="E15" s="20"/>
      <c r="F15" s="20"/>
      <c r="G15" s="20"/>
      <c r="H15" s="21"/>
    </row>
    <row r="16" ht="15.75" customHeight="1">
      <c r="A16" s="50" t="s">
        <v>286</v>
      </c>
      <c r="B16" s="51"/>
      <c r="C16" s="51"/>
      <c r="D16" s="51"/>
      <c r="E16" s="51"/>
      <c r="F16" s="51"/>
      <c r="G16" s="51"/>
      <c r="H16" s="52"/>
    </row>
    <row r="17" ht="15.75" customHeight="1">
      <c r="A17" s="64"/>
      <c r="H17" s="65"/>
    </row>
    <row r="18" ht="15.75" customHeight="1">
      <c r="A18" s="53"/>
      <c r="B18" s="54"/>
      <c r="C18" s="54"/>
      <c r="D18" s="54"/>
      <c r="E18" s="54"/>
      <c r="F18" s="54"/>
      <c r="G18" s="54"/>
      <c r="H18" s="55"/>
    </row>
    <row r="19" ht="15.75" customHeight="1">
      <c r="A19" s="49" t="s">
        <v>274</v>
      </c>
      <c r="B19" s="20"/>
      <c r="C19" s="20"/>
      <c r="D19" s="20"/>
      <c r="E19" s="20"/>
      <c r="F19" s="20"/>
      <c r="G19" s="20"/>
      <c r="H19" s="21"/>
    </row>
    <row r="20" ht="32.25" customHeight="1">
      <c r="A20" s="69" t="s">
        <v>287</v>
      </c>
      <c r="B20" s="51"/>
      <c r="C20" s="51"/>
      <c r="D20" s="51"/>
      <c r="E20" s="51"/>
      <c r="F20" s="51"/>
      <c r="G20" s="51"/>
      <c r="H20" s="52"/>
    </row>
    <row r="21" ht="18.75" customHeight="1">
      <c r="A21" s="64"/>
      <c r="H21" s="65"/>
    </row>
    <row r="22" ht="23.25" customHeight="1">
      <c r="A22" s="64"/>
      <c r="H22" s="65"/>
    </row>
    <row r="23" ht="43.5" customHeight="1">
      <c r="A23" s="53"/>
      <c r="B23" s="54"/>
      <c r="C23" s="54"/>
      <c r="D23" s="54"/>
      <c r="E23" s="54"/>
      <c r="F23" s="54"/>
      <c r="G23" s="54"/>
      <c r="H23" s="55"/>
    </row>
    <row r="24" ht="15.75" customHeight="1"/>
    <row r="25" ht="15.75" customHeight="1"/>
    <row r="26" ht="15.75" customHeight="1">
      <c r="A26" s="46" t="s">
        <v>288</v>
      </c>
      <c r="E26" s="36" t="s">
        <v>181</v>
      </c>
      <c r="F26" s="47"/>
      <c r="G26" s="36" t="s">
        <v>269</v>
      </c>
      <c r="H26" s="47"/>
    </row>
    <row r="27" ht="15.75" customHeight="1">
      <c r="A27" s="63" t="s">
        <v>280</v>
      </c>
    </row>
    <row r="28" ht="15.75" customHeight="1">
      <c r="A28" s="57" t="s">
        <v>193</v>
      </c>
      <c r="B28" s="19"/>
      <c r="C28" s="20"/>
      <c r="D28" s="20"/>
      <c r="E28" s="20"/>
      <c r="F28" s="20"/>
      <c r="G28" s="20"/>
      <c r="H28" s="21"/>
    </row>
    <row r="29" ht="15.75" customHeight="1">
      <c r="A29" s="57" t="s">
        <v>193</v>
      </c>
      <c r="B29" s="19"/>
      <c r="C29" s="20"/>
      <c r="D29" s="20"/>
      <c r="E29" s="20"/>
      <c r="F29" s="20"/>
      <c r="G29" s="20"/>
      <c r="H29" s="21"/>
    </row>
    <row r="30" ht="15.75" customHeight="1">
      <c r="A30" s="57" t="s">
        <v>193</v>
      </c>
      <c r="B30" s="19"/>
      <c r="C30" s="20"/>
      <c r="D30" s="20"/>
      <c r="E30" s="20"/>
      <c r="F30" s="20"/>
      <c r="G30" s="20"/>
      <c r="H30" s="21"/>
    </row>
    <row r="31" ht="15.75" customHeight="1">
      <c r="A31" s="57" t="s">
        <v>270</v>
      </c>
      <c r="B31" s="19"/>
      <c r="C31" s="20"/>
      <c r="D31" s="20"/>
      <c r="E31" s="20"/>
      <c r="F31" s="20"/>
      <c r="G31" s="20"/>
      <c r="H31" s="21"/>
    </row>
    <row r="32" ht="15.75" customHeight="1">
      <c r="A32" s="49" t="s">
        <v>272</v>
      </c>
      <c r="B32" s="20"/>
      <c r="C32" s="20"/>
      <c r="D32" s="20"/>
      <c r="E32" s="20"/>
      <c r="F32" s="20"/>
      <c r="G32" s="20"/>
      <c r="H32" s="21"/>
    </row>
    <row r="33" ht="15.75" customHeight="1">
      <c r="A33" s="68"/>
      <c r="B33" s="51"/>
      <c r="C33" s="51"/>
      <c r="D33" s="51"/>
      <c r="E33" s="51"/>
      <c r="F33" s="51"/>
      <c r="G33" s="51"/>
      <c r="H33" s="52"/>
    </row>
    <row r="34" ht="15.75" customHeight="1">
      <c r="A34" s="64"/>
      <c r="H34" s="65"/>
    </row>
    <row r="35" ht="15.75" customHeight="1">
      <c r="A35" s="53"/>
      <c r="B35" s="54"/>
      <c r="C35" s="54"/>
      <c r="D35" s="54"/>
      <c r="E35" s="54"/>
      <c r="F35" s="54"/>
      <c r="G35" s="54"/>
      <c r="H35" s="55"/>
    </row>
    <row r="36" ht="15.75" customHeight="1">
      <c r="A36" s="49" t="s">
        <v>274</v>
      </c>
      <c r="B36" s="20"/>
      <c r="C36" s="20"/>
      <c r="D36" s="20"/>
      <c r="E36" s="20"/>
      <c r="F36" s="20"/>
      <c r="G36" s="20"/>
      <c r="H36" s="21"/>
    </row>
    <row r="37" ht="15.75" customHeight="1">
      <c r="A37" s="68"/>
      <c r="B37" s="51"/>
      <c r="C37" s="51"/>
      <c r="D37" s="51"/>
      <c r="E37" s="51"/>
      <c r="F37" s="51"/>
      <c r="G37" s="51"/>
      <c r="H37" s="52"/>
    </row>
    <row r="38" ht="15.75" customHeight="1">
      <c r="A38" s="64"/>
      <c r="H38" s="65"/>
    </row>
    <row r="39" ht="15.75" customHeight="1">
      <c r="A39" s="64"/>
      <c r="H39" s="65"/>
    </row>
    <row r="40" ht="15.75" customHeight="1">
      <c r="A40" s="53"/>
      <c r="B40" s="54"/>
      <c r="C40" s="54"/>
      <c r="D40" s="54"/>
      <c r="E40" s="54"/>
      <c r="F40" s="54"/>
      <c r="G40" s="54"/>
      <c r="H40" s="55"/>
    </row>
    <row r="41" ht="15.75" customHeight="1"/>
    <row r="42" ht="15.75" customHeight="1"/>
    <row r="43" ht="15.75" customHeight="1">
      <c r="A43" s="46" t="s">
        <v>289</v>
      </c>
      <c r="E43" s="36" t="s">
        <v>181</v>
      </c>
      <c r="F43" s="47"/>
      <c r="G43" s="36" t="s">
        <v>269</v>
      </c>
      <c r="H43" s="47"/>
    </row>
    <row r="44" ht="15.75" customHeight="1">
      <c r="A44" s="63" t="s">
        <v>280</v>
      </c>
    </row>
    <row r="45" ht="15.75" customHeight="1">
      <c r="A45" s="57" t="s">
        <v>193</v>
      </c>
      <c r="B45" s="19"/>
      <c r="C45" s="20"/>
      <c r="D45" s="20"/>
      <c r="E45" s="20"/>
      <c r="F45" s="20"/>
      <c r="G45" s="20"/>
      <c r="H45" s="21"/>
    </row>
    <row r="46" ht="15.75" customHeight="1">
      <c r="A46" s="57" t="s">
        <v>193</v>
      </c>
      <c r="B46" s="19"/>
      <c r="C46" s="20"/>
      <c r="D46" s="20"/>
      <c r="E46" s="20"/>
      <c r="F46" s="20"/>
      <c r="G46" s="20"/>
      <c r="H46" s="21"/>
    </row>
    <row r="47" ht="15.75" customHeight="1">
      <c r="A47" s="57" t="s">
        <v>193</v>
      </c>
      <c r="B47" s="19"/>
      <c r="C47" s="20"/>
      <c r="D47" s="20"/>
      <c r="E47" s="20"/>
      <c r="F47" s="20"/>
      <c r="G47" s="20"/>
      <c r="H47" s="21"/>
    </row>
    <row r="48" ht="15.75" customHeight="1">
      <c r="A48" s="57" t="s">
        <v>270</v>
      </c>
      <c r="B48" s="19"/>
      <c r="C48" s="20"/>
      <c r="D48" s="20"/>
      <c r="E48" s="20"/>
      <c r="F48" s="20"/>
      <c r="G48" s="20"/>
      <c r="H48" s="21"/>
    </row>
    <row r="49" ht="15.75" customHeight="1">
      <c r="A49" s="49" t="s">
        <v>272</v>
      </c>
      <c r="B49" s="20"/>
      <c r="C49" s="20"/>
      <c r="D49" s="20"/>
      <c r="E49" s="20"/>
      <c r="F49" s="20"/>
      <c r="G49" s="20"/>
      <c r="H49" s="21"/>
    </row>
    <row r="50" ht="15.75" customHeight="1">
      <c r="A50" s="68"/>
      <c r="B50" s="51"/>
      <c r="C50" s="51"/>
      <c r="D50" s="51"/>
      <c r="E50" s="51"/>
      <c r="F50" s="51"/>
      <c r="G50" s="51"/>
      <c r="H50" s="52"/>
    </row>
    <row r="51" ht="15.75" customHeight="1">
      <c r="A51" s="64"/>
      <c r="H51" s="65"/>
    </row>
    <row r="52" ht="15.75" customHeight="1">
      <c r="A52" s="53"/>
      <c r="B52" s="54"/>
      <c r="C52" s="54"/>
      <c r="D52" s="54"/>
      <c r="E52" s="54"/>
      <c r="F52" s="54"/>
      <c r="G52" s="54"/>
      <c r="H52" s="55"/>
    </row>
    <row r="53" ht="15.75" customHeight="1">
      <c r="A53" s="49" t="s">
        <v>274</v>
      </c>
      <c r="B53" s="20"/>
      <c r="C53" s="20"/>
      <c r="D53" s="20"/>
      <c r="E53" s="20"/>
      <c r="F53" s="20"/>
      <c r="G53" s="20"/>
      <c r="H53" s="21"/>
    </row>
    <row r="54" ht="15.75" customHeight="1">
      <c r="A54" s="68"/>
      <c r="B54" s="51"/>
      <c r="C54" s="51"/>
      <c r="D54" s="51"/>
      <c r="E54" s="51"/>
      <c r="F54" s="51"/>
      <c r="G54" s="51"/>
      <c r="H54" s="52"/>
    </row>
    <row r="55" ht="15.75" customHeight="1">
      <c r="A55" s="64"/>
      <c r="H55" s="65"/>
    </row>
    <row r="56" ht="15.75" customHeight="1">
      <c r="A56" s="64"/>
      <c r="H56" s="65"/>
    </row>
    <row r="57" ht="15.75" customHeight="1">
      <c r="A57" s="53"/>
      <c r="B57" s="54"/>
      <c r="C57" s="54"/>
      <c r="D57" s="54"/>
      <c r="E57" s="54"/>
      <c r="F57" s="54"/>
      <c r="G57" s="54"/>
      <c r="H57" s="55"/>
    </row>
    <row r="58" ht="15.75" customHeight="1"/>
    <row r="59" ht="15.75" customHeight="1"/>
    <row r="60" ht="15.75" customHeight="1">
      <c r="A60" s="46" t="s">
        <v>290</v>
      </c>
      <c r="E60" s="36" t="s">
        <v>181</v>
      </c>
      <c r="F60" s="47"/>
      <c r="G60" s="36" t="s">
        <v>269</v>
      </c>
      <c r="H60" s="47"/>
    </row>
    <row r="61" ht="15.75" customHeight="1">
      <c r="A61" s="63" t="s">
        <v>280</v>
      </c>
    </row>
    <row r="62" ht="15.75" customHeight="1">
      <c r="A62" s="57" t="s">
        <v>193</v>
      </c>
      <c r="B62" s="19"/>
      <c r="C62" s="20"/>
      <c r="D62" s="20"/>
      <c r="E62" s="20"/>
      <c r="F62" s="20"/>
      <c r="G62" s="20"/>
      <c r="H62" s="21"/>
    </row>
    <row r="63" ht="15.75" customHeight="1">
      <c r="A63" s="57" t="s">
        <v>193</v>
      </c>
      <c r="B63" s="19"/>
      <c r="C63" s="20"/>
      <c r="D63" s="20"/>
      <c r="E63" s="20"/>
      <c r="F63" s="20"/>
      <c r="G63" s="20"/>
      <c r="H63" s="21"/>
    </row>
    <row r="64" ht="15.75" customHeight="1">
      <c r="A64" s="57" t="s">
        <v>193</v>
      </c>
      <c r="B64" s="19"/>
      <c r="C64" s="20"/>
      <c r="D64" s="20"/>
      <c r="E64" s="20"/>
      <c r="F64" s="20"/>
      <c r="G64" s="20"/>
      <c r="H64" s="21"/>
    </row>
    <row r="65" ht="15.75" customHeight="1">
      <c r="A65" s="57" t="s">
        <v>270</v>
      </c>
      <c r="B65" s="19"/>
      <c r="C65" s="20"/>
      <c r="D65" s="20"/>
      <c r="E65" s="20"/>
      <c r="F65" s="20"/>
      <c r="G65" s="20"/>
      <c r="H65" s="21"/>
    </row>
    <row r="66" ht="15.75" customHeight="1">
      <c r="A66" s="49" t="s">
        <v>272</v>
      </c>
      <c r="B66" s="20"/>
      <c r="C66" s="20"/>
      <c r="D66" s="20"/>
      <c r="E66" s="20"/>
      <c r="F66" s="20"/>
      <c r="G66" s="20"/>
      <c r="H66" s="21"/>
    </row>
    <row r="67" ht="15.75" customHeight="1">
      <c r="A67" s="68"/>
      <c r="B67" s="51"/>
      <c r="C67" s="51"/>
      <c r="D67" s="51"/>
      <c r="E67" s="51"/>
      <c r="F67" s="51"/>
      <c r="G67" s="51"/>
      <c r="H67" s="52"/>
    </row>
    <row r="68" ht="15.75" customHeight="1">
      <c r="A68" s="64"/>
      <c r="H68" s="65"/>
    </row>
    <row r="69" ht="15.75" customHeight="1">
      <c r="A69" s="53"/>
      <c r="B69" s="54"/>
      <c r="C69" s="54"/>
      <c r="D69" s="54"/>
      <c r="E69" s="54"/>
      <c r="F69" s="54"/>
      <c r="G69" s="54"/>
      <c r="H69" s="55"/>
    </row>
    <row r="70" ht="15.75" customHeight="1">
      <c r="A70" s="49" t="s">
        <v>274</v>
      </c>
      <c r="B70" s="20"/>
      <c r="C70" s="20"/>
      <c r="D70" s="20"/>
      <c r="E70" s="20"/>
      <c r="F70" s="20"/>
      <c r="G70" s="20"/>
      <c r="H70" s="21"/>
    </row>
    <row r="71" ht="15.75" customHeight="1">
      <c r="A71" s="68"/>
      <c r="B71" s="51"/>
      <c r="C71" s="51"/>
      <c r="D71" s="51"/>
      <c r="E71" s="51"/>
      <c r="F71" s="51"/>
      <c r="G71" s="51"/>
      <c r="H71" s="52"/>
    </row>
    <row r="72" ht="15.75" customHeight="1">
      <c r="A72" s="64"/>
      <c r="H72" s="65"/>
    </row>
    <row r="73" ht="15.75" customHeight="1">
      <c r="A73" s="64"/>
      <c r="H73" s="65"/>
    </row>
    <row r="74" ht="15.75" customHeight="1">
      <c r="A74" s="53"/>
      <c r="B74" s="54"/>
      <c r="C74" s="54"/>
      <c r="D74" s="54"/>
      <c r="E74" s="54"/>
      <c r="F74" s="54"/>
      <c r="G74" s="54"/>
      <c r="H74" s="55"/>
    </row>
    <row r="75" ht="15.75" customHeight="1"/>
    <row r="76" ht="15.75" customHeight="1"/>
    <row r="77" ht="15.75" customHeight="1">
      <c r="A77" s="46" t="s">
        <v>291</v>
      </c>
      <c r="E77" s="36" t="s">
        <v>181</v>
      </c>
      <c r="F77" s="47"/>
      <c r="G77" s="36" t="s">
        <v>269</v>
      </c>
      <c r="H77" s="47"/>
    </row>
    <row r="78" ht="15.75" customHeight="1">
      <c r="A78" s="63" t="s">
        <v>280</v>
      </c>
    </row>
    <row r="79" ht="15.75" customHeight="1">
      <c r="A79" s="57" t="s">
        <v>193</v>
      </c>
      <c r="B79" s="19"/>
      <c r="C79" s="20"/>
      <c r="D79" s="20"/>
      <c r="E79" s="20"/>
      <c r="F79" s="20"/>
      <c r="G79" s="20"/>
      <c r="H79" s="21"/>
    </row>
    <row r="80" ht="15.75" customHeight="1">
      <c r="A80" s="57" t="s">
        <v>193</v>
      </c>
      <c r="B80" s="19"/>
      <c r="C80" s="20"/>
      <c r="D80" s="20"/>
      <c r="E80" s="20"/>
      <c r="F80" s="20"/>
      <c r="G80" s="20"/>
      <c r="H80" s="21"/>
    </row>
    <row r="81" ht="15.75" customHeight="1">
      <c r="A81" s="57" t="s">
        <v>193</v>
      </c>
      <c r="B81" s="19"/>
      <c r="C81" s="20"/>
      <c r="D81" s="20"/>
      <c r="E81" s="20"/>
      <c r="F81" s="20"/>
      <c r="G81" s="20"/>
      <c r="H81" s="21"/>
    </row>
    <row r="82" ht="15.75" customHeight="1">
      <c r="A82" s="57" t="s">
        <v>270</v>
      </c>
      <c r="B82" s="19"/>
      <c r="C82" s="20"/>
      <c r="D82" s="20"/>
      <c r="E82" s="20"/>
      <c r="F82" s="20"/>
      <c r="G82" s="20"/>
      <c r="H82" s="21"/>
    </row>
    <row r="83" ht="15.75" customHeight="1">
      <c r="A83" s="49" t="s">
        <v>272</v>
      </c>
      <c r="B83" s="20"/>
      <c r="C83" s="20"/>
      <c r="D83" s="20"/>
      <c r="E83" s="20"/>
      <c r="F83" s="20"/>
      <c r="G83" s="20"/>
      <c r="H83" s="21"/>
    </row>
    <row r="84" ht="15.75" customHeight="1">
      <c r="A84" s="68"/>
      <c r="B84" s="51"/>
      <c r="C84" s="51"/>
      <c r="D84" s="51"/>
      <c r="E84" s="51"/>
      <c r="F84" s="51"/>
      <c r="G84" s="51"/>
      <c r="H84" s="52"/>
    </row>
    <row r="85" ht="15.75" customHeight="1">
      <c r="A85" s="64"/>
      <c r="H85" s="65"/>
    </row>
    <row r="86" ht="15.75" customHeight="1">
      <c r="A86" s="53"/>
      <c r="B86" s="54"/>
      <c r="C86" s="54"/>
      <c r="D86" s="54"/>
      <c r="E86" s="54"/>
      <c r="F86" s="54"/>
      <c r="G86" s="54"/>
      <c r="H86" s="55"/>
    </row>
    <row r="87" ht="15.75" customHeight="1">
      <c r="A87" s="49" t="s">
        <v>274</v>
      </c>
      <c r="B87" s="20"/>
      <c r="C87" s="20"/>
      <c r="D87" s="20"/>
      <c r="E87" s="20"/>
      <c r="F87" s="20"/>
      <c r="G87" s="20"/>
      <c r="H87" s="21"/>
    </row>
    <row r="88" ht="15.75" customHeight="1">
      <c r="A88" s="68"/>
      <c r="B88" s="51"/>
      <c r="C88" s="51"/>
      <c r="D88" s="51"/>
      <c r="E88" s="51"/>
      <c r="F88" s="51"/>
      <c r="G88" s="51"/>
      <c r="H88" s="52"/>
    </row>
    <row r="89" ht="15.75" customHeight="1">
      <c r="A89" s="64"/>
      <c r="H89" s="65"/>
    </row>
    <row r="90" ht="15.75" customHeight="1">
      <c r="A90" s="64"/>
      <c r="H90" s="65"/>
    </row>
    <row r="91" ht="15.75" customHeight="1">
      <c r="A91" s="53"/>
      <c r="B91" s="54"/>
      <c r="C91" s="54"/>
      <c r="D91" s="54"/>
      <c r="E91" s="54"/>
      <c r="F91" s="54"/>
      <c r="G91" s="54"/>
      <c r="H91" s="55"/>
    </row>
    <row r="92" ht="15.75" customHeight="1"/>
    <row r="93" ht="15.75" customHeight="1"/>
    <row r="94" ht="15.75" customHeight="1">
      <c r="A94" s="46" t="s">
        <v>292</v>
      </c>
      <c r="E94" s="36" t="s">
        <v>181</v>
      </c>
      <c r="F94" s="47"/>
      <c r="G94" s="36" t="s">
        <v>269</v>
      </c>
      <c r="H94" s="47"/>
    </row>
    <row r="95" ht="15.75" customHeight="1">
      <c r="A95" s="63" t="s">
        <v>280</v>
      </c>
    </row>
    <row r="96" ht="15.75" customHeight="1">
      <c r="A96" s="57" t="s">
        <v>193</v>
      </c>
      <c r="B96" s="19"/>
      <c r="C96" s="20"/>
      <c r="D96" s="20"/>
      <c r="E96" s="20"/>
      <c r="F96" s="20"/>
      <c r="G96" s="20"/>
      <c r="H96" s="21"/>
    </row>
    <row r="97" ht="15.75" customHeight="1">
      <c r="A97" s="57" t="s">
        <v>193</v>
      </c>
      <c r="B97" s="19"/>
      <c r="C97" s="20"/>
      <c r="D97" s="20"/>
      <c r="E97" s="20"/>
      <c r="F97" s="20"/>
      <c r="G97" s="20"/>
      <c r="H97" s="21"/>
    </row>
    <row r="98" ht="15.75" customHeight="1">
      <c r="A98" s="57" t="s">
        <v>193</v>
      </c>
      <c r="B98" s="19"/>
      <c r="C98" s="20"/>
      <c r="D98" s="20"/>
      <c r="E98" s="20"/>
      <c r="F98" s="20"/>
      <c r="G98" s="20"/>
      <c r="H98" s="21"/>
    </row>
    <row r="99" ht="15.75" customHeight="1">
      <c r="A99" s="57" t="s">
        <v>270</v>
      </c>
      <c r="B99" s="19"/>
      <c r="C99" s="20"/>
      <c r="D99" s="20"/>
      <c r="E99" s="20"/>
      <c r="F99" s="20"/>
      <c r="G99" s="20"/>
      <c r="H99" s="21"/>
    </row>
    <row r="100" ht="15.75" customHeight="1">
      <c r="A100" s="49" t="s">
        <v>272</v>
      </c>
      <c r="B100" s="20"/>
      <c r="C100" s="20"/>
      <c r="D100" s="20"/>
      <c r="E100" s="20"/>
      <c r="F100" s="20"/>
      <c r="G100" s="20"/>
      <c r="H100" s="21"/>
    </row>
    <row r="101" ht="15.75" customHeight="1">
      <c r="A101" s="68"/>
      <c r="B101" s="51"/>
      <c r="C101" s="51"/>
      <c r="D101" s="51"/>
      <c r="E101" s="51"/>
      <c r="F101" s="51"/>
      <c r="G101" s="51"/>
      <c r="H101" s="52"/>
    </row>
    <row r="102" ht="15.75" customHeight="1">
      <c r="A102" s="64"/>
      <c r="H102" s="65"/>
    </row>
    <row r="103" ht="15.75" customHeight="1">
      <c r="A103" s="53"/>
      <c r="B103" s="54"/>
      <c r="C103" s="54"/>
      <c r="D103" s="54"/>
      <c r="E103" s="54"/>
      <c r="F103" s="54"/>
      <c r="G103" s="54"/>
      <c r="H103" s="55"/>
    </row>
    <row r="104" ht="15.75" customHeight="1">
      <c r="A104" s="49" t="s">
        <v>274</v>
      </c>
      <c r="B104" s="20"/>
      <c r="C104" s="20"/>
      <c r="D104" s="20"/>
      <c r="E104" s="20"/>
      <c r="F104" s="20"/>
      <c r="G104" s="20"/>
      <c r="H104" s="21"/>
    </row>
    <row r="105" ht="15.75" customHeight="1">
      <c r="A105" s="68"/>
      <c r="B105" s="51"/>
      <c r="C105" s="51"/>
      <c r="D105" s="51"/>
      <c r="E105" s="51"/>
      <c r="F105" s="51"/>
      <c r="G105" s="51"/>
      <c r="H105" s="52"/>
    </row>
    <row r="106" ht="15.75" customHeight="1">
      <c r="A106" s="64"/>
      <c r="H106" s="65"/>
    </row>
    <row r="107" ht="15.75" customHeight="1">
      <c r="A107" s="64"/>
      <c r="H107" s="65"/>
    </row>
    <row r="108" ht="15.75" customHeight="1">
      <c r="A108" s="53"/>
      <c r="B108" s="54"/>
      <c r="C108" s="54"/>
      <c r="D108" s="54"/>
      <c r="E108" s="54"/>
      <c r="F108" s="54"/>
      <c r="G108" s="54"/>
      <c r="H108" s="55"/>
    </row>
    <row r="109" ht="15.75" customHeight="1"/>
    <row r="110" ht="15.75" customHeight="1"/>
    <row r="111" ht="15.75" customHeight="1">
      <c r="A111" s="46" t="s">
        <v>293</v>
      </c>
      <c r="E111" s="36" t="s">
        <v>181</v>
      </c>
      <c r="F111" s="47"/>
      <c r="G111" s="36" t="s">
        <v>269</v>
      </c>
      <c r="H111" s="47"/>
    </row>
    <row r="112" ht="15.75" customHeight="1">
      <c r="A112" s="63" t="s">
        <v>280</v>
      </c>
    </row>
    <row r="113" ht="15.75" customHeight="1">
      <c r="A113" s="57" t="s">
        <v>193</v>
      </c>
      <c r="B113" s="19"/>
      <c r="C113" s="20"/>
      <c r="D113" s="20"/>
      <c r="E113" s="20"/>
      <c r="F113" s="20"/>
      <c r="G113" s="20"/>
      <c r="H113" s="21"/>
    </row>
    <row r="114" ht="15.75" customHeight="1">
      <c r="A114" s="57" t="s">
        <v>193</v>
      </c>
      <c r="B114" s="19"/>
      <c r="C114" s="20"/>
      <c r="D114" s="20"/>
      <c r="E114" s="20"/>
      <c r="F114" s="20"/>
      <c r="G114" s="20"/>
      <c r="H114" s="21"/>
    </row>
    <row r="115" ht="15.75" customHeight="1">
      <c r="A115" s="57" t="s">
        <v>193</v>
      </c>
      <c r="B115" s="19"/>
      <c r="C115" s="20"/>
      <c r="D115" s="20"/>
      <c r="E115" s="20"/>
      <c r="F115" s="20"/>
      <c r="G115" s="20"/>
      <c r="H115" s="21"/>
    </row>
    <row r="116" ht="15.75" customHeight="1">
      <c r="A116" s="57" t="s">
        <v>270</v>
      </c>
      <c r="B116" s="19"/>
      <c r="C116" s="20"/>
      <c r="D116" s="20"/>
      <c r="E116" s="20"/>
      <c r="F116" s="20"/>
      <c r="G116" s="20"/>
      <c r="H116" s="21"/>
    </row>
    <row r="117" ht="15.75" customHeight="1">
      <c r="A117" s="49" t="s">
        <v>272</v>
      </c>
      <c r="B117" s="20"/>
      <c r="C117" s="20"/>
      <c r="D117" s="20"/>
      <c r="E117" s="20"/>
      <c r="F117" s="20"/>
      <c r="G117" s="20"/>
      <c r="H117" s="21"/>
    </row>
    <row r="118" ht="15.75" customHeight="1">
      <c r="A118" s="68"/>
      <c r="B118" s="51"/>
      <c r="C118" s="51"/>
      <c r="D118" s="51"/>
      <c r="E118" s="51"/>
      <c r="F118" s="51"/>
      <c r="G118" s="51"/>
      <c r="H118" s="52"/>
    </row>
    <row r="119" ht="15.75" customHeight="1">
      <c r="A119" s="64"/>
      <c r="H119" s="65"/>
    </row>
    <row r="120" ht="15.75" customHeight="1">
      <c r="A120" s="53"/>
      <c r="B120" s="54"/>
      <c r="C120" s="54"/>
      <c r="D120" s="54"/>
      <c r="E120" s="54"/>
      <c r="F120" s="54"/>
      <c r="G120" s="54"/>
      <c r="H120" s="55"/>
    </row>
    <row r="121" ht="15.75" customHeight="1">
      <c r="A121" s="49" t="s">
        <v>274</v>
      </c>
      <c r="B121" s="20"/>
      <c r="C121" s="20"/>
      <c r="D121" s="20"/>
      <c r="E121" s="20"/>
      <c r="F121" s="20"/>
      <c r="G121" s="20"/>
      <c r="H121" s="21"/>
    </row>
    <row r="122" ht="15.75" customHeight="1">
      <c r="A122" s="68"/>
      <c r="B122" s="51"/>
      <c r="C122" s="51"/>
      <c r="D122" s="51"/>
      <c r="E122" s="51"/>
      <c r="F122" s="51"/>
      <c r="G122" s="51"/>
      <c r="H122" s="52"/>
    </row>
    <row r="123" ht="15.75" customHeight="1">
      <c r="A123" s="64"/>
      <c r="H123" s="65"/>
    </row>
    <row r="124" ht="15.75" customHeight="1">
      <c r="A124" s="64"/>
      <c r="H124" s="65"/>
    </row>
    <row r="125" ht="15.75" customHeight="1">
      <c r="A125" s="53"/>
      <c r="B125" s="54"/>
      <c r="C125" s="54"/>
      <c r="D125" s="54"/>
      <c r="E125" s="54"/>
      <c r="F125" s="54"/>
      <c r="G125" s="54"/>
      <c r="H125" s="5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294</v>
      </c>
    </row>
    <row r="3" ht="15.75" customHeight="1"/>
    <row r="4" ht="15.75" customHeight="1">
      <c r="B4" s="18" t="s">
        <v>1</v>
      </c>
      <c r="C4" s="19" t="str">
        <f>'Diseño'!C4</f>
        <v>283 - Análisis y Diseño de Sistemas 1</v>
      </c>
      <c r="D4" s="20"/>
      <c r="E4" s="20"/>
      <c r="F4" s="20"/>
      <c r="G4" s="21"/>
    </row>
    <row r="5" ht="15.75" customHeight="1">
      <c r="B5" s="44" t="s">
        <v>84</v>
      </c>
      <c r="C5" s="19">
        <f>H9+H26+H43+H60+H77+H94+H111</f>
        <v>8</v>
      </c>
      <c r="D5" s="20"/>
      <c r="E5" s="20"/>
      <c r="F5" s="20"/>
      <c r="G5" s="21"/>
    </row>
    <row r="6" ht="15.75" customHeight="1">
      <c r="B6" s="44" t="s">
        <v>181</v>
      </c>
      <c r="C6" s="19">
        <f>F9+F26+F43+F60+F77+F94+F111</f>
        <v>8</v>
      </c>
      <c r="D6" s="20"/>
      <c r="E6" s="20"/>
      <c r="F6" s="20"/>
      <c r="G6" s="21"/>
    </row>
    <row r="7" ht="15.75" customHeight="1">
      <c r="B7" s="6" t="s">
        <v>295</v>
      </c>
    </row>
    <row r="8" ht="15.75" customHeight="1"/>
    <row r="9" ht="15.75" customHeight="1">
      <c r="A9" s="46" t="s">
        <v>296</v>
      </c>
      <c r="E9" s="36" t="s">
        <v>181</v>
      </c>
      <c r="F9" s="73">
        <v>2.0</v>
      </c>
      <c r="G9" s="36" t="s">
        <v>269</v>
      </c>
      <c r="H9" s="73">
        <v>2.0</v>
      </c>
    </row>
    <row r="10" ht="15.75" customHeight="1">
      <c r="A10" s="6" t="s">
        <v>284</v>
      </c>
    </row>
    <row r="11" ht="15.75" customHeight="1">
      <c r="A11" s="57" t="s">
        <v>193</v>
      </c>
      <c r="B11" s="32" t="s">
        <v>12</v>
      </c>
      <c r="C11" s="20"/>
      <c r="D11" s="20"/>
      <c r="E11" s="20"/>
      <c r="F11" s="20"/>
      <c r="G11" s="20"/>
      <c r="H11" s="21"/>
    </row>
    <row r="12" ht="15.75" customHeight="1">
      <c r="A12" s="57" t="s">
        <v>193</v>
      </c>
      <c r="B12" s="19"/>
      <c r="C12" s="20"/>
      <c r="D12" s="20"/>
      <c r="E12" s="20"/>
      <c r="F12" s="20"/>
      <c r="G12" s="20"/>
      <c r="H12" s="21"/>
    </row>
    <row r="13" ht="15.75" customHeight="1">
      <c r="A13" s="57" t="s">
        <v>193</v>
      </c>
      <c r="B13" s="19"/>
      <c r="C13" s="20"/>
      <c r="D13" s="20"/>
      <c r="E13" s="20"/>
      <c r="F13" s="20"/>
      <c r="G13" s="20"/>
      <c r="H13" s="21"/>
    </row>
    <row r="14" ht="15.75" customHeight="1">
      <c r="A14" s="57" t="s">
        <v>270</v>
      </c>
      <c r="B14" s="32" t="s">
        <v>297</v>
      </c>
      <c r="C14" s="20"/>
      <c r="D14" s="20"/>
      <c r="E14" s="20"/>
      <c r="F14" s="20"/>
      <c r="G14" s="20"/>
      <c r="H14" s="21"/>
    </row>
    <row r="15" ht="15.75" customHeight="1">
      <c r="A15" s="49" t="s">
        <v>272</v>
      </c>
      <c r="B15" s="20"/>
      <c r="C15" s="20"/>
      <c r="D15" s="20"/>
      <c r="E15" s="20"/>
      <c r="F15" s="20"/>
      <c r="G15" s="20"/>
      <c r="H15" s="21"/>
    </row>
    <row r="16" ht="15.75" customHeight="1">
      <c r="A16" s="50" t="s">
        <v>298</v>
      </c>
      <c r="B16" s="51"/>
      <c r="C16" s="51"/>
      <c r="D16" s="51"/>
      <c r="E16" s="51"/>
      <c r="F16" s="51"/>
      <c r="G16" s="51"/>
      <c r="H16" s="52"/>
    </row>
    <row r="17" ht="15.75" customHeight="1">
      <c r="A17" s="64"/>
      <c r="H17" s="65"/>
    </row>
    <row r="18" ht="15.75" customHeight="1">
      <c r="A18" s="53"/>
      <c r="B18" s="54"/>
      <c r="C18" s="54"/>
      <c r="D18" s="54"/>
      <c r="E18" s="54"/>
      <c r="F18" s="54"/>
      <c r="G18" s="54"/>
      <c r="H18" s="55"/>
    </row>
    <row r="19" ht="15.75" customHeight="1">
      <c r="A19" s="49" t="s">
        <v>274</v>
      </c>
      <c r="B19" s="20"/>
      <c r="C19" s="20"/>
      <c r="D19" s="20"/>
      <c r="E19" s="20"/>
      <c r="F19" s="20"/>
      <c r="G19" s="20"/>
      <c r="H19" s="21"/>
    </row>
    <row r="20" ht="15.75" customHeight="1">
      <c r="A20" s="71" t="s">
        <v>299</v>
      </c>
      <c r="B20" s="51"/>
      <c r="C20" s="51"/>
      <c r="D20" s="51"/>
      <c r="E20" s="51"/>
      <c r="F20" s="51"/>
      <c r="G20" s="51"/>
      <c r="H20" s="52"/>
    </row>
    <row r="21" ht="15.75" customHeight="1">
      <c r="A21" s="64"/>
      <c r="H21" s="65"/>
    </row>
    <row r="22" ht="15.75" customHeight="1">
      <c r="A22" s="64"/>
      <c r="H22" s="65"/>
    </row>
    <row r="23" ht="15.75" customHeight="1">
      <c r="A23" s="53"/>
      <c r="B23" s="54"/>
      <c r="C23" s="54"/>
      <c r="D23" s="54"/>
      <c r="E23" s="54"/>
      <c r="F23" s="54"/>
      <c r="G23" s="54"/>
      <c r="H23" s="55"/>
    </row>
    <row r="24" ht="15.75" customHeight="1"/>
    <row r="25" ht="15.75" customHeight="1"/>
    <row r="26" ht="15.75" customHeight="1">
      <c r="A26" s="46" t="s">
        <v>300</v>
      </c>
      <c r="E26" s="36" t="s">
        <v>181</v>
      </c>
      <c r="F26" s="73">
        <v>2.0</v>
      </c>
      <c r="G26" s="36" t="s">
        <v>269</v>
      </c>
      <c r="H26" s="73">
        <v>2.0</v>
      </c>
    </row>
    <row r="27" ht="15.75" customHeight="1">
      <c r="A27" s="6" t="s">
        <v>284</v>
      </c>
    </row>
    <row r="28" ht="15.75" customHeight="1">
      <c r="A28" s="57" t="s">
        <v>193</v>
      </c>
      <c r="B28" s="32" t="s">
        <v>57</v>
      </c>
      <c r="C28" s="20"/>
      <c r="D28" s="20"/>
      <c r="E28" s="20"/>
      <c r="F28" s="20"/>
      <c r="G28" s="20"/>
      <c r="H28" s="21"/>
    </row>
    <row r="29" ht="15.75" customHeight="1">
      <c r="A29" s="57" t="s">
        <v>193</v>
      </c>
      <c r="B29" s="19"/>
      <c r="C29" s="20"/>
      <c r="D29" s="20"/>
      <c r="E29" s="20"/>
      <c r="F29" s="20"/>
      <c r="G29" s="20"/>
      <c r="H29" s="21"/>
    </row>
    <row r="30" ht="15.75" customHeight="1">
      <c r="A30" s="57" t="s">
        <v>193</v>
      </c>
      <c r="B30" s="19"/>
      <c r="C30" s="20"/>
      <c r="D30" s="20"/>
      <c r="E30" s="20"/>
      <c r="F30" s="20"/>
      <c r="G30" s="20"/>
      <c r="H30" s="21"/>
    </row>
    <row r="31" ht="15.75" customHeight="1">
      <c r="A31" s="57" t="s">
        <v>270</v>
      </c>
      <c r="B31" s="32" t="s">
        <v>301</v>
      </c>
      <c r="C31" s="74"/>
      <c r="D31" s="74"/>
      <c r="E31" s="74"/>
      <c r="F31" s="74"/>
      <c r="G31" s="74"/>
      <c r="H31" s="72"/>
    </row>
    <row r="32" ht="15.75" customHeight="1">
      <c r="A32" s="49" t="s">
        <v>272</v>
      </c>
      <c r="B32" s="20"/>
      <c r="C32" s="20"/>
      <c r="D32" s="20"/>
      <c r="E32" s="20"/>
      <c r="F32" s="20"/>
      <c r="G32" s="20"/>
      <c r="H32" s="21"/>
    </row>
    <row r="33" ht="15.75" customHeight="1">
      <c r="A33" s="50" t="s">
        <v>302</v>
      </c>
      <c r="B33" s="51"/>
      <c r="C33" s="51"/>
      <c r="D33" s="51"/>
      <c r="E33" s="51"/>
      <c r="F33" s="51"/>
      <c r="G33" s="51"/>
      <c r="H33" s="52"/>
    </row>
    <row r="34" ht="15.75" customHeight="1">
      <c r="A34" s="64"/>
      <c r="H34" s="65"/>
    </row>
    <row r="35" ht="15.75" customHeight="1">
      <c r="A35" s="53"/>
      <c r="B35" s="54"/>
      <c r="C35" s="54"/>
      <c r="D35" s="54"/>
      <c r="E35" s="54"/>
      <c r="F35" s="54"/>
      <c r="G35" s="54"/>
      <c r="H35" s="55"/>
    </row>
    <row r="36" ht="15.75" customHeight="1">
      <c r="A36" s="49" t="s">
        <v>274</v>
      </c>
      <c r="B36" s="20"/>
      <c r="C36" s="20"/>
      <c r="D36" s="20"/>
      <c r="E36" s="20"/>
      <c r="F36" s="20"/>
      <c r="G36" s="20"/>
      <c r="H36" s="21"/>
    </row>
    <row r="37" ht="15.75" customHeight="1">
      <c r="A37" s="50" t="s">
        <v>303</v>
      </c>
      <c r="B37" s="51"/>
      <c r="C37" s="51"/>
      <c r="D37" s="51"/>
      <c r="E37" s="51"/>
      <c r="F37" s="51"/>
      <c r="G37" s="51"/>
      <c r="H37" s="52"/>
    </row>
    <row r="38" ht="15.75" customHeight="1">
      <c r="A38" s="64"/>
      <c r="H38" s="65"/>
    </row>
    <row r="39" ht="15.75" customHeight="1">
      <c r="A39" s="64"/>
      <c r="H39" s="65"/>
    </row>
    <row r="40" ht="15.75" customHeight="1">
      <c r="A40" s="53"/>
      <c r="B40" s="54"/>
      <c r="C40" s="54"/>
      <c r="D40" s="54"/>
      <c r="E40" s="54"/>
      <c r="F40" s="54"/>
      <c r="G40" s="54"/>
      <c r="H40" s="55"/>
    </row>
    <row r="41" ht="15.75" customHeight="1"/>
    <row r="42" ht="15.75" customHeight="1"/>
    <row r="43" ht="15.75" customHeight="1">
      <c r="A43" s="46" t="s">
        <v>304</v>
      </c>
      <c r="E43" s="36" t="s">
        <v>181</v>
      </c>
      <c r="F43" s="73">
        <v>2.0</v>
      </c>
      <c r="G43" s="36" t="s">
        <v>269</v>
      </c>
      <c r="H43" s="73">
        <v>2.0</v>
      </c>
    </row>
    <row r="44" ht="15.75" customHeight="1">
      <c r="A44" s="63" t="s">
        <v>280</v>
      </c>
    </row>
    <row r="45" ht="15.75" customHeight="1">
      <c r="A45" s="57" t="s">
        <v>193</v>
      </c>
      <c r="B45" s="32" t="s">
        <v>57</v>
      </c>
      <c r="C45" s="20"/>
      <c r="D45" s="20"/>
      <c r="E45" s="20"/>
      <c r="F45" s="20"/>
      <c r="G45" s="20"/>
      <c r="H45" s="21"/>
    </row>
    <row r="46" ht="15.75" customHeight="1">
      <c r="A46" s="57" t="s">
        <v>193</v>
      </c>
      <c r="B46" s="19"/>
      <c r="C46" s="20"/>
      <c r="D46" s="20"/>
      <c r="E46" s="20"/>
      <c r="F46" s="20"/>
      <c r="G46" s="20"/>
      <c r="H46" s="21"/>
    </row>
    <row r="47" ht="15.75" customHeight="1">
      <c r="A47" s="57" t="s">
        <v>193</v>
      </c>
      <c r="B47" s="19"/>
      <c r="C47" s="20"/>
      <c r="D47" s="20"/>
      <c r="E47" s="20"/>
      <c r="F47" s="20"/>
      <c r="G47" s="20"/>
      <c r="H47" s="21"/>
    </row>
    <row r="48" ht="15.75" customHeight="1">
      <c r="A48" s="57" t="s">
        <v>270</v>
      </c>
      <c r="B48" s="32" t="s">
        <v>305</v>
      </c>
      <c r="C48" s="20"/>
      <c r="D48" s="20"/>
      <c r="E48" s="20"/>
      <c r="F48" s="20"/>
      <c r="G48" s="20"/>
      <c r="H48" s="21"/>
    </row>
    <row r="49" ht="15.75" customHeight="1">
      <c r="A49" s="49" t="s">
        <v>272</v>
      </c>
      <c r="B49" s="20"/>
      <c r="C49" s="20"/>
      <c r="D49" s="20"/>
      <c r="E49" s="20"/>
      <c r="F49" s="20"/>
      <c r="G49" s="20"/>
      <c r="H49" s="21"/>
    </row>
    <row r="50" ht="15.75" customHeight="1">
      <c r="A50" s="68"/>
      <c r="B50" s="51"/>
      <c r="C50" s="51"/>
      <c r="D50" s="51"/>
      <c r="E50" s="51"/>
      <c r="F50" s="51"/>
      <c r="G50" s="51"/>
      <c r="H50" s="52"/>
    </row>
    <row r="51" ht="15.75" customHeight="1">
      <c r="A51" s="64"/>
      <c r="H51" s="65"/>
    </row>
    <row r="52" ht="15.75" customHeight="1">
      <c r="A52" s="53"/>
      <c r="B52" s="54"/>
      <c r="C52" s="54"/>
      <c r="D52" s="54"/>
      <c r="E52" s="54"/>
      <c r="F52" s="54"/>
      <c r="G52" s="54"/>
      <c r="H52" s="55"/>
    </row>
    <row r="53" ht="15.75" customHeight="1">
      <c r="A53" s="49" t="s">
        <v>274</v>
      </c>
      <c r="B53" s="20"/>
      <c r="C53" s="20"/>
      <c r="D53" s="20"/>
      <c r="E53" s="20"/>
      <c r="F53" s="20"/>
      <c r="G53" s="20"/>
      <c r="H53" s="21"/>
    </row>
    <row r="54" ht="15.75" customHeight="1">
      <c r="A54" s="50" t="s">
        <v>306</v>
      </c>
      <c r="B54" s="51"/>
      <c r="C54" s="51"/>
      <c r="D54" s="51"/>
      <c r="E54" s="51"/>
      <c r="F54" s="51"/>
      <c r="G54" s="51"/>
      <c r="H54" s="52"/>
    </row>
    <row r="55" ht="15.75" customHeight="1">
      <c r="A55" s="64"/>
      <c r="H55" s="65"/>
    </row>
    <row r="56" ht="15.75" customHeight="1">
      <c r="A56" s="64"/>
      <c r="H56" s="65"/>
    </row>
    <row r="57" ht="15.75" customHeight="1">
      <c r="A57" s="53"/>
      <c r="B57" s="54"/>
      <c r="C57" s="54"/>
      <c r="D57" s="54"/>
      <c r="E57" s="54"/>
      <c r="F57" s="54"/>
      <c r="G57" s="54"/>
      <c r="H57" s="55"/>
    </row>
    <row r="58" ht="15.75" customHeight="1"/>
    <row r="59" ht="15.75" customHeight="1"/>
    <row r="60" ht="15.75" customHeight="1">
      <c r="A60" s="46" t="s">
        <v>307</v>
      </c>
      <c r="E60" s="36" t="s">
        <v>181</v>
      </c>
      <c r="F60" s="73">
        <v>2.0</v>
      </c>
      <c r="G60" s="36" t="s">
        <v>269</v>
      </c>
      <c r="H60" s="73">
        <v>2.0</v>
      </c>
    </row>
    <row r="61" ht="15.75" customHeight="1">
      <c r="A61" s="63" t="s">
        <v>280</v>
      </c>
    </row>
    <row r="62" ht="15.75" customHeight="1">
      <c r="A62" s="57" t="s">
        <v>193</v>
      </c>
      <c r="B62" s="32" t="s">
        <v>35</v>
      </c>
      <c r="C62" s="20"/>
      <c r="D62" s="20"/>
      <c r="E62" s="20"/>
      <c r="F62" s="20"/>
      <c r="G62" s="20"/>
      <c r="H62" s="21"/>
    </row>
    <row r="63" ht="15.75" customHeight="1">
      <c r="A63" s="57" t="s">
        <v>193</v>
      </c>
      <c r="B63" s="19"/>
      <c r="C63" s="20"/>
      <c r="D63" s="20"/>
      <c r="E63" s="20"/>
      <c r="F63" s="20"/>
      <c r="G63" s="20"/>
      <c r="H63" s="21"/>
    </row>
    <row r="64" ht="15.75" customHeight="1">
      <c r="A64" s="57" t="s">
        <v>193</v>
      </c>
      <c r="B64" s="19"/>
      <c r="C64" s="20"/>
      <c r="D64" s="20"/>
      <c r="E64" s="20"/>
      <c r="F64" s="20"/>
      <c r="G64" s="20"/>
      <c r="H64" s="21"/>
    </row>
    <row r="65" ht="15.75" customHeight="1">
      <c r="A65" s="57" t="s">
        <v>270</v>
      </c>
      <c r="B65" s="32" t="s">
        <v>308</v>
      </c>
      <c r="C65" s="20"/>
      <c r="D65" s="20"/>
      <c r="E65" s="20"/>
      <c r="F65" s="20"/>
      <c r="G65" s="20"/>
      <c r="H65" s="21"/>
    </row>
    <row r="66" ht="15.75" customHeight="1">
      <c r="A66" s="49" t="s">
        <v>272</v>
      </c>
      <c r="B66" s="20"/>
      <c r="C66" s="20"/>
      <c r="D66" s="20"/>
      <c r="E66" s="20"/>
      <c r="F66" s="20"/>
      <c r="G66" s="20"/>
      <c r="H66" s="21"/>
    </row>
    <row r="67" ht="15.75" customHeight="1">
      <c r="A67" s="50" t="s">
        <v>69</v>
      </c>
      <c r="B67" s="51"/>
      <c r="C67" s="51"/>
      <c r="D67" s="51"/>
      <c r="E67" s="51"/>
      <c r="F67" s="51"/>
      <c r="G67" s="51"/>
      <c r="H67" s="52"/>
    </row>
    <row r="68" ht="15.75" customHeight="1">
      <c r="A68" s="64"/>
      <c r="H68" s="65"/>
    </row>
    <row r="69" ht="15.75" customHeight="1">
      <c r="A69" s="53"/>
      <c r="B69" s="54"/>
      <c r="C69" s="54"/>
      <c r="D69" s="54"/>
      <c r="E69" s="54"/>
      <c r="F69" s="54"/>
      <c r="G69" s="54"/>
      <c r="H69" s="55"/>
    </row>
    <row r="70" ht="15.75" customHeight="1">
      <c r="A70" s="49" t="s">
        <v>274</v>
      </c>
      <c r="B70" s="20"/>
      <c r="C70" s="20"/>
      <c r="D70" s="20"/>
      <c r="E70" s="20"/>
      <c r="F70" s="20"/>
      <c r="G70" s="20"/>
      <c r="H70" s="21"/>
    </row>
    <row r="71" ht="15.75" customHeight="1">
      <c r="A71" s="50" t="s">
        <v>309</v>
      </c>
      <c r="B71" s="51"/>
      <c r="C71" s="51"/>
      <c r="D71" s="51"/>
      <c r="E71" s="51"/>
      <c r="F71" s="51"/>
      <c r="G71" s="51"/>
      <c r="H71" s="52"/>
    </row>
    <row r="72" ht="15.75" customHeight="1">
      <c r="A72" s="64"/>
      <c r="H72" s="65"/>
    </row>
    <row r="73" ht="15.75" customHeight="1">
      <c r="A73" s="64"/>
      <c r="H73" s="65"/>
    </row>
    <row r="74" ht="15.75" customHeight="1">
      <c r="A74" s="53"/>
      <c r="B74" s="54"/>
      <c r="C74" s="54"/>
      <c r="D74" s="54"/>
      <c r="E74" s="54"/>
      <c r="F74" s="54"/>
      <c r="G74" s="54"/>
      <c r="H74" s="55"/>
    </row>
    <row r="75" ht="15.75" customHeight="1"/>
    <row r="76" ht="15.75" customHeight="1"/>
    <row r="77" ht="15.75" customHeight="1">
      <c r="A77" s="46" t="s">
        <v>310</v>
      </c>
      <c r="E77" s="36" t="s">
        <v>181</v>
      </c>
      <c r="F77" s="47"/>
      <c r="G77" s="36" t="s">
        <v>269</v>
      </c>
      <c r="H77" s="47"/>
    </row>
    <row r="78" ht="15.75" customHeight="1">
      <c r="A78" s="63" t="s">
        <v>280</v>
      </c>
    </row>
    <row r="79" ht="15.75" customHeight="1">
      <c r="A79" s="57" t="s">
        <v>193</v>
      </c>
      <c r="B79" s="19"/>
      <c r="C79" s="20"/>
      <c r="D79" s="20"/>
      <c r="E79" s="20"/>
      <c r="F79" s="20"/>
      <c r="G79" s="20"/>
      <c r="H79" s="21"/>
    </row>
    <row r="80" ht="15.75" customHeight="1">
      <c r="A80" s="57" t="s">
        <v>193</v>
      </c>
      <c r="B80" s="19"/>
      <c r="C80" s="20"/>
      <c r="D80" s="20"/>
      <c r="E80" s="20"/>
      <c r="F80" s="20"/>
      <c r="G80" s="20"/>
      <c r="H80" s="21"/>
    </row>
    <row r="81" ht="15.75" customHeight="1">
      <c r="A81" s="57" t="s">
        <v>193</v>
      </c>
      <c r="B81" s="19"/>
      <c r="C81" s="20"/>
      <c r="D81" s="20"/>
      <c r="E81" s="20"/>
      <c r="F81" s="20"/>
      <c r="G81" s="20"/>
      <c r="H81" s="21"/>
    </row>
    <row r="82" ht="15.75" customHeight="1">
      <c r="A82" s="57" t="s">
        <v>270</v>
      </c>
      <c r="B82" s="19"/>
      <c r="C82" s="20"/>
      <c r="D82" s="20"/>
      <c r="E82" s="20"/>
      <c r="F82" s="20"/>
      <c r="G82" s="20"/>
      <c r="H82" s="21"/>
    </row>
    <row r="83" ht="15.75" customHeight="1">
      <c r="A83" s="49" t="s">
        <v>272</v>
      </c>
      <c r="B83" s="20"/>
      <c r="C83" s="20"/>
      <c r="D83" s="20"/>
      <c r="E83" s="20"/>
      <c r="F83" s="20"/>
      <c r="G83" s="20"/>
      <c r="H83" s="21"/>
    </row>
    <row r="84" ht="15.75" customHeight="1">
      <c r="A84" s="68"/>
      <c r="B84" s="51"/>
      <c r="C84" s="51"/>
      <c r="D84" s="51"/>
      <c r="E84" s="51"/>
      <c r="F84" s="51"/>
      <c r="G84" s="51"/>
      <c r="H84" s="52"/>
    </row>
    <row r="85" ht="15.75" customHeight="1">
      <c r="A85" s="64"/>
      <c r="H85" s="65"/>
    </row>
    <row r="86" ht="15.75" customHeight="1">
      <c r="A86" s="53"/>
      <c r="B86" s="54"/>
      <c r="C86" s="54"/>
      <c r="D86" s="54"/>
      <c r="E86" s="54"/>
      <c r="F86" s="54"/>
      <c r="G86" s="54"/>
      <c r="H86" s="55"/>
    </row>
    <row r="87" ht="15.75" customHeight="1">
      <c r="A87" s="49" t="s">
        <v>274</v>
      </c>
      <c r="B87" s="20"/>
      <c r="C87" s="20"/>
      <c r="D87" s="20"/>
      <c r="E87" s="20"/>
      <c r="F87" s="20"/>
      <c r="G87" s="20"/>
      <c r="H87" s="21"/>
    </row>
    <row r="88" ht="15.75" customHeight="1">
      <c r="A88" s="68"/>
      <c r="B88" s="51"/>
      <c r="C88" s="51"/>
      <c r="D88" s="51"/>
      <c r="E88" s="51"/>
      <c r="F88" s="51"/>
      <c r="G88" s="51"/>
      <c r="H88" s="52"/>
    </row>
    <row r="89" ht="15.75" customHeight="1">
      <c r="A89" s="64"/>
      <c r="H89" s="65"/>
    </row>
    <row r="90" ht="15.75" customHeight="1">
      <c r="A90" s="64"/>
      <c r="H90" s="65"/>
    </row>
    <row r="91" ht="15.75" customHeight="1">
      <c r="A91" s="53"/>
      <c r="B91" s="54"/>
      <c r="C91" s="54"/>
      <c r="D91" s="54"/>
      <c r="E91" s="54"/>
      <c r="F91" s="54"/>
      <c r="G91" s="54"/>
      <c r="H91" s="55"/>
    </row>
    <row r="92" ht="15.75" customHeight="1"/>
    <row r="93" ht="15.75" customHeight="1"/>
    <row r="94" ht="15.75" customHeight="1">
      <c r="A94" s="46" t="s">
        <v>311</v>
      </c>
      <c r="E94" s="36" t="s">
        <v>181</v>
      </c>
      <c r="F94" s="47"/>
      <c r="G94" s="36" t="s">
        <v>269</v>
      </c>
      <c r="H94" s="47"/>
    </row>
    <row r="95" ht="15.75" customHeight="1">
      <c r="A95" s="63" t="s">
        <v>280</v>
      </c>
    </row>
    <row r="96" ht="15.75" customHeight="1">
      <c r="A96" s="57" t="s">
        <v>193</v>
      </c>
      <c r="B96" s="19"/>
      <c r="C96" s="20"/>
      <c r="D96" s="20"/>
      <c r="E96" s="20"/>
      <c r="F96" s="20"/>
      <c r="G96" s="20"/>
      <c r="H96" s="21"/>
    </row>
    <row r="97" ht="15.75" customHeight="1">
      <c r="A97" s="57" t="s">
        <v>193</v>
      </c>
      <c r="B97" s="19"/>
      <c r="C97" s="20"/>
      <c r="D97" s="20"/>
      <c r="E97" s="20"/>
      <c r="F97" s="20"/>
      <c r="G97" s="20"/>
      <c r="H97" s="21"/>
    </row>
    <row r="98" ht="15.75" customHeight="1">
      <c r="A98" s="57" t="s">
        <v>193</v>
      </c>
      <c r="B98" s="19"/>
      <c r="C98" s="20"/>
      <c r="D98" s="20"/>
      <c r="E98" s="20"/>
      <c r="F98" s="20"/>
      <c r="G98" s="20"/>
      <c r="H98" s="21"/>
    </row>
    <row r="99" ht="15.75" customHeight="1">
      <c r="A99" s="57" t="s">
        <v>270</v>
      </c>
      <c r="B99" s="19"/>
      <c r="C99" s="20"/>
      <c r="D99" s="20"/>
      <c r="E99" s="20"/>
      <c r="F99" s="20"/>
      <c r="G99" s="20"/>
      <c r="H99" s="21"/>
    </row>
    <row r="100" ht="15.75" customHeight="1">
      <c r="A100" s="49" t="s">
        <v>272</v>
      </c>
      <c r="B100" s="20"/>
      <c r="C100" s="20"/>
      <c r="D100" s="20"/>
      <c r="E100" s="20"/>
      <c r="F100" s="20"/>
      <c r="G100" s="20"/>
      <c r="H100" s="21"/>
    </row>
    <row r="101" ht="15.75" customHeight="1">
      <c r="A101" s="68"/>
      <c r="B101" s="51"/>
      <c r="C101" s="51"/>
      <c r="D101" s="51"/>
      <c r="E101" s="51"/>
      <c r="F101" s="51"/>
      <c r="G101" s="51"/>
      <c r="H101" s="52"/>
    </row>
    <row r="102" ht="15.75" customHeight="1">
      <c r="A102" s="64"/>
      <c r="H102" s="65"/>
    </row>
    <row r="103" ht="15.75" customHeight="1">
      <c r="A103" s="53"/>
      <c r="B103" s="54"/>
      <c r="C103" s="54"/>
      <c r="D103" s="54"/>
      <c r="E103" s="54"/>
      <c r="F103" s="54"/>
      <c r="G103" s="54"/>
      <c r="H103" s="55"/>
    </row>
    <row r="104" ht="15.75" customHeight="1">
      <c r="A104" s="49" t="s">
        <v>274</v>
      </c>
      <c r="B104" s="20"/>
      <c r="C104" s="20"/>
      <c r="D104" s="20"/>
      <c r="E104" s="20"/>
      <c r="F104" s="20"/>
      <c r="G104" s="20"/>
      <c r="H104" s="21"/>
    </row>
    <row r="105" ht="15.75" customHeight="1">
      <c r="A105" s="68"/>
      <c r="B105" s="51"/>
      <c r="C105" s="51"/>
      <c r="D105" s="51"/>
      <c r="E105" s="51"/>
      <c r="F105" s="51"/>
      <c r="G105" s="51"/>
      <c r="H105" s="52"/>
    </row>
    <row r="106" ht="15.75" customHeight="1">
      <c r="A106" s="64"/>
      <c r="H106" s="65"/>
    </row>
    <row r="107" ht="15.75" customHeight="1">
      <c r="A107" s="64"/>
      <c r="H107" s="65"/>
    </row>
    <row r="108" ht="15.75" customHeight="1">
      <c r="A108" s="53"/>
      <c r="B108" s="54"/>
      <c r="C108" s="54"/>
      <c r="D108" s="54"/>
      <c r="E108" s="54"/>
      <c r="F108" s="54"/>
      <c r="G108" s="54"/>
      <c r="H108" s="55"/>
    </row>
    <row r="109" ht="15.75" customHeight="1"/>
    <row r="110" ht="15.75" customHeight="1"/>
    <row r="111" ht="15.75" customHeight="1">
      <c r="A111" s="46" t="s">
        <v>312</v>
      </c>
      <c r="E111" s="36" t="s">
        <v>181</v>
      </c>
      <c r="F111" s="47"/>
      <c r="G111" s="36" t="s">
        <v>269</v>
      </c>
      <c r="H111" s="47"/>
    </row>
    <row r="112" ht="15.75" customHeight="1">
      <c r="A112" s="63" t="s">
        <v>280</v>
      </c>
    </row>
    <row r="113" ht="15.75" customHeight="1">
      <c r="A113" s="57" t="s">
        <v>193</v>
      </c>
      <c r="B113" s="19"/>
      <c r="C113" s="20"/>
      <c r="D113" s="20"/>
      <c r="E113" s="20"/>
      <c r="F113" s="20"/>
      <c r="G113" s="20"/>
      <c r="H113" s="21"/>
    </row>
    <row r="114" ht="15.75" customHeight="1">
      <c r="A114" s="57" t="s">
        <v>193</v>
      </c>
      <c r="B114" s="19"/>
      <c r="C114" s="20"/>
      <c r="D114" s="20"/>
      <c r="E114" s="20"/>
      <c r="F114" s="20"/>
      <c r="G114" s="20"/>
      <c r="H114" s="21"/>
    </row>
    <row r="115" ht="15.75" customHeight="1">
      <c r="A115" s="57" t="s">
        <v>193</v>
      </c>
      <c r="B115" s="19"/>
      <c r="C115" s="20"/>
      <c r="D115" s="20"/>
      <c r="E115" s="20"/>
      <c r="F115" s="20"/>
      <c r="G115" s="20"/>
      <c r="H115" s="21"/>
    </row>
    <row r="116" ht="15.75" customHeight="1">
      <c r="A116" s="57" t="s">
        <v>270</v>
      </c>
      <c r="B116" s="19"/>
      <c r="C116" s="20"/>
      <c r="D116" s="20"/>
      <c r="E116" s="20"/>
      <c r="F116" s="20"/>
      <c r="G116" s="20"/>
      <c r="H116" s="21"/>
    </row>
    <row r="117" ht="15.75" customHeight="1">
      <c r="A117" s="49" t="s">
        <v>272</v>
      </c>
      <c r="B117" s="20"/>
      <c r="C117" s="20"/>
      <c r="D117" s="20"/>
      <c r="E117" s="20"/>
      <c r="F117" s="20"/>
      <c r="G117" s="20"/>
      <c r="H117" s="21"/>
    </row>
    <row r="118" ht="15.75" customHeight="1">
      <c r="A118" s="68"/>
      <c r="B118" s="51"/>
      <c r="C118" s="51"/>
      <c r="D118" s="51"/>
      <c r="E118" s="51"/>
      <c r="F118" s="51"/>
      <c r="G118" s="51"/>
      <c r="H118" s="52"/>
    </row>
    <row r="119" ht="15.75" customHeight="1">
      <c r="A119" s="64"/>
      <c r="H119" s="65"/>
    </row>
    <row r="120" ht="15.75" customHeight="1">
      <c r="A120" s="53"/>
      <c r="B120" s="54"/>
      <c r="C120" s="54"/>
      <c r="D120" s="54"/>
      <c r="E120" s="54"/>
      <c r="F120" s="54"/>
      <c r="G120" s="54"/>
      <c r="H120" s="55"/>
    </row>
    <row r="121" ht="15.75" customHeight="1">
      <c r="A121" s="49" t="s">
        <v>274</v>
      </c>
      <c r="B121" s="20"/>
      <c r="C121" s="20"/>
      <c r="D121" s="20"/>
      <c r="E121" s="20"/>
      <c r="F121" s="20"/>
      <c r="G121" s="20"/>
      <c r="H121" s="21"/>
    </row>
    <row r="122" ht="15.75" customHeight="1">
      <c r="A122" s="68"/>
      <c r="B122" s="51"/>
      <c r="C122" s="51"/>
      <c r="D122" s="51"/>
      <c r="E122" s="51"/>
      <c r="F122" s="51"/>
      <c r="G122" s="51"/>
      <c r="H122" s="52"/>
    </row>
    <row r="123" ht="15.75" customHeight="1">
      <c r="A123" s="64"/>
      <c r="H123" s="65"/>
    </row>
    <row r="124" ht="15.75" customHeight="1">
      <c r="A124" s="64"/>
      <c r="H124" s="65"/>
    </row>
    <row r="125" ht="15.75" customHeight="1">
      <c r="A125" s="53"/>
      <c r="B125" s="54"/>
      <c r="C125" s="54"/>
      <c r="D125" s="54"/>
      <c r="E125" s="54"/>
      <c r="F125" s="54"/>
      <c r="G125" s="54"/>
      <c r="H125" s="5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0"/>
    <col customWidth="1" min="2" max="2" width="14.0"/>
    <col customWidth="1" min="3" max="3" width="31.75"/>
    <col customWidth="1" min="4" max="4" width="16.88"/>
  </cols>
  <sheetData>
    <row r="1" ht="15.75" customHeight="1">
      <c r="A1" s="17"/>
    </row>
    <row r="2" ht="15.75" customHeight="1">
      <c r="A2" s="17"/>
      <c r="B2" s="42" t="s">
        <v>313</v>
      </c>
    </row>
    <row r="3" ht="15.75" customHeight="1">
      <c r="A3" s="17"/>
    </row>
    <row r="4" ht="15.75" customHeight="1">
      <c r="A4" s="17"/>
      <c r="B4" s="3" t="s">
        <v>1</v>
      </c>
      <c r="C4" s="3" t="str">
        <f>'Diseño'!C4</f>
        <v>283 - Análisis y Diseño de Sistemas 1</v>
      </c>
    </row>
    <row r="5" ht="15.75" customHeight="1">
      <c r="A5" s="17"/>
      <c r="B5" s="17" t="s">
        <v>3</v>
      </c>
      <c r="C5" s="5" t="s">
        <v>4</v>
      </c>
    </row>
    <row r="6" ht="15.75" customHeight="1">
      <c r="A6" s="17"/>
      <c r="B6" s="17" t="s">
        <v>314</v>
      </c>
      <c r="H6" s="75"/>
    </row>
    <row r="7" ht="15.75" customHeight="1">
      <c r="A7" s="17"/>
    </row>
    <row r="8" ht="15.75" customHeight="1">
      <c r="A8" s="17"/>
    </row>
    <row r="9" ht="15.75" customHeight="1">
      <c r="A9" s="36" t="s">
        <v>315</v>
      </c>
      <c r="B9" s="76"/>
      <c r="D9" s="36" t="s">
        <v>266</v>
      </c>
      <c r="E9" s="77"/>
      <c r="F9" s="78"/>
      <c r="G9" s="78"/>
      <c r="H9" s="78"/>
      <c r="I9" s="78"/>
      <c r="J9" s="78"/>
      <c r="K9" s="78"/>
      <c r="L9" s="78"/>
      <c r="M9" s="78"/>
      <c r="N9" s="78"/>
      <c r="O9" s="78"/>
      <c r="P9" s="78"/>
      <c r="Q9" s="78"/>
      <c r="R9" s="78"/>
      <c r="S9" s="78"/>
      <c r="T9" s="78"/>
      <c r="U9" s="78"/>
      <c r="V9" s="78"/>
      <c r="W9" s="78"/>
      <c r="X9" s="78"/>
      <c r="Y9" s="78"/>
      <c r="Z9" s="78"/>
    </row>
    <row r="10" ht="15.75" customHeight="1">
      <c r="A10" s="79" t="s">
        <v>316</v>
      </c>
      <c r="D10" s="79" t="s">
        <v>317</v>
      </c>
    </row>
    <row r="11" ht="15.75" customHeight="1">
      <c r="A11" s="80"/>
      <c r="B11" s="81"/>
      <c r="C11" s="81"/>
      <c r="D11" s="81"/>
    </row>
    <row r="12" ht="15.75" customHeight="1">
      <c r="A12" s="82" t="s">
        <v>215</v>
      </c>
      <c r="B12" s="83" t="s">
        <v>318</v>
      </c>
      <c r="C12" s="83" t="s">
        <v>319</v>
      </c>
      <c r="D12" s="83" t="s">
        <v>320</v>
      </c>
    </row>
    <row r="13" ht="25.5" customHeight="1">
      <c r="A13" s="44" t="s">
        <v>321</v>
      </c>
      <c r="B13" s="22">
        <f>S.2!C7+S.3!C7+S.4!C7+S.5!C7+S.6!C7+S.7!C7+S.8!C7+S.9!C7+S.10!C7+S.11!C7</f>
        <v>16</v>
      </c>
      <c r="C13" s="22"/>
      <c r="D13" s="22"/>
      <c r="E13" s="79" t="s">
        <v>322</v>
      </c>
    </row>
    <row r="14" ht="15.75" customHeight="1">
      <c r="A14" s="44" t="s">
        <v>266</v>
      </c>
      <c r="B14" s="22">
        <f>Proyectos!C6</f>
        <v>50</v>
      </c>
      <c r="C14" s="22">
        <f>Proyectos!C5</f>
        <v>160</v>
      </c>
      <c r="D14" s="22"/>
    </row>
    <row r="15" ht="15.75" customHeight="1">
      <c r="A15" s="44" t="s">
        <v>281</v>
      </c>
      <c r="B15" s="61">
        <v>16.0</v>
      </c>
      <c r="C15" s="22">
        <f>Practicas!C5</f>
        <v>40</v>
      </c>
      <c r="D15" s="22"/>
    </row>
    <row r="16" ht="15.75" customHeight="1">
      <c r="A16" s="44" t="s">
        <v>294</v>
      </c>
      <c r="B16" s="22">
        <f>Tareas!C6</f>
        <v>8</v>
      </c>
      <c r="C16" s="22">
        <f>Tareas!C5</f>
        <v>8</v>
      </c>
      <c r="D16" s="22"/>
    </row>
    <row r="17" ht="15.75" customHeight="1">
      <c r="A17" s="84" t="s">
        <v>323</v>
      </c>
      <c r="B17" s="61">
        <v>10.0</v>
      </c>
      <c r="C17" s="61">
        <v>1.0</v>
      </c>
      <c r="D17" s="22"/>
    </row>
    <row r="18" ht="15.75" customHeight="1">
      <c r="A18" s="85" t="s">
        <v>324</v>
      </c>
      <c r="B18" s="86">
        <f t="shared" ref="B18:C18" si="1">SUM(B13:B17)</f>
        <v>100</v>
      </c>
      <c r="C18" s="86">
        <f t="shared" si="1"/>
        <v>209</v>
      </c>
      <c r="D18" s="86"/>
    </row>
    <row r="19" ht="15.75" customHeight="1">
      <c r="A19" s="17"/>
    </row>
    <row r="20" ht="15.75" customHeight="1">
      <c r="A20" s="17"/>
    </row>
    <row r="21" ht="15.75" customHeight="1">
      <c r="A21" s="17"/>
    </row>
    <row r="22" ht="15.75" customHeight="1">
      <c r="A22" s="17"/>
    </row>
    <row r="23" ht="15.75" customHeight="1">
      <c r="A23" s="17"/>
    </row>
    <row r="24" ht="15.75" customHeight="1">
      <c r="A24" s="17"/>
    </row>
    <row r="25" ht="15.75" customHeight="1">
      <c r="A25" s="17"/>
    </row>
    <row r="26" ht="15.75" customHeight="1">
      <c r="A26" s="17"/>
    </row>
    <row r="27" ht="15.75" customHeight="1">
      <c r="A27" s="17"/>
    </row>
    <row r="28" ht="15.75" customHeight="1">
      <c r="A28" s="17"/>
    </row>
    <row r="29" ht="15.75" customHeight="1">
      <c r="A29" s="17"/>
    </row>
    <row r="30" ht="15.75" customHeight="1">
      <c r="A30" s="17"/>
    </row>
    <row r="31" ht="15.75" customHeight="1">
      <c r="A31" s="17"/>
    </row>
    <row r="32" ht="15.75" customHeight="1">
      <c r="A32" s="17"/>
    </row>
    <row r="33" ht="15.75" customHeight="1">
      <c r="A33" s="17"/>
    </row>
    <row r="34" ht="15.75" customHeight="1">
      <c r="A34" s="17"/>
    </row>
    <row r="35" ht="15.75" customHeight="1">
      <c r="A35" s="17"/>
    </row>
    <row r="36" ht="15.75" customHeight="1">
      <c r="A36" s="17"/>
    </row>
    <row r="37" ht="15.75" customHeight="1">
      <c r="A37" s="17"/>
    </row>
    <row r="38" ht="15.75" customHeight="1">
      <c r="A38" s="17"/>
    </row>
    <row r="39" ht="15.75" customHeight="1">
      <c r="A39" s="17"/>
    </row>
    <row r="40" ht="15.75" customHeight="1">
      <c r="A40" s="17"/>
    </row>
    <row r="41" ht="15.75" customHeight="1">
      <c r="A41" s="17"/>
    </row>
    <row r="42" ht="15.75" customHeight="1">
      <c r="A42" s="17"/>
    </row>
    <row r="43" ht="15.75" customHeight="1">
      <c r="A43" s="17"/>
    </row>
    <row r="44" ht="15.75" customHeight="1">
      <c r="A44" s="17"/>
    </row>
    <row r="45" ht="15.75" customHeight="1">
      <c r="A45" s="17"/>
    </row>
    <row r="46" ht="15.75" customHeight="1">
      <c r="A46" s="17"/>
    </row>
    <row r="47" ht="15.75" customHeight="1">
      <c r="A47" s="17"/>
    </row>
    <row r="48" ht="15.75" customHeight="1">
      <c r="A48" s="17"/>
    </row>
    <row r="49" ht="15.75" customHeight="1">
      <c r="A49" s="17"/>
    </row>
    <row r="50" ht="15.75" customHeight="1">
      <c r="A50" s="17"/>
    </row>
    <row r="51" ht="15.75" customHeight="1">
      <c r="A51" s="17"/>
    </row>
    <row r="52" ht="15.75" customHeight="1">
      <c r="A52" s="17"/>
    </row>
    <row r="53" ht="15.75" customHeight="1">
      <c r="A53" s="17"/>
    </row>
    <row r="54" ht="15.75" customHeight="1">
      <c r="A54" s="17"/>
    </row>
    <row r="55" ht="15.75" customHeight="1">
      <c r="A55" s="17"/>
    </row>
    <row r="56" ht="15.75" customHeight="1">
      <c r="A56" s="17"/>
    </row>
    <row r="57" ht="15.75" customHeight="1">
      <c r="A57" s="17"/>
    </row>
    <row r="58" ht="15.75" customHeight="1">
      <c r="A58" s="17"/>
    </row>
    <row r="59" ht="15.75" customHeight="1">
      <c r="A59" s="17"/>
    </row>
    <row r="60" ht="15.75" customHeight="1">
      <c r="A60" s="17"/>
    </row>
    <row r="61" ht="15.75" customHeight="1">
      <c r="A61" s="17"/>
    </row>
    <row r="62" ht="15.75" customHeight="1">
      <c r="A62" s="17"/>
    </row>
    <row r="63" ht="15.75" customHeight="1">
      <c r="A63" s="17"/>
    </row>
    <row r="64" ht="15.75" customHeight="1">
      <c r="A64" s="17"/>
    </row>
    <row r="65" ht="15.75" customHeight="1">
      <c r="A65" s="17"/>
    </row>
    <row r="66" ht="15.75" customHeight="1">
      <c r="A66" s="17"/>
    </row>
    <row r="67" ht="15.75" customHeight="1">
      <c r="A67" s="17"/>
    </row>
    <row r="68" ht="15.75" customHeight="1">
      <c r="A68" s="17"/>
    </row>
    <row r="69" ht="15.75" customHeight="1">
      <c r="A69" s="17"/>
    </row>
    <row r="70" ht="15.75" customHeight="1">
      <c r="A70" s="17"/>
    </row>
    <row r="71" ht="15.75" customHeight="1">
      <c r="A71" s="17"/>
    </row>
    <row r="72" ht="15.75" customHeight="1">
      <c r="A72" s="17"/>
    </row>
    <row r="73" ht="15.75" customHeight="1">
      <c r="A73" s="17"/>
    </row>
    <row r="74" ht="15.75" customHeight="1">
      <c r="A74" s="17"/>
    </row>
    <row r="75" ht="15.75" customHeight="1">
      <c r="A75" s="17"/>
    </row>
    <row r="76" ht="15.75" customHeight="1">
      <c r="A76" s="17"/>
    </row>
    <row r="77" ht="15.75" customHeight="1">
      <c r="A77" s="17"/>
    </row>
    <row r="78" ht="15.75" customHeight="1">
      <c r="A78" s="17"/>
    </row>
    <row r="79" ht="15.75" customHeight="1">
      <c r="A79" s="17"/>
    </row>
    <row r="80" ht="15.75" customHeight="1">
      <c r="A80" s="17"/>
    </row>
    <row r="81" ht="15.75" customHeight="1">
      <c r="A81" s="17"/>
    </row>
    <row r="82" ht="15.75" customHeight="1">
      <c r="A82" s="17"/>
    </row>
    <row r="83" ht="15.75" customHeight="1">
      <c r="A83" s="17"/>
    </row>
    <row r="84" ht="15.75" customHeight="1">
      <c r="A84" s="17"/>
    </row>
    <row r="85" ht="15.75" customHeight="1">
      <c r="A85" s="17"/>
    </row>
    <row r="86" ht="15.75" customHeight="1">
      <c r="A86" s="17"/>
    </row>
    <row r="87" ht="15.75" customHeight="1">
      <c r="A87" s="17"/>
    </row>
    <row r="88" ht="15.75" customHeight="1">
      <c r="A88" s="17"/>
    </row>
    <row r="89" ht="15.75" customHeight="1">
      <c r="A89" s="17"/>
    </row>
    <row r="90" ht="15.75" customHeight="1">
      <c r="A90" s="17"/>
    </row>
    <row r="91" ht="15.75" customHeight="1">
      <c r="A91" s="17"/>
    </row>
    <row r="92" ht="15.75" customHeight="1">
      <c r="A92" s="17"/>
    </row>
    <row r="93" ht="15.75" customHeight="1">
      <c r="A93" s="17"/>
    </row>
    <row r="94" ht="15.75" customHeight="1">
      <c r="A94" s="17"/>
    </row>
    <row r="95" ht="15.75" customHeight="1">
      <c r="A95" s="17"/>
    </row>
    <row r="96" ht="15.75" customHeight="1">
      <c r="A96" s="17"/>
    </row>
    <row r="97" ht="15.75" customHeight="1">
      <c r="A97" s="17"/>
    </row>
    <row r="98" ht="15.75" customHeight="1">
      <c r="A98" s="17"/>
    </row>
    <row r="99" ht="15.75" customHeight="1">
      <c r="A99" s="17"/>
    </row>
    <row r="100" ht="15.75" customHeight="1">
      <c r="A100" s="17"/>
    </row>
    <row r="101" ht="15.75" customHeight="1">
      <c r="A101" s="17"/>
    </row>
    <row r="102" ht="15.75" customHeight="1">
      <c r="A102" s="17"/>
    </row>
    <row r="103" ht="15.75" customHeight="1">
      <c r="A103" s="17"/>
    </row>
    <row r="104" ht="15.75" customHeight="1">
      <c r="A104" s="17"/>
    </row>
    <row r="105" ht="15.75" customHeight="1">
      <c r="A105" s="17"/>
    </row>
    <row r="106" ht="15.75" customHeight="1">
      <c r="A106" s="17"/>
    </row>
    <row r="107" ht="15.75" customHeight="1">
      <c r="A107" s="17"/>
    </row>
    <row r="108" ht="15.75" customHeight="1">
      <c r="A108" s="17"/>
    </row>
    <row r="109" ht="15.75" customHeight="1">
      <c r="A109" s="17"/>
    </row>
    <row r="110" ht="15.75" customHeight="1">
      <c r="A110" s="17"/>
    </row>
    <row r="111" ht="15.75" customHeight="1">
      <c r="A111" s="17"/>
    </row>
    <row r="112" ht="15.75" customHeight="1">
      <c r="A112" s="17"/>
    </row>
    <row r="113" ht="15.75" customHeight="1">
      <c r="A113" s="17"/>
    </row>
    <row r="114" ht="15.75" customHeight="1">
      <c r="A114" s="17"/>
    </row>
    <row r="115" ht="15.75" customHeight="1">
      <c r="A115" s="17"/>
    </row>
    <row r="116" ht="15.75" customHeight="1">
      <c r="A116" s="17"/>
    </row>
    <row r="117" ht="15.75" customHeight="1">
      <c r="A117" s="17"/>
    </row>
    <row r="118" ht="15.75" customHeight="1">
      <c r="A118" s="17"/>
    </row>
    <row r="119" ht="15.75" customHeight="1">
      <c r="A119" s="17"/>
    </row>
    <row r="120" ht="15.75" customHeight="1">
      <c r="A120" s="17"/>
    </row>
    <row r="121" ht="15.75" customHeight="1">
      <c r="A121" s="17"/>
    </row>
    <row r="122" ht="15.75" customHeight="1">
      <c r="A122" s="17"/>
    </row>
    <row r="123" ht="15.75" customHeight="1">
      <c r="A123" s="17"/>
    </row>
    <row r="124" ht="15.75" customHeight="1">
      <c r="A124" s="17"/>
    </row>
    <row r="125" ht="15.75" customHeight="1">
      <c r="A125" s="17"/>
    </row>
    <row r="126" ht="15.75" customHeight="1">
      <c r="A126" s="17"/>
    </row>
    <row r="127" ht="15.75" customHeight="1">
      <c r="A127" s="17"/>
    </row>
    <row r="128" ht="15.75" customHeight="1">
      <c r="A128" s="17"/>
    </row>
    <row r="129" ht="15.75" customHeight="1">
      <c r="A129" s="17"/>
    </row>
    <row r="130" ht="15.75" customHeight="1">
      <c r="A130" s="17"/>
    </row>
    <row r="131" ht="15.75" customHeight="1">
      <c r="A131" s="17"/>
    </row>
    <row r="132" ht="15.75" customHeight="1">
      <c r="A132" s="17"/>
    </row>
    <row r="133" ht="15.75" customHeight="1">
      <c r="A133" s="17"/>
    </row>
    <row r="134" ht="15.75" customHeight="1">
      <c r="A134" s="17"/>
    </row>
    <row r="135" ht="15.75" customHeight="1">
      <c r="A135" s="17"/>
    </row>
    <row r="136" ht="15.75" customHeight="1">
      <c r="A136" s="17"/>
    </row>
    <row r="137" ht="15.75" customHeight="1">
      <c r="A137" s="17"/>
    </row>
    <row r="138" ht="15.75" customHeight="1">
      <c r="A138" s="17"/>
    </row>
    <row r="139" ht="15.75" customHeight="1">
      <c r="A139" s="17"/>
    </row>
    <row r="140" ht="15.75" customHeight="1">
      <c r="A140" s="17"/>
    </row>
    <row r="141" ht="15.75" customHeight="1">
      <c r="A141" s="17"/>
    </row>
    <row r="142" ht="15.75" customHeight="1">
      <c r="A142" s="17"/>
    </row>
    <row r="143" ht="15.75" customHeight="1">
      <c r="A143" s="17"/>
    </row>
    <row r="144" ht="15.75" customHeight="1">
      <c r="A144" s="17"/>
    </row>
    <row r="145" ht="15.75" customHeight="1">
      <c r="A145" s="17"/>
    </row>
    <row r="146" ht="15.75" customHeight="1">
      <c r="A146" s="17"/>
    </row>
    <row r="147" ht="15.75" customHeight="1">
      <c r="A147" s="17"/>
    </row>
    <row r="148" ht="15.75" customHeight="1">
      <c r="A148" s="17"/>
    </row>
    <row r="149" ht="15.75" customHeight="1">
      <c r="A149" s="17"/>
    </row>
    <row r="150" ht="15.75" customHeight="1">
      <c r="A150" s="17"/>
    </row>
    <row r="151" ht="15.75" customHeight="1">
      <c r="A151" s="17"/>
    </row>
    <row r="152" ht="15.75" customHeight="1">
      <c r="A152" s="17"/>
    </row>
    <row r="153" ht="15.75" customHeight="1">
      <c r="A153" s="17"/>
    </row>
    <row r="154" ht="15.75" customHeight="1">
      <c r="A154" s="17"/>
    </row>
    <row r="155" ht="15.75" customHeight="1">
      <c r="A155" s="17"/>
    </row>
    <row r="156" ht="15.75" customHeight="1">
      <c r="A156" s="17"/>
    </row>
    <row r="157" ht="15.75" customHeight="1">
      <c r="A157" s="17"/>
    </row>
    <row r="158" ht="15.75" customHeight="1">
      <c r="A158" s="17"/>
    </row>
    <row r="159" ht="15.75" customHeight="1">
      <c r="A159" s="17"/>
    </row>
    <row r="160" ht="15.75" customHeight="1">
      <c r="A160" s="17"/>
    </row>
    <row r="161" ht="15.75" customHeight="1">
      <c r="A161" s="17"/>
    </row>
    <row r="162" ht="15.75" customHeight="1">
      <c r="A162" s="17"/>
    </row>
    <row r="163" ht="15.75" customHeight="1">
      <c r="A163" s="17"/>
    </row>
    <row r="164" ht="15.75" customHeight="1">
      <c r="A164" s="17"/>
    </row>
    <row r="165" ht="15.75" customHeight="1">
      <c r="A165" s="17"/>
    </row>
    <row r="166" ht="15.75" customHeight="1">
      <c r="A166" s="17"/>
    </row>
    <row r="167" ht="15.75" customHeight="1">
      <c r="A167" s="17"/>
    </row>
    <row r="168" ht="15.75" customHeight="1">
      <c r="A168" s="17"/>
    </row>
    <row r="169" ht="15.75" customHeight="1">
      <c r="A169" s="17"/>
    </row>
    <row r="170" ht="15.75" customHeight="1">
      <c r="A170" s="17"/>
    </row>
    <row r="171" ht="15.75" customHeight="1">
      <c r="A171" s="17"/>
    </row>
    <row r="172" ht="15.75" customHeight="1">
      <c r="A172" s="17"/>
    </row>
    <row r="173" ht="15.75" customHeight="1">
      <c r="A173" s="17"/>
    </row>
    <row r="174" ht="15.75" customHeight="1">
      <c r="A174" s="17"/>
    </row>
    <row r="175" ht="15.75" customHeight="1">
      <c r="A175" s="17"/>
    </row>
    <row r="176" ht="15.75" customHeight="1">
      <c r="A176" s="17"/>
    </row>
    <row r="177" ht="15.75" customHeight="1">
      <c r="A177" s="17"/>
    </row>
    <row r="178" ht="15.75" customHeight="1">
      <c r="A178" s="17"/>
    </row>
    <row r="179" ht="15.75" customHeight="1">
      <c r="A179" s="17"/>
    </row>
    <row r="180" ht="15.75" customHeight="1">
      <c r="A180" s="17"/>
    </row>
    <row r="181" ht="15.75" customHeight="1">
      <c r="A181" s="17"/>
    </row>
    <row r="182" ht="15.75" customHeight="1">
      <c r="A182" s="17"/>
    </row>
    <row r="183" ht="15.75" customHeight="1">
      <c r="A183" s="17"/>
    </row>
    <row r="184" ht="15.75" customHeight="1">
      <c r="A184" s="17"/>
    </row>
    <row r="185" ht="15.75" customHeight="1">
      <c r="A185" s="17"/>
    </row>
    <row r="186" ht="15.75" customHeight="1">
      <c r="A186" s="17"/>
    </row>
    <row r="187" ht="15.75" customHeight="1">
      <c r="A187" s="17"/>
    </row>
    <row r="188" ht="15.75" customHeight="1">
      <c r="A188" s="17"/>
    </row>
    <row r="189" ht="15.75" customHeight="1">
      <c r="A189" s="17"/>
    </row>
    <row r="190" ht="15.75" customHeight="1">
      <c r="A190" s="17"/>
    </row>
    <row r="191" ht="15.75" customHeight="1">
      <c r="A191" s="17"/>
    </row>
    <row r="192" ht="15.75" customHeight="1">
      <c r="A192" s="17"/>
    </row>
    <row r="193" ht="15.75" customHeight="1">
      <c r="A193" s="17"/>
    </row>
    <row r="194" ht="15.75" customHeight="1">
      <c r="A194" s="17"/>
    </row>
    <row r="195" ht="15.75" customHeight="1">
      <c r="A195" s="17"/>
    </row>
    <row r="196" ht="15.75" customHeight="1">
      <c r="A196" s="17"/>
    </row>
    <row r="197" ht="15.75" customHeight="1">
      <c r="A197" s="17"/>
    </row>
    <row r="198" ht="15.75" customHeight="1">
      <c r="A198" s="17"/>
    </row>
    <row r="199" ht="15.75" customHeight="1">
      <c r="A199" s="17"/>
    </row>
    <row r="200" ht="15.75" customHeight="1">
      <c r="A200" s="17"/>
    </row>
    <row r="201" ht="15.75" customHeight="1">
      <c r="A201" s="17"/>
    </row>
    <row r="202" ht="15.75" customHeight="1">
      <c r="A202" s="17"/>
    </row>
    <row r="203" ht="15.75" customHeight="1">
      <c r="A203" s="17"/>
    </row>
    <row r="204" ht="15.75" customHeight="1">
      <c r="A204" s="17"/>
    </row>
    <row r="205" ht="15.75" customHeight="1">
      <c r="A205" s="17"/>
    </row>
    <row r="206" ht="15.75" customHeight="1">
      <c r="A206" s="17"/>
    </row>
    <row r="207" ht="15.75" customHeight="1">
      <c r="A207" s="17"/>
    </row>
    <row r="208" ht="15.75" customHeight="1">
      <c r="A208" s="17"/>
    </row>
    <row r="209" ht="15.75" customHeight="1">
      <c r="A209" s="17"/>
    </row>
    <row r="210" ht="15.75" customHeight="1">
      <c r="A210" s="17"/>
    </row>
    <row r="211" ht="15.75" customHeight="1">
      <c r="A211" s="17"/>
    </row>
    <row r="212" ht="15.75" customHeight="1">
      <c r="A212" s="17"/>
    </row>
    <row r="213" ht="15.75" customHeight="1">
      <c r="A213" s="17"/>
    </row>
    <row r="214" ht="15.75" customHeight="1">
      <c r="A214" s="17"/>
    </row>
    <row r="215" ht="15.75" customHeight="1">
      <c r="A215" s="17"/>
    </row>
    <row r="216" ht="15.75" customHeight="1">
      <c r="A216" s="17"/>
    </row>
    <row r="217" ht="15.75" customHeight="1">
      <c r="A217" s="17"/>
    </row>
    <row r="218" ht="15.75" customHeight="1">
      <c r="A218" s="17"/>
    </row>
    <row r="219" ht="15.75" customHeight="1">
      <c r="A219" s="17"/>
    </row>
    <row r="220" ht="15.75" customHeight="1">
      <c r="A220" s="17"/>
    </row>
    <row r="221" ht="15.75" customHeight="1">
      <c r="A221" s="1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