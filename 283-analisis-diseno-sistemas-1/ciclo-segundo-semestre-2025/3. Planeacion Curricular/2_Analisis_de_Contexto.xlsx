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4"/>
    <sheet state="visible" name="Contenidos_Lab_Anterior" sheetId="2" r:id="rId5"/>
    <sheet state="visible" name="Contenido_Lab_Actual" sheetId="3" r:id="rId6"/>
    <sheet state="visible" name="Contenido_Lab_Posterior" sheetId="4" r:id="rId7"/>
  </sheets>
  <definedNames/>
  <calcPr/>
  <extLst>
    <ext uri="GoogleSheetsCustomDataVersion2">
      <go:sheetsCustomData xmlns:go="http://customooxmlschemas.google.com/" r:id="rId8" roundtripDataChecksum="Bp5J2igsES3malq9AfC7Fq8sjtHGUffyloIsSaHG5Uo="/>
    </ext>
  </extLst>
</workbook>
</file>

<file path=xl/sharedStrings.xml><?xml version="1.0" encoding="utf-8"?>
<sst xmlns="http://schemas.openxmlformats.org/spreadsheetml/2006/main" count="837" uniqueCount="235">
  <si>
    <t>Competencias actuales del laboratorio</t>
  </si>
  <si>
    <t>Nombre del Curso</t>
  </si>
  <si>
    <t>Análisis y Diseño de Sistemas 1</t>
  </si>
  <si>
    <t>Código del Curso</t>
  </si>
  <si>
    <t>Semestre</t>
  </si>
  <si>
    <t>Área de Conocimiento</t>
  </si>
  <si>
    <t>Desarrollo de Software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</si>
  <si>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</si>
  <si>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</si>
  <si>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</si>
  <si>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</si>
  <si>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</si>
  <si>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</si>
  <si>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</si>
  <si>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</si>
  <si>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</si>
  <si>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Competencias Actuales</t>
  </si>
  <si>
    <t>Tipo</t>
  </si>
  <si>
    <t>Competencia</t>
  </si>
  <si>
    <t>Nivel de la Taxonomina</t>
  </si>
  <si>
    <t>General</t>
  </si>
  <si>
    <t>Genera soluciones de software aplicando buenas prácticas de análisis, control de versiones y metodologías ágiles para garantizar proyectos eficientes y colaborativos en entornos virtuales de trabajo.</t>
  </si>
  <si>
    <t>Crear</t>
  </si>
  <si>
    <t xml:space="preserve">Integra herramientas de gestión de requerimientos, pruebas y despliegue continuo utilizando estándares de calidad de software y herramientas como Jira, Git y CI/CD con el fin de asegurar la trazabilidad, confiabilidad y funcionalidad del sistema </t>
  </si>
  <si>
    <t>Aplicar</t>
  </si>
  <si>
    <t>Especifica</t>
  </si>
  <si>
    <t xml:space="preserve">Identifica requerimientos funcionales y no funcionales mediante análisis de procesos actuales, revisión de documentación y elaboración de casos de uso para asegurar que el sistema cumpla con las necesidades del usuario </t>
  </si>
  <si>
    <t>Recordar</t>
  </si>
  <si>
    <t xml:space="preserve">Valida la calidad del software mediante pruebas unitarias, pruebas E2E y herramientas de cobertura de código para detectar errores tempranos y mejorar la confiabilidad del sistema </t>
  </si>
  <si>
    <t>Evaluar</t>
  </si>
  <si>
    <t xml:space="preserve">Utiliza metodologias agiles  como scrum y tableros Kanban para entregar software funcional en cortos periodos de tiempo </t>
  </si>
  <si>
    <t xml:space="preserve">Aprende a elegir metodologias de desarrollo comparando los requerimientos que exige el proyecto para entregar software que satisfagan las necesidades solicitadas. </t>
  </si>
  <si>
    <t>Comprender</t>
  </si>
  <si>
    <t xml:space="preserve">Coordina el desarrollo de soluciones grupales empleando metodologias agiles y plataformas colaborativas para organizar y ejecutar reuniones que favorezcan la toma de decisiones y el cumplimiento de objetivos en entornos de trabajo en equipo. </t>
  </si>
  <si>
    <t>Semestre que aplica</t>
  </si>
  <si>
    <t>Primer Semestre 2026</t>
  </si>
  <si>
    <t>No</t>
  </si>
  <si>
    <t>Unidad</t>
  </si>
  <si>
    <t>Tema</t>
  </si>
  <si>
    <t>Subtema</t>
  </si>
  <si>
    <t xml:space="preserve">Genera soluciones de software aplicando buenas prácticas de análisis, control de versiones y metodologías ágiles para garantizar proyectos eficientes y colaborativos en entornos virtuales de trabajo </t>
  </si>
  <si>
    <t>1. Control de Versiones</t>
  </si>
  <si>
    <t>Introducción a los Sistemas de Control de Versiones</t>
  </si>
  <si>
    <t>Introduccion</t>
  </si>
  <si>
    <t>Sistema de control de versiones local</t>
  </si>
  <si>
    <t>Sistema de control de versiones centralizado</t>
  </si>
  <si>
    <t>Sistema de control de versiones distribuido</t>
  </si>
  <si>
    <t>Repositorios publicos</t>
  </si>
  <si>
    <t>Repositorios privados</t>
  </si>
  <si>
    <t>Herramientas</t>
  </si>
  <si>
    <t>Git</t>
  </si>
  <si>
    <t>Introducción</t>
  </si>
  <si>
    <t>Fases de Git</t>
  </si>
  <si>
    <t>Buenas Prácticas en Git</t>
  </si>
  <si>
    <t>Estructura de commits</t>
  </si>
  <si>
    <t>Comandos</t>
  </si>
  <si>
    <t>Ramas</t>
  </si>
  <si>
    <t>GitFlow y Versionamiento Semántico</t>
  </si>
  <si>
    <t>Ramas principales</t>
  </si>
  <si>
    <t>Ramas desarrollo</t>
  </si>
  <si>
    <t>Flujo de trabajo</t>
  </si>
  <si>
    <t>Versionamiento semántico</t>
  </si>
  <si>
    <t>Releases</t>
  </si>
  <si>
    <t>2. Metodologias de Desarrollo</t>
  </si>
  <si>
    <t>Introducción a las Metodologías de Desarrollo</t>
  </si>
  <si>
    <t>Historia</t>
  </si>
  <si>
    <t>Metodologias robustas</t>
  </si>
  <si>
    <t>Metodologias Agiles</t>
  </si>
  <si>
    <t>Factores para la Selección de una Metodología</t>
  </si>
  <si>
    <t>Tendencias Actuales y Futuras</t>
  </si>
  <si>
    <t>Scrum</t>
  </si>
  <si>
    <t>Roles</t>
  </si>
  <si>
    <t>Artefactos</t>
  </si>
  <si>
    <t>Eventos</t>
  </si>
  <si>
    <t>Pilares</t>
  </si>
  <si>
    <t>Técnicas de Estimación</t>
  </si>
  <si>
    <t>Herramientas de Gestion Agil</t>
  </si>
  <si>
    <t>Jira</t>
  </si>
  <si>
    <t>Trello</t>
  </si>
  <si>
    <t>Seleccion de herramientas adecuadas</t>
  </si>
  <si>
    <t>3. Diseño y Desarrollo de Sistemas</t>
  </si>
  <si>
    <t>Modelado y Construcción de Sistemas</t>
  </si>
  <si>
    <t>Ciclo de vida del software</t>
  </si>
  <si>
    <t>Ingenieria de requerimientos</t>
  </si>
  <si>
    <t>Requerimientos funcionales y no funcionales</t>
  </si>
  <si>
    <t>Historias de usuarios</t>
  </si>
  <si>
    <t>Casos de uso</t>
  </si>
  <si>
    <t>Modelado de sistemas con UML</t>
  </si>
  <si>
    <t>Garantía de Calidad del Software</t>
  </si>
  <si>
    <t>Pruebas funcionales y no funcionales</t>
  </si>
  <si>
    <t>Piramide de pruebas</t>
  </si>
  <si>
    <t>Principios SOLID</t>
  </si>
  <si>
    <t>Pruebas unitarias</t>
  </si>
  <si>
    <t>Mocks, stubs y fakes</t>
  </si>
  <si>
    <t>Cobertura de código y métricas</t>
  </si>
  <si>
    <t>Aseguramiento Integral del Software</t>
  </si>
  <si>
    <t>Pruebas No Funcionales</t>
  </si>
  <si>
    <t>Tipos de Pruebas</t>
  </si>
  <si>
    <t>Pruebas End to End</t>
  </si>
  <si>
    <t>Cypress</t>
  </si>
  <si>
    <t>4. Automatizacion de ciclos de vida del software</t>
  </si>
  <si>
    <t xml:space="preserve">Docker </t>
  </si>
  <si>
    <t>Introducción a docker</t>
  </si>
  <si>
    <t xml:space="preserve">Creación y gestión de imágenes </t>
  </si>
  <si>
    <t xml:space="preserve">Creación y gestión de contenedores </t>
  </si>
  <si>
    <t>Docker compose</t>
  </si>
  <si>
    <t>Container Registry</t>
  </si>
  <si>
    <t>DevOps</t>
  </si>
  <si>
    <t>Componentes de CI/CD</t>
  </si>
  <si>
    <t>Principios de integracion continua</t>
  </si>
  <si>
    <t>Beneficios de entrega continua</t>
  </si>
  <si>
    <t>Herramientas de integracion continua</t>
  </si>
  <si>
    <t>Configuracion de pipelines CI</t>
  </si>
  <si>
    <t>Ejecucion de pruebas automatizadas</t>
  </si>
  <si>
    <t>2. Diseño y Desarrollo de Sistemas</t>
  </si>
  <si>
    <t>UI/UX</t>
  </si>
  <si>
    <t>10 Principios de Jakob Nielsen</t>
  </si>
  <si>
    <t>Evolución de las interfaces de usuario</t>
  </si>
  <si>
    <t>Herramientas para UX/UI</t>
  </si>
  <si>
    <t>UX/UI con Frameworks</t>
  </si>
  <si>
    <t>3. Metodologias de Desarrollo</t>
  </si>
  <si>
    <t>SCRUM</t>
  </si>
  <si>
    <t>Agilidad y Organización de Proyectos</t>
  </si>
  <si>
    <t>Fundamentos de la Gestión Visual</t>
  </si>
  <si>
    <t>Orquestador de contenedores</t>
  </si>
  <si>
    <t>Creación y gestión de imágenes</t>
  </si>
  <si>
    <t>Creación y gestión de contenedores</t>
  </si>
  <si>
    <t>Sistemas Organizacionales y Gerenciales 1</t>
  </si>
  <si>
    <t xml:space="preserve">revisa la evolución de los sistemas de información en la empresa mediante el análisis de casos históricos y actuales con el fin de identificar tendencias y áreas de mejora </t>
  </si>
  <si>
    <t>Evolución del sistema de información</t>
  </si>
  <si>
    <t>Definición de sistema de información</t>
  </si>
  <si>
    <t>Historia de los sistemas de información</t>
  </si>
  <si>
    <t>Tipos de sistemas de información</t>
  </si>
  <si>
    <t>Importancia en la empresa</t>
  </si>
  <si>
    <t>Desafíos actuales</t>
  </si>
  <si>
    <t>Ejemplos de sistemas en empresas</t>
  </si>
  <si>
    <t>Futuro de los sistemas de información</t>
  </si>
  <si>
    <t xml:space="preserve">moviliza habilidades de pensamiento crítico y resolución de problemas utilizando estudios de caso empresariales con el fin de fortalecer la toma de decisiones en entornos organizacionales </t>
  </si>
  <si>
    <t>Gestión de recursos de información</t>
  </si>
  <si>
    <t>Fuentes de información</t>
  </si>
  <si>
    <t>Clasificación de la información</t>
  </si>
  <si>
    <t>Herramientas de gestión</t>
  </si>
  <si>
    <t>Procesos de toma de decisiones</t>
  </si>
  <si>
    <t>Ejemplos de gestión efectiva</t>
  </si>
  <si>
    <t>Impacto en la organización</t>
  </si>
  <si>
    <t>Estudio de caso</t>
  </si>
  <si>
    <t xml:space="preserve">integra sistemas de información organizacionales (ERP, SCM, CRM) utilizando tecnologías de información y comunicación con el fin de apoyar la transformación digital y mejorar la toma de decisiones estratégicas </t>
  </si>
  <si>
    <t>Business Analytics</t>
  </si>
  <si>
    <t>Definición de Business Analytics</t>
  </si>
  <si>
    <t>Herramientas de análisis</t>
  </si>
  <si>
    <t>Importancia en la toma de decisiones</t>
  </si>
  <si>
    <t>Ejemplos de Business Analytics</t>
  </si>
  <si>
    <t>Casos de éxito</t>
  </si>
  <si>
    <t>Integración con sistemas de información</t>
  </si>
  <si>
    <t>Tendencias futuras</t>
  </si>
  <si>
    <t>La gestión del conocimiento</t>
  </si>
  <si>
    <t>Concepto de gestión del conocimiento</t>
  </si>
  <si>
    <t>Estrategias de gestión</t>
  </si>
  <si>
    <t>Herramientas tecnológicas</t>
  </si>
  <si>
    <t>Ejemplos de gestión del conocimiento</t>
  </si>
  <si>
    <t>Futuro de la gestión del conocimiento</t>
  </si>
  <si>
    <t>Papel estratégico de las TIC</t>
  </si>
  <si>
    <t>Definición de TIC</t>
  </si>
  <si>
    <t>Historia de las TIC</t>
  </si>
  <si>
    <t>Tipos de TIC</t>
  </si>
  <si>
    <t>Ejemplos de uso de TIC en empresas</t>
  </si>
  <si>
    <t>Futuro de las TIC</t>
  </si>
  <si>
    <t>Sistemas de información en negocios globales</t>
  </si>
  <si>
    <t>Definición de sistemas en negocios globales</t>
  </si>
  <si>
    <t>Impacto en la globalización</t>
  </si>
  <si>
    <t>Ejemplos de implementación</t>
  </si>
  <si>
    <t>Desafíos en la integración</t>
  </si>
  <si>
    <t>Impacto en la cultura empresarial</t>
  </si>
  <si>
    <t>Futuro de los negocios globales</t>
  </si>
  <si>
    <t>Global e-business y colaboración</t>
  </si>
  <si>
    <t>Definición de e-business</t>
  </si>
  <si>
    <t>Estrategias de colaboración</t>
  </si>
  <si>
    <t>Ejemplos de e-business</t>
  </si>
  <si>
    <t>Herramientas para e-business</t>
  </si>
  <si>
    <t>Desafíos en e-business</t>
  </si>
  <si>
    <t>Futuro del e-business</t>
  </si>
  <si>
    <t>Problemas éticos y sociales en sistemas</t>
  </si>
  <si>
    <t>Definición de problemas éticos</t>
  </si>
  <si>
    <t>Ejemplos de problemas éticos</t>
  </si>
  <si>
    <t>Impacto social de las TIC</t>
  </si>
  <si>
    <t>Casos de estudio</t>
  </si>
  <si>
    <t>Desafíos éticos en la implementación</t>
  </si>
  <si>
    <t>Futuro de la ética en TIC</t>
  </si>
  <si>
    <t>Conclusiones sobre problemas éticos</t>
  </si>
  <si>
    <t>Clases de sistemas de información</t>
  </si>
  <si>
    <t>Sistemas funcionales</t>
  </si>
  <si>
    <t>ERP</t>
  </si>
  <si>
    <t>SCM</t>
  </si>
  <si>
    <t>CRM</t>
  </si>
  <si>
    <t>Sistemas distribuidos</t>
  </si>
  <si>
    <t>GIS</t>
  </si>
  <si>
    <t>Conclusiones sobre clases de sistemas</t>
  </si>
  <si>
    <t>Integración de sistemas</t>
  </si>
  <si>
    <t>Definición de integración</t>
  </si>
  <si>
    <t>Beneficios de la integración</t>
  </si>
  <si>
    <t>Ejemplos de integración</t>
  </si>
  <si>
    <t>Herramientas de integración</t>
  </si>
  <si>
    <t>Impacto en la eficiencia organizacional</t>
  </si>
  <si>
    <t>Futuro de la integración</t>
  </si>
  <si>
    <t>Arquitectura de sistemas</t>
  </si>
  <si>
    <t>Definición de arquitectura de sistemas</t>
  </si>
  <si>
    <t>Tipos de arquitectura</t>
  </si>
  <si>
    <t>Ejemplos de arquitecturas</t>
  </si>
  <si>
    <t>Herramientas para arquitecturas</t>
  </si>
  <si>
    <t>Futuro de la arquitectura de sistemas</t>
  </si>
  <si>
    <t>Conclusiones sobre arquitectura</t>
  </si>
  <si>
    <t xml:space="preserve">diseña soluciones de sistemas de información geográfica (GIS) y de inteligencia de negocios (BI) utilizando software especializado con el fin de optimizar la visualización y análisis de datos estratégicos </t>
  </si>
  <si>
    <t>El ciclo de vida de un sistema</t>
  </si>
  <si>
    <t>Definición del ciclo de vida</t>
  </si>
  <si>
    <t>Etapas del ciclo de vida</t>
  </si>
  <si>
    <t>Herramientas para el ciclo de vida</t>
  </si>
  <si>
    <t>Importancia del ciclo de vida</t>
  </si>
  <si>
    <t>Ejemplos de aplicación</t>
  </si>
  <si>
    <t>Desafíos en el ciclo de vida</t>
  </si>
  <si>
    <t>Futuro del ciclo de vida</t>
  </si>
  <si>
    <t xml:space="preserve">combina técnicas de trabajo en equipo y colaboración interdisciplinaria empleando metodologías ágiles de gestión de proyectos con el fin de fomentar la innovación y eficiencia organizacional </t>
  </si>
  <si>
    <t>E-learning</t>
  </si>
  <si>
    <t>Definición de e-learning</t>
  </si>
  <si>
    <t>Ventajas del e-learning</t>
  </si>
  <si>
    <t>Desafíos del e-learning</t>
  </si>
  <si>
    <t>Herramientas para e-learning</t>
  </si>
  <si>
    <t>Futuro del e-learning</t>
  </si>
  <si>
    <t>Conclusiones sobre e-learning</t>
  </si>
  <si>
    <t>Gamificación en educación</t>
  </si>
  <si>
    <t>Definición de plataformas educativas</t>
  </si>
  <si>
    <t>Ejemplos de plataformas educativas</t>
  </si>
  <si>
    <t>Ventajas de las plataformas</t>
  </si>
  <si>
    <t>Desafíos de las plataformas</t>
  </si>
  <si>
    <t>Futuro de las plataformas</t>
  </si>
  <si>
    <t>Conclusiones sobre plataformas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</si>
</sst>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color rgb="FFFFFFFF"/>
      <name val="Arial"/>
    </font>
    <font>
      <b/>
      <sz val="12.0"/>
      <color rgb="FF404040"/>
      <name val="Roboto"/>
    </font>
    <font/>
    <font>
      <sz val="12.0"/>
      <color theme="1"/>
      <name val="Arial"/>
    </font>
    <font>
      <b/>
      <sz val="12.0"/>
      <color theme="1"/>
      <name val="Roboto"/>
    </font>
    <font>
      <b/>
      <sz val="16.0"/>
      <color rgb="FF404040"/>
      <name val="Roboto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color theme="1"/>
      <name val="Ari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1" fillId="3" fontId="4" numFmtId="0" xfId="0" applyAlignment="1" applyBorder="1" applyFill="1" applyFont="1">
      <alignment vertical="bottom"/>
    </xf>
    <xf borderId="2" fillId="0" fontId="5" numFmtId="0" xfId="0" applyBorder="1" applyFont="1"/>
    <xf borderId="1" fillId="2" fontId="6" numFmtId="0" xfId="0" applyAlignment="1" applyBorder="1" applyFont="1">
      <alignment horizontal="center" readingOrder="0" vertical="bottom"/>
    </xf>
    <xf borderId="3" fillId="0" fontId="5" numFmtId="0" xfId="0" applyBorder="1" applyFont="1"/>
    <xf borderId="1" fillId="4" fontId="1" numFmtId="0" xfId="0" applyAlignment="1" applyBorder="1" applyFill="1" applyFont="1">
      <alignment horizontal="center" readingOrder="0" vertical="bottom"/>
    </xf>
    <xf borderId="1" fillId="0" fontId="6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vertical="bottom"/>
    </xf>
    <xf borderId="0" fillId="5" fontId="8" numFmtId="0" xfId="0" applyAlignment="1" applyFill="1" applyFont="1">
      <alignment horizontal="center" vertical="bottom"/>
    </xf>
    <xf borderId="0" fillId="6" fontId="9" numFmtId="0" xfId="0" applyAlignment="1" applyFill="1" applyFont="1">
      <alignment horizontal="center" shrinkToFit="0" vertical="bottom" wrapText="1"/>
    </xf>
    <xf borderId="0" fillId="7" fontId="9" numFmtId="0" xfId="0" applyAlignment="1" applyFill="1" applyFont="1">
      <alignment horizontal="center" shrinkToFit="0" vertical="bottom" wrapText="1"/>
    </xf>
    <xf borderId="0" fillId="8" fontId="9" numFmtId="0" xfId="0" applyAlignment="1" applyFill="1" applyFont="1">
      <alignment horizontal="center" vertical="bottom"/>
    </xf>
    <xf borderId="4" fillId="0" fontId="10" numFmtId="0" xfId="0" applyAlignment="1" applyBorder="1" applyFont="1">
      <alignment shrinkToFit="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2" fontId="11" numFmtId="0" xfId="0" applyAlignment="1" applyBorder="1" applyFont="1">
      <alignment shrinkToFit="0" wrapText="1"/>
    </xf>
    <xf borderId="4" fillId="0" fontId="12" numFmtId="0" xfId="0" applyAlignment="1" applyBorder="1" applyFont="1">
      <alignment shrinkToFit="0" wrapText="1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right" readingOrder="0" shrinkToFit="0" vertical="bottom" wrapText="1"/>
    </xf>
    <xf borderId="4" fillId="2" fontId="1" numFmtId="0" xfId="0" applyAlignment="1" applyBorder="1" applyFont="1">
      <alignment horizontal="center" readingOrder="0" shrinkToFit="0" vertical="bottom" wrapText="1"/>
    </xf>
    <xf borderId="4" fillId="2" fontId="1" numFmtId="0" xfId="0" applyAlignment="1" applyBorder="1" applyFont="1">
      <alignment vertical="bottom"/>
    </xf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right" readingOrder="0" shrinkToFit="0" wrapText="1"/>
    </xf>
    <xf borderId="4" fillId="0" fontId="1" numFmtId="0" xfId="0" applyBorder="1" applyFont="1"/>
    <xf borderId="4" fillId="0" fontId="1" numFmtId="0" xfId="0" applyAlignment="1" applyBorder="1" applyFont="1">
      <alignment vertical="bottom"/>
    </xf>
    <xf borderId="4" fillId="2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readingOrder="0"/>
    </xf>
    <xf borderId="4" fillId="9" fontId="9" numFmtId="0" xfId="0" applyAlignment="1" applyBorder="1" applyFill="1" applyFont="1">
      <alignment horizontal="center" shrinkToFit="0" vertical="bottom" wrapText="1"/>
    </xf>
    <xf borderId="4" fillId="9" fontId="9" numFmtId="0" xfId="0" applyAlignment="1" applyBorder="1" applyFont="1">
      <alignment horizontal="center" vertical="bottom"/>
    </xf>
    <xf borderId="1" fillId="9" fontId="9" numFmtId="0" xfId="0" applyAlignment="1" applyBorder="1" applyFont="1">
      <alignment horizontal="center" vertical="bottom"/>
    </xf>
    <xf borderId="4" fillId="0" fontId="1" numFmtId="0" xfId="0" applyAlignment="1" applyBorder="1" applyFont="1">
      <alignment readingOrder="0" shrinkToFit="0" vertical="bottom" wrapText="1"/>
    </xf>
    <xf borderId="0" fillId="0" fontId="13" numFmtId="0" xfId="0" applyAlignment="1" applyFont="1">
      <alignment readingOrder="0"/>
    </xf>
    <xf borderId="1" fillId="0" fontId="1" numFmtId="0" xfId="0" applyAlignment="1" applyBorder="1" applyFont="1">
      <alignment readingOrder="0" shrinkToFit="0" vertical="bottom" wrapText="1"/>
    </xf>
    <xf borderId="4" fillId="0" fontId="1" numFmtId="0" xfId="0" applyAlignment="1" applyBorder="1" applyFont="1">
      <alignment horizontal="right" shrinkToFit="0" vertical="bottom" wrapText="1"/>
    </xf>
    <xf borderId="4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shrinkToFit="0" vertical="bottom" wrapText="1"/>
    </xf>
    <xf borderId="1" fillId="10" fontId="4" numFmtId="0" xfId="0" applyAlignment="1" applyBorder="1" applyFill="1" applyFont="1">
      <alignment shrinkToFit="0" vertical="bottom" wrapText="1"/>
    </xf>
    <xf borderId="1" fillId="0" fontId="4" numFmtId="0" xfId="0" applyAlignment="1" applyBorder="1" applyFont="1">
      <alignment readingOrder="0" vertical="bottom"/>
    </xf>
    <xf borderId="1" fillId="0" fontId="1" numFmtId="0" xfId="0" applyBorder="1" applyFont="1"/>
    <xf borderId="0" fillId="0" fontId="1" numFmtId="0" xfId="0" applyAlignment="1" applyFont="1">
      <alignment shrinkToFit="0" wrapText="1"/>
    </xf>
    <xf borderId="4" fillId="10" fontId="1" numFmtId="0" xfId="0" applyAlignment="1" applyBorder="1" applyFont="1">
      <alignment shrinkToFit="0" vertical="bottom" wrapText="1"/>
    </xf>
    <xf borderId="0" fillId="0" fontId="13" numFmtId="0" xfId="0" applyAlignment="1" applyFont="1">
      <alignment readingOrder="0" shrinkToFit="0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shrinkToFit="0" vertical="bottom" wrapText="1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85725</xdr:rowOff>
    </xdr:from>
    <xdr:ext cx="1123950" cy="1543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38100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19050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28575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25.13"/>
    <col customWidth="1" min="8" max="8" width="23.75"/>
    <col customWidth="1" min="12" max="12" width="37.0"/>
  </cols>
  <sheetData>
    <row r="1" ht="15.75" customHeight="1">
      <c r="A1" s="1"/>
      <c r="B1" s="2" t="s">
        <v>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tr">
        <f>VALUE(LEFT(F4,FIND(" - ",F4)-1))</f>
        <v>#VALUE!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1"/>
      <c r="C3" s="1"/>
      <c r="D3" s="5" t="s">
        <v>1</v>
      </c>
      <c r="E3" s="6"/>
      <c r="F3" s="7" t="s">
        <v>2</v>
      </c>
      <c r="G3" s="8"/>
      <c r="H3" s="8"/>
      <c r="I3" s="8"/>
      <c r="J3" s="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/>
      <c r="B4" s="1"/>
      <c r="C4" s="1"/>
      <c r="D4" s="5" t="s">
        <v>3</v>
      </c>
      <c r="E4" s="6"/>
      <c r="F4" s="9">
        <v>283.0</v>
      </c>
      <c r="G4" s="8"/>
      <c r="H4" s="8"/>
      <c r="I4" s="8"/>
      <c r="J4" s="6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1"/>
      <c r="C5" s="1"/>
      <c r="D5" s="5" t="s">
        <v>4</v>
      </c>
      <c r="E5" s="6"/>
      <c r="F5" s="10">
        <v>8.0</v>
      </c>
      <c r="G5" s="8"/>
      <c r="H5" s="8"/>
      <c r="I5" s="8"/>
      <c r="J5" s="6"/>
      <c r="K5" s="3"/>
      <c r="L5" s="1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1"/>
      <c r="C6" s="1"/>
      <c r="D6" s="5" t="s">
        <v>5</v>
      </c>
      <c r="E6" s="6"/>
      <c r="F6" s="10" t="s">
        <v>6</v>
      </c>
      <c r="G6" s="8"/>
      <c r="H6" s="8"/>
      <c r="I6" s="8"/>
      <c r="J6" s="6"/>
      <c r="K6" s="3"/>
      <c r="L6" s="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11" t="s">
        <v>7</v>
      </c>
      <c r="E7" s="6"/>
      <c r="F7" s="10">
        <v>6.0</v>
      </c>
      <c r="G7" s="8"/>
      <c r="H7" s="8"/>
      <c r="I7" s="8"/>
      <c r="J7" s="6"/>
      <c r="K7" s="3"/>
      <c r="L7" s="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11" t="s">
        <v>8</v>
      </c>
      <c r="E8" s="6"/>
      <c r="F8" s="10">
        <v>4.0</v>
      </c>
      <c r="G8" s="8"/>
      <c r="H8" s="8"/>
      <c r="I8" s="8"/>
      <c r="J8" s="6"/>
      <c r="K8" s="3"/>
      <c r="L8" s="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12" t="s">
        <v>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13" t="s">
        <v>10</v>
      </c>
      <c r="E13" s="3"/>
      <c r="F13" s="14" t="s">
        <v>11</v>
      </c>
      <c r="I13" s="3"/>
      <c r="J13" s="15" t="s">
        <v>12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16" t="s">
        <v>13</v>
      </c>
      <c r="C14" s="16" t="s">
        <v>14</v>
      </c>
      <c r="D14" s="16" t="s">
        <v>15</v>
      </c>
      <c r="E14" s="3"/>
      <c r="F14" s="17" t="s">
        <v>13</v>
      </c>
      <c r="G14" s="16" t="s">
        <v>14</v>
      </c>
      <c r="H14" s="16" t="s">
        <v>15</v>
      </c>
      <c r="I14" s="3"/>
      <c r="J14" s="18" t="s">
        <v>13</v>
      </c>
      <c r="K14" s="19" t="s">
        <v>14</v>
      </c>
      <c r="L14" s="19" t="s">
        <v>15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20">
        <v>1.0</v>
      </c>
      <c r="C15" s="21">
        <v>774.0</v>
      </c>
      <c r="D15" s="20" t="str">
        <f>IFERROR(__xludf.DUMMYFUNCTION("IF(C15="""","""",VLOOKUP(C15,IMPORTRANGE(""1j2lHEvOoZ_EPY086Qt7f7AFaZGVfiYKJxXlsnNfWCA0"", ""Listado Cursos!A:B""),2,FALSE))"),"Sistemas de Bases de Datos 1")</f>
        <v>Sistemas de Bases de Datos 1</v>
      </c>
      <c r="E15" s="3"/>
      <c r="F15" s="20">
        <v>1.0</v>
      </c>
      <c r="G15" s="22">
        <v>285.0</v>
      </c>
      <c r="H15" s="23" t="str">
        <f>IFERROR(__xludf.DUMMYFUNCTION("IF(G15="""","""",VLOOKUP(G15,IMPORTRANGE(""1j2lHEvOoZ_EPY086Qt7f7AFaZGVfiYKJxXlsnNfWCA0"", ""Listado Cursos!A:B""),2,FALSE))"),"Sistemas Operativos 2")</f>
        <v>Sistemas Operativos 2</v>
      </c>
      <c r="I15" s="3"/>
      <c r="J15" s="24">
        <v>1.0</v>
      </c>
      <c r="K15" s="25">
        <v>786.0</v>
      </c>
      <c r="L15" s="26" t="str">
        <f>IFERROR(__xludf.DUMMYFUNCTION("IF(K15="""","""",VLOOKUP(K15,IMPORTRANGE(""1j2lHEvOoZ_EPY086Qt7f7AFaZGVfiYKJxXlsnNfWCA0"", ""Listado Cursos!A:B""),2,FALSE))"),"Sistemas Organizacionales y Gerenciales 1")</f>
        <v>Sistemas Organizacionales y Gerenciales 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20">
        <v>2.0</v>
      </c>
      <c r="C16" s="27"/>
      <c r="D16" s="27" t="str">
        <f>IFERROR(__xludf.DUMMYFUNCTION("IF(C16="""","""",VLOOKUP(C16,IMPORTRANGE(""1j2lHEvOoZ_EPY086Qt7f7AFaZGVfiYKJxXlsnNfWCA0"", ""Listado Cursos!A:B""),2,FALSE))"),"")</f>
        <v/>
      </c>
      <c r="E16" s="3"/>
      <c r="F16" s="20">
        <v>2.0</v>
      </c>
      <c r="G16" s="28">
        <v>975.0</v>
      </c>
      <c r="H16" s="23" t="str">
        <f>IFERROR(__xludf.DUMMYFUNCTION("IF(G16="""","""",VLOOKUP(G16,IMPORTRANGE(""1j2lHEvOoZ_EPY086Qt7f7AFaZGVfiYKJxXlsnNfWCA0"", ""Listado Cursos!A:B""),2,FALSE))"),"Redes de Computadoras 2")</f>
        <v>Redes de Computadoras 2</v>
      </c>
      <c r="I16" s="3"/>
      <c r="J16" s="24">
        <v>2.0</v>
      </c>
      <c r="K16" s="29">
        <v>785.0</v>
      </c>
      <c r="L16" s="26" t="str">
        <f>IFERROR(__xludf.DUMMYFUNCTION("IF(K16="""","""",VLOOKUP(K16,IMPORTRANGE(""1j2lHEvOoZ_EPY086Qt7f7AFaZGVfiYKJxXlsnNfWCA0"", ""Listado Cursos!A:B""),2,FALSE))"),"Análisis y Diseño de Sistemas 2")</f>
        <v>Análisis y Diseño de Sistemas 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20">
        <v>3.0</v>
      </c>
      <c r="C17" s="27"/>
      <c r="D17" s="27" t="str">
        <f>IFERROR(__xludf.DUMMYFUNCTION("IF(C17="""","""",VLOOKUP(C17,IMPORTRANGE(""1j2lHEvOoZ_EPY086Qt7f7AFaZGVfiYKJxXlsnNfWCA0"", ""Listado Cursos!A:B""),2,FALSE))"),"")</f>
        <v/>
      </c>
      <c r="E17" s="3"/>
      <c r="F17" s="20">
        <v>3.0</v>
      </c>
      <c r="G17" s="28">
        <v>775.0</v>
      </c>
      <c r="H17" s="23" t="str">
        <f>IFERROR(__xludf.DUMMYFUNCTION("IF(G17="""","""",VLOOKUP(G17,IMPORTRANGE(""1j2lHEvOoZ_EPY086Qt7f7AFaZGVfiYKJxXlsnNfWCA0"", ""Listado Cursos!A:B""),2,FALSE))"),"Sistemas de Bases de Datos 2")</f>
        <v>Sistemas de Bases de Datos 2</v>
      </c>
      <c r="I17" s="3"/>
      <c r="J17" s="24">
        <v>3.0</v>
      </c>
      <c r="K17" s="29">
        <v>788.0</v>
      </c>
      <c r="L17" s="26" t="str">
        <f>IFERROR(__xludf.DUMMYFUNCTION("IF(K17="""","""",VLOOKUP(K17,IMPORTRANGE(""1j2lHEvOoZ_EPY086Qt7f7AFaZGVfiYKJxXlsnNfWCA0"", ""Listado Cursos!A:B""),2,FALSE))"),"Sistemas Aplicados 1")</f>
        <v>Sistemas Aplicados 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20">
        <v>4.0</v>
      </c>
      <c r="C18" s="27"/>
      <c r="D18" s="27" t="str">
        <f>IFERROR(__xludf.DUMMYFUNCTION("IF(C18="""","""",VLOOKUP(C18,IMPORTRANGE(""1j2lHEvOoZ_EPY086Qt7f7AFaZGVfiYKJxXlsnNfWCA0"", ""Listado Cursos!A:B""),2,FALSE))"),"")</f>
        <v/>
      </c>
      <c r="E18" s="3"/>
      <c r="F18" s="20">
        <v>4.0</v>
      </c>
      <c r="G18" s="28">
        <v>797.0</v>
      </c>
      <c r="H18" s="23" t="str">
        <f>IFERROR(__xludf.DUMMYFUNCTION("IF(G18="""","""",VLOOKUP(G18,IMPORTRANGE(""1j2lHEvOoZ_EPY086Qt7f7AFaZGVfiYKJxXlsnNfWCA0"", ""Listado Cursos!A:B""),2,FALSE))"),"Seminario de Sistemas 1")</f>
        <v>Seminario de Sistemas 1</v>
      </c>
      <c r="I18" s="3"/>
      <c r="J18" s="24">
        <v>4.0</v>
      </c>
      <c r="K18" s="29">
        <v>2009.0</v>
      </c>
      <c r="L18" s="26" t="str">
        <f>IFERROR(__xludf.DUMMYFUNCTION("IF(K18="""","""",VLOOKUP(K18,IMPORTRANGE(""1j2lHEvOoZ_EPY086Qt7f7AFaZGVfiYKJxXlsnNfWCA0"", ""Listado Cursos!A:B""),2,FALSE))"),"Prácticas Finales Ingeniería Ciencias y Sistemas")</f>
        <v>Prácticas Finales Ingeniería Ciencias y Sistemas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20">
        <v>5.0</v>
      </c>
      <c r="C19" s="27"/>
      <c r="D19" s="27" t="str">
        <f>IFERROR(__xludf.DUMMYFUNCTION("IF(C19="""","""",VLOOKUP(C19,IMPORTRANGE(""1j2lHEvOoZ_EPY086Qt7f7AFaZGVfiYKJxXlsnNfWCA0"", ""Listado Cursos!A:B""),2,FALSE))"),"")</f>
        <v/>
      </c>
      <c r="E19" s="3"/>
      <c r="F19" s="20">
        <v>5.0</v>
      </c>
      <c r="G19" s="28">
        <v>700.0</v>
      </c>
      <c r="H19" s="23" t="str">
        <f>IFERROR(__xludf.DUMMYFUNCTION("IF(G19="""","""",VLOOKUP(G19,IMPORTRANGE(""1j2lHEvOoZ_EPY086Qt7f7AFaZGVfiYKJxXlsnNfWCA0"", ""Listado Cursos!A:B""),2,FALSE))"),"Ingeniería Económica 1")</f>
        <v>Ingeniería Económica 1</v>
      </c>
      <c r="I19" s="3"/>
      <c r="J19" s="24">
        <v>5.0</v>
      </c>
      <c r="K19" s="26"/>
      <c r="L19" s="2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20">
        <v>6.0</v>
      </c>
      <c r="C20" s="27"/>
      <c r="D20" s="27" t="str">
        <f>IFERROR(__xludf.DUMMYFUNCTION("IF(C20="""","""",VLOOKUP(C20,IMPORTRANGE(""1j2lHEvOoZ_EPY086Qt7f7AFaZGVfiYKJxXlsnNfWCA0"", ""Listado Cursos!A:B""),2,FALSE))"),"")</f>
        <v/>
      </c>
      <c r="E20" s="3"/>
      <c r="F20" s="20">
        <v>6.0</v>
      </c>
      <c r="G20" s="23"/>
      <c r="H20" s="27"/>
      <c r="I20" s="3"/>
      <c r="J20" s="24">
        <v>6.0</v>
      </c>
      <c r="K20" s="26"/>
      <c r="L20" s="2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20">
        <v>7.0</v>
      </c>
      <c r="C21" s="27"/>
      <c r="D21" s="27" t="str">
        <f>IFERROR(__xludf.DUMMYFUNCTION("IF(C21="""","""",VLOOKUP(C21,IMPORTRANGE(""1j2lHEvOoZ_EPY086Qt7f7AFaZGVfiYKJxXlsnNfWCA0"", ""Listado Cursos!A:B""),2,FALSE))"),"")</f>
        <v/>
      </c>
      <c r="E21" s="3"/>
      <c r="F21" s="20">
        <v>7.0</v>
      </c>
      <c r="G21" s="23"/>
      <c r="H21" s="27"/>
      <c r="I21" s="3"/>
      <c r="J21" s="24">
        <v>7.0</v>
      </c>
      <c r="K21" s="26"/>
      <c r="L21" s="2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20">
        <v>8.0</v>
      </c>
      <c r="C22" s="27"/>
      <c r="D22" s="27" t="str">
        <f>IFERROR(__xludf.DUMMYFUNCTION("IF(C22="""","""",VLOOKUP(C22,IMPORTRANGE(""1j2lHEvOoZ_EPY086Qt7f7AFaZGVfiYKJxXlsnNfWCA0"", ""Listado Cursos!A:B""),2,FALSE))"),"")</f>
        <v/>
      </c>
      <c r="E22" s="3"/>
      <c r="F22" s="20">
        <v>8.0</v>
      </c>
      <c r="G22" s="23"/>
      <c r="H22" s="27"/>
      <c r="I22" s="3"/>
      <c r="J22" s="24">
        <v>8.0</v>
      </c>
      <c r="K22" s="26"/>
      <c r="L22" s="2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20">
        <v>9.0</v>
      </c>
      <c r="C23" s="27"/>
      <c r="D23" s="27" t="str">
        <f>IFERROR(__xludf.DUMMYFUNCTION("IF(C23="""","""",VLOOKUP(C23,IMPORTRANGE(""1j2lHEvOoZ_EPY086Qt7f7AFaZGVfiYKJxXlsnNfWCA0"", ""Listado Cursos!A:B""),2,FALSE))"),"")</f>
        <v/>
      </c>
      <c r="E23" s="3"/>
      <c r="F23" s="20">
        <v>9.0</v>
      </c>
      <c r="G23" s="27"/>
      <c r="H23" s="27"/>
      <c r="I23" s="3"/>
      <c r="J23" s="24">
        <v>9.0</v>
      </c>
      <c r="K23" s="26"/>
      <c r="L23" s="2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20">
        <v>10.0</v>
      </c>
      <c r="C24" s="27"/>
      <c r="D24" s="27" t="str">
        <f>IFERROR(__xludf.DUMMYFUNCTION("IF(C24="""","""",VLOOKUP(C24,IMPORTRANGE(""1j2lHEvOoZ_EPY086Qt7f7AFaZGVfiYKJxXlsnNfWCA0"", ""Listado Cursos!A:B""),2,FALSE))"),"")</f>
        <v/>
      </c>
      <c r="E24" s="3"/>
      <c r="F24" s="20">
        <v>10.0</v>
      </c>
      <c r="G24" s="27"/>
      <c r="H24" s="27"/>
      <c r="I24" s="3"/>
      <c r="J24" s="24">
        <v>10.0</v>
      </c>
      <c r="K24" s="26"/>
      <c r="L24" s="2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20">
        <v>11.0</v>
      </c>
      <c r="C25" s="27"/>
      <c r="D25" s="27" t="str">
        <f>IFERROR(__xludf.DUMMYFUNCTION("IF(C25="""","""",VLOOKUP(C25,IMPORTRANGE(""1j2lHEvOoZ_EPY086Qt7f7AFaZGVfiYKJxXlsnNfWCA0"", ""Listado Cursos!A:B""),2,FALSE))"),"")</f>
        <v/>
      </c>
      <c r="E25" s="3"/>
      <c r="F25" s="20">
        <v>11.0</v>
      </c>
      <c r="G25" s="27"/>
      <c r="H25" s="27"/>
      <c r="I25" s="3"/>
      <c r="J25" s="24">
        <v>11.0</v>
      </c>
      <c r="K25" s="26"/>
      <c r="L25" s="2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20">
        <v>12.0</v>
      </c>
      <c r="C26" s="23"/>
      <c r="D26" s="27" t="str">
        <f>IFERROR(__xludf.DUMMYFUNCTION("IF(C26="""","""",VLOOKUP(C26,IMPORTRANGE(""1j2lHEvOoZ_EPY086Qt7f7AFaZGVfiYKJxXlsnNfWCA0"", ""Listado Cursos!A:B""),2,FALSE))"),"")</f>
        <v/>
      </c>
      <c r="E26" s="3"/>
      <c r="F26" s="20">
        <v>12.0</v>
      </c>
      <c r="G26" s="27"/>
      <c r="H26" s="27"/>
      <c r="I26" s="3"/>
      <c r="J26" s="24">
        <v>12.0</v>
      </c>
      <c r="K26" s="26"/>
      <c r="L26" s="2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20">
        <v>13.0</v>
      </c>
      <c r="C27" s="23"/>
      <c r="D27" s="27" t="str">
        <f>IFERROR(__xludf.DUMMYFUNCTION("IF(C27="""","""",VLOOKUP(C27,IMPORTRANGE(""1j2lHEvOoZ_EPY086Qt7f7AFaZGVfiYKJxXlsnNfWCA0"", ""Listado Cursos!A:B""),2,FALSE))"),"")</f>
        <v/>
      </c>
      <c r="E27" s="3"/>
      <c r="F27" s="20">
        <v>13.0</v>
      </c>
      <c r="G27" s="27"/>
      <c r="H27" s="27"/>
      <c r="I27" s="3"/>
      <c r="J27" s="24">
        <v>13.0</v>
      </c>
      <c r="K27" s="26"/>
      <c r="L27" s="2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20">
        <v>14.0</v>
      </c>
      <c r="C28" s="23"/>
      <c r="D28" s="27" t="str">
        <f>IFERROR(__xludf.DUMMYFUNCTION("IF(C28="""","""",VLOOKUP(C28,IMPORTRANGE(""1j2lHEvOoZ_EPY086Qt7f7AFaZGVfiYKJxXlsnNfWCA0"", ""Listado Cursos!A:B""),2,FALSE))"),"")</f>
        <v/>
      </c>
      <c r="E28" s="3"/>
      <c r="F28" s="20">
        <v>14.0</v>
      </c>
      <c r="G28" s="27"/>
      <c r="H28" s="27"/>
      <c r="I28" s="3"/>
      <c r="J28" s="24">
        <v>14.0</v>
      </c>
      <c r="K28" s="26"/>
      <c r="L28" s="2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12" t="s">
        <v>16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0" t="s">
        <v>13</v>
      </c>
      <c r="C33" s="31" t="s">
        <v>17</v>
      </c>
      <c r="D33" s="32" t="s">
        <v>18</v>
      </c>
      <c r="E33" s="8"/>
      <c r="F33" s="8"/>
      <c r="G33" s="8"/>
      <c r="H33" s="8"/>
      <c r="I33" s="8"/>
      <c r="J33" s="8"/>
      <c r="K33" s="6"/>
      <c r="L33" s="30" t="s">
        <v>19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3">
        <v>1.0</v>
      </c>
      <c r="C34" s="34" t="s">
        <v>20</v>
      </c>
      <c r="D34" s="35" t="s">
        <v>21</v>
      </c>
      <c r="E34" s="8"/>
      <c r="F34" s="8"/>
      <c r="G34" s="8"/>
      <c r="H34" s="8"/>
      <c r="I34" s="8"/>
      <c r="J34" s="8"/>
      <c r="K34" s="6"/>
      <c r="L34" s="33" t="s">
        <v>22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6">
        <v>2.0</v>
      </c>
      <c r="C35" s="37" t="s">
        <v>20</v>
      </c>
      <c r="D35" s="38" t="s">
        <v>23</v>
      </c>
      <c r="E35" s="8"/>
      <c r="F35" s="8"/>
      <c r="G35" s="8"/>
      <c r="H35" s="8"/>
      <c r="I35" s="8"/>
      <c r="J35" s="8"/>
      <c r="K35" s="6"/>
      <c r="L35" s="37" t="s">
        <v>24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6">
        <v>3.0</v>
      </c>
      <c r="C36" s="37" t="s">
        <v>25</v>
      </c>
      <c r="D36" s="38" t="s">
        <v>26</v>
      </c>
      <c r="E36" s="8"/>
      <c r="F36" s="8"/>
      <c r="G36" s="8"/>
      <c r="H36" s="8"/>
      <c r="I36" s="8"/>
      <c r="J36" s="8"/>
      <c r="K36" s="6"/>
      <c r="L36" s="37" t="s">
        <v>27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6">
        <v>4.0</v>
      </c>
      <c r="C37" s="37" t="s">
        <v>25</v>
      </c>
      <c r="D37" s="38" t="s">
        <v>28</v>
      </c>
      <c r="E37" s="8"/>
      <c r="F37" s="8"/>
      <c r="G37" s="8"/>
      <c r="H37" s="8"/>
      <c r="I37" s="8"/>
      <c r="J37" s="8"/>
      <c r="K37" s="6"/>
      <c r="L37" s="37" t="s">
        <v>29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6">
        <v>5.0</v>
      </c>
      <c r="C38" s="37" t="s">
        <v>25</v>
      </c>
      <c r="D38" s="38" t="s">
        <v>30</v>
      </c>
      <c r="E38" s="8"/>
      <c r="F38" s="8"/>
      <c r="G38" s="8"/>
      <c r="H38" s="8"/>
      <c r="I38" s="8"/>
      <c r="J38" s="8"/>
      <c r="K38" s="6"/>
      <c r="L38" s="37" t="s">
        <v>29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6">
        <v>6.0</v>
      </c>
      <c r="C39" s="37" t="s">
        <v>25</v>
      </c>
      <c r="D39" s="38" t="s">
        <v>31</v>
      </c>
      <c r="E39" s="8"/>
      <c r="F39" s="8"/>
      <c r="G39" s="8"/>
      <c r="H39" s="8"/>
      <c r="I39" s="8"/>
      <c r="J39" s="8"/>
      <c r="K39" s="6"/>
      <c r="L39" s="37" t="s">
        <v>32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6">
        <v>7.0</v>
      </c>
      <c r="C40" s="37" t="s">
        <v>20</v>
      </c>
      <c r="D40" s="38" t="s">
        <v>33</v>
      </c>
      <c r="E40" s="8"/>
      <c r="F40" s="8"/>
      <c r="G40" s="8"/>
      <c r="H40" s="8"/>
      <c r="I40" s="8"/>
      <c r="J40" s="8"/>
      <c r="K40" s="6"/>
      <c r="L40" s="37" t="s">
        <v>22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1:L1"/>
    <mergeCell ref="D3:E3"/>
    <mergeCell ref="D4:E4"/>
    <mergeCell ref="F4:J4"/>
    <mergeCell ref="D5:E5"/>
    <mergeCell ref="F5:J5"/>
    <mergeCell ref="F3:J3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3" max="3" width="36.38"/>
    <col customWidth="1" min="4" max="4" width="25.88"/>
    <col customWidth="1" min="5" max="5" width="21.25"/>
    <col customWidth="1" min="6" max="6" width="16.5"/>
  </cols>
  <sheetData>
    <row r="2">
      <c r="B2" s="39" t="s">
        <v>1</v>
      </c>
      <c r="C2" s="40" t="s">
        <v>2</v>
      </c>
      <c r="D2" s="8"/>
      <c r="E2" s="8"/>
      <c r="F2" s="6"/>
    </row>
    <row r="3">
      <c r="B3" s="39" t="s">
        <v>34</v>
      </c>
      <c r="C3" s="41" t="s">
        <v>35</v>
      </c>
      <c r="D3" s="8"/>
      <c r="E3" s="8"/>
      <c r="F3" s="6"/>
    </row>
    <row r="4">
      <c r="B4" s="42"/>
    </row>
    <row r="5">
      <c r="B5" s="43" t="s">
        <v>36</v>
      </c>
      <c r="C5" s="43" t="s">
        <v>18</v>
      </c>
      <c r="D5" s="43" t="s">
        <v>37</v>
      </c>
      <c r="E5" s="43" t="s">
        <v>38</v>
      </c>
      <c r="F5" s="43" t="s">
        <v>39</v>
      </c>
    </row>
    <row r="6">
      <c r="B6" s="44">
        <v>1.0</v>
      </c>
      <c r="C6" s="45" t="s">
        <v>40</v>
      </c>
      <c r="D6" s="46" t="s">
        <v>41</v>
      </c>
      <c r="E6" s="46" t="s">
        <v>42</v>
      </c>
      <c r="F6" s="46" t="s">
        <v>43</v>
      </c>
    </row>
    <row r="7">
      <c r="B7" s="47">
        <v>2.0</v>
      </c>
      <c r="C7" s="45" t="s">
        <v>40</v>
      </c>
      <c r="D7" s="45" t="s">
        <v>41</v>
      </c>
      <c r="E7" s="45" t="s">
        <v>42</v>
      </c>
      <c r="F7" s="45" t="s">
        <v>44</v>
      </c>
    </row>
    <row r="8">
      <c r="B8" s="47">
        <v>3.0</v>
      </c>
      <c r="C8" s="45" t="s">
        <v>40</v>
      </c>
      <c r="D8" s="45" t="s">
        <v>41</v>
      </c>
      <c r="E8" s="45" t="s">
        <v>42</v>
      </c>
      <c r="F8" s="45" t="s">
        <v>45</v>
      </c>
    </row>
    <row r="9">
      <c r="B9" s="47">
        <v>4.0</v>
      </c>
      <c r="C9" s="45" t="s">
        <v>40</v>
      </c>
      <c r="D9" s="45" t="s">
        <v>41</v>
      </c>
      <c r="E9" s="45" t="s">
        <v>42</v>
      </c>
      <c r="F9" s="45" t="s">
        <v>46</v>
      </c>
    </row>
    <row r="10">
      <c r="B10" s="47">
        <v>5.0</v>
      </c>
      <c r="C10" s="45" t="s">
        <v>40</v>
      </c>
      <c r="D10" s="45" t="s">
        <v>41</v>
      </c>
      <c r="E10" s="45" t="s">
        <v>42</v>
      </c>
      <c r="F10" s="45" t="s">
        <v>47</v>
      </c>
    </row>
    <row r="11">
      <c r="B11" s="47">
        <v>6.0</v>
      </c>
      <c r="C11" s="45" t="s">
        <v>40</v>
      </c>
      <c r="D11" s="45" t="s">
        <v>41</v>
      </c>
      <c r="E11" s="45" t="s">
        <v>42</v>
      </c>
      <c r="F11" s="45" t="s">
        <v>48</v>
      </c>
    </row>
    <row r="12">
      <c r="B12" s="47">
        <v>7.0</v>
      </c>
      <c r="C12" s="45" t="s">
        <v>40</v>
      </c>
      <c r="D12" s="45" t="s">
        <v>41</v>
      </c>
      <c r="E12" s="45" t="s">
        <v>42</v>
      </c>
      <c r="F12" s="45" t="s">
        <v>49</v>
      </c>
    </row>
    <row r="13">
      <c r="B13" s="47">
        <v>8.0</v>
      </c>
      <c r="C13" s="45" t="s">
        <v>33</v>
      </c>
      <c r="D13" s="45" t="s">
        <v>41</v>
      </c>
      <c r="E13" s="45" t="s">
        <v>50</v>
      </c>
      <c r="F13" s="45" t="s">
        <v>51</v>
      </c>
    </row>
    <row r="14">
      <c r="B14" s="47">
        <v>9.0</v>
      </c>
      <c r="C14" s="45" t="s">
        <v>33</v>
      </c>
      <c r="D14" s="45" t="s">
        <v>41</v>
      </c>
      <c r="E14" s="45" t="s">
        <v>50</v>
      </c>
      <c r="F14" s="45" t="s">
        <v>52</v>
      </c>
    </row>
    <row r="15">
      <c r="B15" s="47">
        <v>10.0</v>
      </c>
      <c r="C15" s="45" t="s">
        <v>33</v>
      </c>
      <c r="D15" s="45" t="s">
        <v>41</v>
      </c>
      <c r="E15" s="45" t="s">
        <v>50</v>
      </c>
      <c r="F15" s="45" t="s">
        <v>53</v>
      </c>
    </row>
    <row r="16">
      <c r="B16" s="47">
        <v>11.0</v>
      </c>
      <c r="C16" s="45" t="s">
        <v>33</v>
      </c>
      <c r="D16" s="45" t="s">
        <v>41</v>
      </c>
      <c r="E16" s="45" t="s">
        <v>50</v>
      </c>
      <c r="F16" s="45" t="s">
        <v>54</v>
      </c>
    </row>
    <row r="17">
      <c r="B17" s="47">
        <v>12.0</v>
      </c>
      <c r="C17" s="45" t="s">
        <v>33</v>
      </c>
      <c r="D17" s="45" t="s">
        <v>41</v>
      </c>
      <c r="E17" s="45" t="s">
        <v>50</v>
      </c>
      <c r="F17" s="45" t="s">
        <v>55</v>
      </c>
    </row>
    <row r="18">
      <c r="B18" s="47">
        <v>13.0</v>
      </c>
      <c r="C18" s="45" t="s">
        <v>33</v>
      </c>
      <c r="D18" s="45" t="s">
        <v>41</v>
      </c>
      <c r="E18" s="45" t="s">
        <v>50</v>
      </c>
      <c r="F18" s="45" t="s">
        <v>56</v>
      </c>
    </row>
    <row r="19">
      <c r="B19" s="47">
        <v>14.0</v>
      </c>
      <c r="C19" s="45" t="s">
        <v>33</v>
      </c>
      <c r="D19" s="45" t="s">
        <v>41</v>
      </c>
      <c r="E19" s="45" t="s">
        <v>57</v>
      </c>
      <c r="F19" s="45" t="s">
        <v>51</v>
      </c>
    </row>
    <row r="20">
      <c r="B20" s="47">
        <v>15.0</v>
      </c>
      <c r="C20" s="45" t="s">
        <v>33</v>
      </c>
      <c r="D20" s="45" t="s">
        <v>41</v>
      </c>
      <c r="E20" s="45" t="s">
        <v>57</v>
      </c>
      <c r="F20" s="45" t="s">
        <v>58</v>
      </c>
    </row>
    <row r="21">
      <c r="B21" s="47">
        <v>16.0</v>
      </c>
      <c r="C21" s="45" t="s">
        <v>33</v>
      </c>
      <c r="D21" s="45" t="s">
        <v>41</v>
      </c>
      <c r="E21" s="45" t="s">
        <v>57</v>
      </c>
      <c r="F21" s="45" t="s">
        <v>59</v>
      </c>
    </row>
    <row r="22">
      <c r="B22" s="47">
        <v>17.0</v>
      </c>
      <c r="C22" s="45" t="s">
        <v>33</v>
      </c>
      <c r="D22" s="45" t="s">
        <v>41</v>
      </c>
      <c r="E22" s="45" t="s">
        <v>57</v>
      </c>
      <c r="F22" s="45" t="s">
        <v>60</v>
      </c>
    </row>
    <row r="23">
      <c r="B23" s="47">
        <v>18.0</v>
      </c>
      <c r="C23" s="45" t="s">
        <v>33</v>
      </c>
      <c r="D23" s="45" t="s">
        <v>41</v>
      </c>
      <c r="E23" s="45" t="s">
        <v>57</v>
      </c>
      <c r="F23" s="45" t="s">
        <v>61</v>
      </c>
    </row>
    <row r="24">
      <c r="B24" s="47">
        <v>19.0</v>
      </c>
      <c r="C24" s="45" t="s">
        <v>33</v>
      </c>
      <c r="D24" s="45" t="s">
        <v>41</v>
      </c>
      <c r="E24" s="45" t="s">
        <v>57</v>
      </c>
      <c r="F24" s="45" t="s">
        <v>62</v>
      </c>
    </row>
    <row r="25">
      <c r="B25" s="47">
        <v>20.0</v>
      </c>
      <c r="C25" s="45" t="s">
        <v>31</v>
      </c>
      <c r="D25" s="45" t="s">
        <v>63</v>
      </c>
      <c r="E25" s="45" t="s">
        <v>64</v>
      </c>
      <c r="F25" s="45" t="s">
        <v>51</v>
      </c>
    </row>
    <row r="26">
      <c r="B26" s="47">
        <v>21.0</v>
      </c>
      <c r="C26" s="45" t="s">
        <v>31</v>
      </c>
      <c r="D26" s="45" t="s">
        <v>63</v>
      </c>
      <c r="E26" s="45" t="s">
        <v>64</v>
      </c>
      <c r="F26" s="45" t="s">
        <v>65</v>
      </c>
    </row>
    <row r="27">
      <c r="B27" s="47">
        <v>22.0</v>
      </c>
      <c r="C27" s="45" t="s">
        <v>31</v>
      </c>
      <c r="D27" s="45" t="s">
        <v>63</v>
      </c>
      <c r="E27" s="45" t="s">
        <v>64</v>
      </c>
      <c r="F27" s="45" t="s">
        <v>66</v>
      </c>
    </row>
    <row r="28">
      <c r="B28" s="47">
        <v>23.0</v>
      </c>
      <c r="C28" s="45" t="s">
        <v>31</v>
      </c>
      <c r="D28" s="45" t="s">
        <v>63</v>
      </c>
      <c r="E28" s="45" t="s">
        <v>64</v>
      </c>
      <c r="F28" s="45" t="s">
        <v>67</v>
      </c>
    </row>
    <row r="29">
      <c r="B29" s="47">
        <v>24.0</v>
      </c>
      <c r="C29" s="45" t="s">
        <v>31</v>
      </c>
      <c r="D29" s="45" t="s">
        <v>63</v>
      </c>
      <c r="E29" s="45" t="s">
        <v>64</v>
      </c>
      <c r="F29" s="45" t="s">
        <v>68</v>
      </c>
    </row>
    <row r="30">
      <c r="B30" s="47">
        <v>25.0</v>
      </c>
      <c r="C30" s="45" t="s">
        <v>31</v>
      </c>
      <c r="D30" s="45" t="s">
        <v>63</v>
      </c>
      <c r="E30" s="45" t="s">
        <v>64</v>
      </c>
      <c r="F30" s="45" t="s">
        <v>69</v>
      </c>
    </row>
    <row r="31">
      <c r="B31" s="47">
        <v>26.0</v>
      </c>
      <c r="C31" s="45" t="s">
        <v>30</v>
      </c>
      <c r="D31" s="45" t="s">
        <v>63</v>
      </c>
      <c r="E31" s="45" t="s">
        <v>70</v>
      </c>
      <c r="F31" s="45" t="s">
        <v>51</v>
      </c>
    </row>
    <row r="32">
      <c r="B32" s="47">
        <v>27.0</v>
      </c>
      <c r="C32" s="45" t="s">
        <v>30</v>
      </c>
      <c r="D32" s="45" t="s">
        <v>63</v>
      </c>
      <c r="E32" s="45" t="s">
        <v>70</v>
      </c>
      <c r="F32" s="45" t="s">
        <v>71</v>
      </c>
    </row>
    <row r="33">
      <c r="B33" s="47">
        <v>28.0</v>
      </c>
      <c r="C33" s="45" t="s">
        <v>30</v>
      </c>
      <c r="D33" s="45" t="s">
        <v>63</v>
      </c>
      <c r="E33" s="45" t="s">
        <v>70</v>
      </c>
      <c r="F33" s="45" t="s">
        <v>72</v>
      </c>
    </row>
    <row r="34">
      <c r="B34" s="47">
        <v>29.0</v>
      </c>
      <c r="C34" s="45" t="s">
        <v>30</v>
      </c>
      <c r="D34" s="45" t="s">
        <v>63</v>
      </c>
      <c r="E34" s="45" t="s">
        <v>70</v>
      </c>
      <c r="F34" s="45" t="s">
        <v>73</v>
      </c>
    </row>
    <row r="35">
      <c r="B35" s="47">
        <v>30.0</v>
      </c>
      <c r="C35" s="45" t="s">
        <v>30</v>
      </c>
      <c r="D35" s="45" t="s">
        <v>63</v>
      </c>
      <c r="E35" s="45" t="s">
        <v>70</v>
      </c>
      <c r="F35" s="45" t="s">
        <v>74</v>
      </c>
    </row>
    <row r="36">
      <c r="B36" s="47">
        <v>31.0</v>
      </c>
      <c r="C36" s="45" t="s">
        <v>30</v>
      </c>
      <c r="D36" s="45" t="s">
        <v>63</v>
      </c>
      <c r="E36" s="45" t="s">
        <v>70</v>
      </c>
      <c r="F36" s="45" t="s">
        <v>75</v>
      </c>
    </row>
    <row r="37">
      <c r="B37" s="47">
        <v>32.0</v>
      </c>
      <c r="C37" s="45" t="s">
        <v>23</v>
      </c>
      <c r="D37" s="45" t="s">
        <v>63</v>
      </c>
      <c r="E37" s="45" t="s">
        <v>76</v>
      </c>
      <c r="F37" s="45" t="s">
        <v>43</v>
      </c>
    </row>
    <row r="38">
      <c r="B38" s="47">
        <v>33.0</v>
      </c>
      <c r="C38" s="45" t="s">
        <v>23</v>
      </c>
      <c r="D38" s="45" t="s">
        <v>63</v>
      </c>
      <c r="E38" s="45" t="s">
        <v>76</v>
      </c>
      <c r="F38" s="45" t="s">
        <v>77</v>
      </c>
    </row>
    <row r="39">
      <c r="B39" s="47">
        <v>34.0</v>
      </c>
      <c r="C39" s="45" t="s">
        <v>23</v>
      </c>
      <c r="D39" s="45" t="s">
        <v>63</v>
      </c>
      <c r="E39" s="45" t="s">
        <v>76</v>
      </c>
      <c r="F39" s="45" t="s">
        <v>78</v>
      </c>
    </row>
    <row r="40">
      <c r="B40" s="47">
        <v>35.0</v>
      </c>
      <c r="C40" s="45" t="s">
        <v>23</v>
      </c>
      <c r="D40" s="45" t="s">
        <v>63</v>
      </c>
      <c r="E40" s="45" t="s">
        <v>76</v>
      </c>
      <c r="F40" s="45" t="s">
        <v>79</v>
      </c>
    </row>
    <row r="41">
      <c r="B41" s="47">
        <v>36.0</v>
      </c>
      <c r="C41" s="45" t="s">
        <v>31</v>
      </c>
      <c r="D41" s="45" t="s">
        <v>80</v>
      </c>
      <c r="E41" s="45" t="s">
        <v>81</v>
      </c>
      <c r="F41" s="45" t="s">
        <v>82</v>
      </c>
    </row>
    <row r="42">
      <c r="B42" s="47">
        <v>37.0</v>
      </c>
      <c r="C42" s="45" t="s">
        <v>31</v>
      </c>
      <c r="D42" s="45" t="s">
        <v>80</v>
      </c>
      <c r="E42" s="45" t="s">
        <v>81</v>
      </c>
      <c r="F42" s="45" t="s">
        <v>83</v>
      </c>
    </row>
    <row r="43">
      <c r="B43" s="47">
        <v>38.0</v>
      </c>
      <c r="C43" s="45" t="s">
        <v>28</v>
      </c>
      <c r="D43" s="45" t="s">
        <v>80</v>
      </c>
      <c r="E43" s="45" t="s">
        <v>81</v>
      </c>
      <c r="F43" s="45" t="s">
        <v>84</v>
      </c>
    </row>
    <row r="44">
      <c r="B44" s="47">
        <v>39.0</v>
      </c>
      <c r="C44" s="45" t="s">
        <v>31</v>
      </c>
      <c r="D44" s="45" t="s">
        <v>80</v>
      </c>
      <c r="E44" s="45" t="s">
        <v>81</v>
      </c>
      <c r="F44" s="45" t="s">
        <v>85</v>
      </c>
    </row>
    <row r="45">
      <c r="B45" s="47">
        <v>40.0</v>
      </c>
      <c r="C45" s="45" t="s">
        <v>31</v>
      </c>
      <c r="D45" s="45" t="s">
        <v>80</v>
      </c>
      <c r="E45" s="45" t="s">
        <v>81</v>
      </c>
      <c r="F45" s="45" t="s">
        <v>86</v>
      </c>
    </row>
    <row r="46">
      <c r="B46" s="47">
        <v>41.0</v>
      </c>
      <c r="C46" s="45" t="s">
        <v>31</v>
      </c>
      <c r="D46" s="45" t="s">
        <v>80</v>
      </c>
      <c r="E46" s="45" t="s">
        <v>81</v>
      </c>
      <c r="F46" s="45" t="s">
        <v>87</v>
      </c>
    </row>
    <row r="47">
      <c r="B47" s="47">
        <v>42.0</v>
      </c>
      <c r="C47" s="45" t="s">
        <v>28</v>
      </c>
      <c r="D47" s="45" t="s">
        <v>80</v>
      </c>
      <c r="E47" s="45" t="s">
        <v>88</v>
      </c>
      <c r="F47" s="45" t="s">
        <v>89</v>
      </c>
    </row>
    <row r="48">
      <c r="B48" s="47">
        <v>43.0</v>
      </c>
      <c r="C48" s="45" t="s">
        <v>28</v>
      </c>
      <c r="D48" s="45" t="s">
        <v>80</v>
      </c>
      <c r="E48" s="45" t="s">
        <v>88</v>
      </c>
      <c r="F48" s="45" t="s">
        <v>90</v>
      </c>
    </row>
    <row r="49">
      <c r="B49" s="47">
        <v>44.0</v>
      </c>
      <c r="C49" s="45" t="s">
        <v>26</v>
      </c>
      <c r="D49" s="45" t="s">
        <v>80</v>
      </c>
      <c r="E49" s="45" t="s">
        <v>88</v>
      </c>
      <c r="F49" s="45" t="s">
        <v>91</v>
      </c>
    </row>
    <row r="50">
      <c r="B50" s="47">
        <v>45.0</v>
      </c>
      <c r="C50" s="45" t="s">
        <v>28</v>
      </c>
      <c r="D50" s="45" t="s">
        <v>80</v>
      </c>
      <c r="E50" s="45" t="s">
        <v>88</v>
      </c>
      <c r="F50" s="45" t="s">
        <v>92</v>
      </c>
    </row>
    <row r="51">
      <c r="B51" s="47">
        <v>46.0</v>
      </c>
      <c r="C51" s="45" t="s">
        <v>28</v>
      </c>
      <c r="D51" s="45" t="s">
        <v>80</v>
      </c>
      <c r="E51" s="45" t="s">
        <v>88</v>
      </c>
      <c r="F51" s="45" t="s">
        <v>93</v>
      </c>
    </row>
    <row r="52">
      <c r="B52" s="47">
        <v>47.0</v>
      </c>
      <c r="C52" s="45" t="s">
        <v>28</v>
      </c>
      <c r="D52" s="45" t="s">
        <v>80</v>
      </c>
      <c r="E52" s="45" t="s">
        <v>88</v>
      </c>
      <c r="F52" s="45" t="s">
        <v>94</v>
      </c>
    </row>
    <row r="53">
      <c r="B53" s="47">
        <v>48.0</v>
      </c>
      <c r="C53" s="45" t="s">
        <v>28</v>
      </c>
      <c r="D53" s="45" t="s">
        <v>80</v>
      </c>
      <c r="E53" s="45" t="s">
        <v>95</v>
      </c>
      <c r="F53" s="45" t="s">
        <v>96</v>
      </c>
    </row>
    <row r="54">
      <c r="B54" s="47">
        <v>49.0</v>
      </c>
      <c r="C54" s="45" t="s">
        <v>28</v>
      </c>
      <c r="D54" s="45" t="s">
        <v>80</v>
      </c>
      <c r="E54" s="45" t="s">
        <v>95</v>
      </c>
      <c r="F54" s="45" t="s">
        <v>97</v>
      </c>
    </row>
    <row r="55">
      <c r="B55" s="47">
        <v>50.0</v>
      </c>
      <c r="C55" s="45" t="s">
        <v>28</v>
      </c>
      <c r="D55" s="45" t="s">
        <v>80</v>
      </c>
      <c r="E55" s="45" t="s">
        <v>95</v>
      </c>
      <c r="F55" s="45" t="s">
        <v>98</v>
      </c>
    </row>
    <row r="56">
      <c r="B56" s="47">
        <v>51.0</v>
      </c>
      <c r="C56" s="45" t="s">
        <v>28</v>
      </c>
      <c r="D56" s="45" t="s">
        <v>80</v>
      </c>
      <c r="E56" s="45" t="s">
        <v>95</v>
      </c>
      <c r="F56" s="45" t="s">
        <v>99</v>
      </c>
    </row>
    <row r="57">
      <c r="B57" s="47">
        <v>52.0</v>
      </c>
      <c r="C57" s="45" t="s">
        <v>28</v>
      </c>
      <c r="D57" s="45" t="s">
        <v>100</v>
      </c>
      <c r="E57" s="45" t="s">
        <v>101</v>
      </c>
      <c r="F57" s="45" t="s">
        <v>102</v>
      </c>
    </row>
    <row r="58">
      <c r="B58" s="47">
        <v>53.0</v>
      </c>
      <c r="C58" s="45" t="s">
        <v>23</v>
      </c>
      <c r="D58" s="45" t="s">
        <v>100</v>
      </c>
      <c r="E58" s="45" t="s">
        <v>101</v>
      </c>
      <c r="F58" s="45" t="s">
        <v>103</v>
      </c>
    </row>
    <row r="59">
      <c r="B59" s="47">
        <v>54.0</v>
      </c>
      <c r="C59" s="45" t="s">
        <v>23</v>
      </c>
      <c r="D59" s="45" t="s">
        <v>100</v>
      </c>
      <c r="E59" s="45" t="s">
        <v>101</v>
      </c>
      <c r="F59" s="45" t="s">
        <v>104</v>
      </c>
    </row>
    <row r="60">
      <c r="B60" s="47">
        <v>55.0</v>
      </c>
      <c r="C60" s="45" t="s">
        <v>23</v>
      </c>
      <c r="D60" s="45" t="s">
        <v>100</v>
      </c>
      <c r="E60" s="45" t="s">
        <v>101</v>
      </c>
      <c r="F60" s="45" t="s">
        <v>105</v>
      </c>
    </row>
    <row r="61">
      <c r="B61" s="47">
        <v>56.0</v>
      </c>
      <c r="C61" s="45" t="s">
        <v>23</v>
      </c>
      <c r="D61" s="45" t="s">
        <v>100</v>
      </c>
      <c r="E61" s="45" t="s">
        <v>101</v>
      </c>
      <c r="F61" s="45" t="s">
        <v>106</v>
      </c>
    </row>
    <row r="62">
      <c r="B62" s="47">
        <v>57.0</v>
      </c>
      <c r="C62" s="45" t="s">
        <v>23</v>
      </c>
      <c r="D62" s="45" t="s">
        <v>100</v>
      </c>
      <c r="E62" s="45" t="s">
        <v>107</v>
      </c>
      <c r="F62" s="45" t="s">
        <v>51</v>
      </c>
    </row>
    <row r="63">
      <c r="B63" s="47">
        <v>58.0</v>
      </c>
      <c r="C63" s="45" t="s">
        <v>23</v>
      </c>
      <c r="D63" s="45" t="s">
        <v>100</v>
      </c>
      <c r="E63" s="45" t="s">
        <v>107</v>
      </c>
      <c r="F63" s="45" t="s">
        <v>108</v>
      </c>
    </row>
    <row r="64">
      <c r="B64" s="47">
        <v>59.0</v>
      </c>
      <c r="C64" s="45" t="s">
        <v>23</v>
      </c>
      <c r="D64" s="45" t="s">
        <v>100</v>
      </c>
      <c r="E64" s="45" t="s">
        <v>107</v>
      </c>
      <c r="F64" s="45" t="s">
        <v>109</v>
      </c>
    </row>
    <row r="65">
      <c r="B65" s="47">
        <v>60.0</v>
      </c>
      <c r="C65" s="45" t="s">
        <v>23</v>
      </c>
      <c r="D65" s="45" t="s">
        <v>100</v>
      </c>
      <c r="E65" s="45" t="s">
        <v>107</v>
      </c>
      <c r="F65" s="45" t="s">
        <v>110</v>
      </c>
    </row>
    <row r="66">
      <c r="B66" s="47">
        <v>61.0</v>
      </c>
      <c r="C66" s="45" t="s">
        <v>23</v>
      </c>
      <c r="D66" s="45" t="s">
        <v>100</v>
      </c>
      <c r="E66" s="45" t="s">
        <v>107</v>
      </c>
      <c r="F66" s="45" t="s">
        <v>111</v>
      </c>
    </row>
    <row r="67">
      <c r="B67" s="47">
        <v>62.0</v>
      </c>
      <c r="C67" s="45" t="s">
        <v>23</v>
      </c>
      <c r="D67" s="45" t="s">
        <v>100</v>
      </c>
      <c r="E67" s="45" t="s">
        <v>107</v>
      </c>
      <c r="F67" s="45" t="s">
        <v>112</v>
      </c>
    </row>
    <row r="68">
      <c r="B68" s="47">
        <v>63.0</v>
      </c>
      <c r="C68" s="45" t="s">
        <v>23</v>
      </c>
      <c r="D68" s="45" t="s">
        <v>100</v>
      </c>
      <c r="E68" s="45" t="s">
        <v>107</v>
      </c>
      <c r="F68" s="45" t="s">
        <v>113</v>
      </c>
    </row>
  </sheetData>
  <mergeCells count="2">
    <mergeCell ref="C2:F2"/>
    <mergeCell ref="C3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88"/>
    <col customWidth="1" min="3" max="3" width="48.88"/>
    <col customWidth="1" min="4" max="4" width="22.75"/>
    <col customWidth="1" min="5" max="5" width="21.88"/>
    <col customWidth="1" min="6" max="6" width="25.88"/>
  </cols>
  <sheetData>
    <row r="1">
      <c r="B1" s="42"/>
    </row>
    <row r="2">
      <c r="B2" s="39" t="s">
        <v>1</v>
      </c>
      <c r="C2" s="40" t="s">
        <v>2</v>
      </c>
      <c r="D2" s="8"/>
      <c r="E2" s="8"/>
      <c r="F2" s="6"/>
      <c r="G2" s="48"/>
      <c r="H2" s="48"/>
    </row>
    <row r="3">
      <c r="B3" s="39" t="s">
        <v>34</v>
      </c>
      <c r="C3" s="41" t="s">
        <v>35</v>
      </c>
      <c r="D3" s="8"/>
      <c r="E3" s="8"/>
      <c r="F3" s="6"/>
    </row>
    <row r="4">
      <c r="B4" s="42"/>
    </row>
    <row r="5">
      <c r="B5" s="43" t="s">
        <v>36</v>
      </c>
      <c r="C5" s="43" t="s">
        <v>18</v>
      </c>
      <c r="D5" s="43" t="s">
        <v>37</v>
      </c>
      <c r="E5" s="43" t="s">
        <v>38</v>
      </c>
      <c r="F5" s="43" t="s">
        <v>39</v>
      </c>
    </row>
    <row r="6">
      <c r="B6" s="49">
        <v>1.0</v>
      </c>
      <c r="C6" s="45" t="s">
        <v>40</v>
      </c>
      <c r="D6" s="45" t="s">
        <v>41</v>
      </c>
      <c r="E6" s="45" t="s">
        <v>50</v>
      </c>
      <c r="F6" s="45" t="s">
        <v>51</v>
      </c>
    </row>
    <row r="7">
      <c r="B7" s="49">
        <v>2.0</v>
      </c>
      <c r="C7" s="45" t="s">
        <v>40</v>
      </c>
      <c r="D7" s="45" t="s">
        <v>41</v>
      </c>
      <c r="E7" s="45" t="s">
        <v>50</v>
      </c>
      <c r="F7" s="45" t="s">
        <v>52</v>
      </c>
    </row>
    <row r="8">
      <c r="B8" s="49">
        <v>3.0</v>
      </c>
      <c r="C8" s="45" t="s">
        <v>40</v>
      </c>
      <c r="D8" s="45" t="s">
        <v>41</v>
      </c>
      <c r="E8" s="45" t="s">
        <v>50</v>
      </c>
      <c r="F8" s="45" t="s">
        <v>53</v>
      </c>
    </row>
    <row r="9">
      <c r="B9" s="49">
        <v>4.0</v>
      </c>
      <c r="C9" s="45" t="s">
        <v>40</v>
      </c>
      <c r="D9" s="45" t="s">
        <v>41</v>
      </c>
      <c r="E9" s="45" t="s">
        <v>50</v>
      </c>
      <c r="F9" s="45" t="s">
        <v>54</v>
      </c>
    </row>
    <row r="10">
      <c r="B10" s="49">
        <v>5.0</v>
      </c>
      <c r="C10" s="45" t="s">
        <v>40</v>
      </c>
      <c r="D10" s="45" t="s">
        <v>41</v>
      </c>
      <c r="E10" s="45" t="s">
        <v>50</v>
      </c>
      <c r="F10" s="45" t="s">
        <v>55</v>
      </c>
    </row>
    <row r="11">
      <c r="B11" s="49">
        <v>6.0</v>
      </c>
      <c r="C11" s="45" t="s">
        <v>40</v>
      </c>
      <c r="D11" s="45" t="s">
        <v>41</v>
      </c>
      <c r="E11" s="45" t="s">
        <v>50</v>
      </c>
      <c r="F11" s="45" t="s">
        <v>56</v>
      </c>
    </row>
    <row r="12">
      <c r="B12" s="49">
        <v>7.0</v>
      </c>
      <c r="C12" s="45" t="s">
        <v>40</v>
      </c>
      <c r="D12" s="45" t="s">
        <v>41</v>
      </c>
      <c r="E12" s="45" t="s">
        <v>57</v>
      </c>
      <c r="F12" s="45" t="s">
        <v>51</v>
      </c>
    </row>
    <row r="13">
      <c r="B13" s="49">
        <v>8.0</v>
      </c>
      <c r="C13" s="45" t="s">
        <v>40</v>
      </c>
      <c r="D13" s="45" t="s">
        <v>41</v>
      </c>
      <c r="E13" s="45" t="s">
        <v>57</v>
      </c>
      <c r="F13" s="45" t="s">
        <v>58</v>
      </c>
    </row>
    <row r="14">
      <c r="B14" s="49">
        <v>9.0</v>
      </c>
      <c r="C14" s="45" t="s">
        <v>40</v>
      </c>
      <c r="D14" s="45" t="s">
        <v>41</v>
      </c>
      <c r="E14" s="45" t="s">
        <v>57</v>
      </c>
      <c r="F14" s="45" t="s">
        <v>59</v>
      </c>
    </row>
    <row r="15">
      <c r="B15" s="49">
        <v>10.0</v>
      </c>
      <c r="C15" s="45" t="s">
        <v>40</v>
      </c>
      <c r="D15" s="45" t="s">
        <v>41</v>
      </c>
      <c r="E15" s="45" t="s">
        <v>57</v>
      </c>
      <c r="F15" s="45" t="s">
        <v>60</v>
      </c>
    </row>
    <row r="16">
      <c r="B16" s="49">
        <v>11.0</v>
      </c>
      <c r="C16" s="45" t="s">
        <v>40</v>
      </c>
      <c r="D16" s="45" t="s">
        <v>41</v>
      </c>
      <c r="E16" s="45" t="s">
        <v>57</v>
      </c>
      <c r="F16" s="45" t="s">
        <v>61</v>
      </c>
    </row>
    <row r="17">
      <c r="B17" s="49">
        <v>12.0</v>
      </c>
      <c r="C17" s="45" t="s">
        <v>40</v>
      </c>
      <c r="D17" s="45" t="s">
        <v>41</v>
      </c>
      <c r="E17" s="45" t="s">
        <v>57</v>
      </c>
      <c r="F17" s="45" t="s">
        <v>62</v>
      </c>
    </row>
    <row r="18">
      <c r="B18" s="49">
        <v>13.0</v>
      </c>
      <c r="C18" s="45" t="s">
        <v>40</v>
      </c>
      <c r="D18" s="45" t="s">
        <v>114</v>
      </c>
      <c r="E18" s="45" t="s">
        <v>115</v>
      </c>
      <c r="F18" s="45" t="s">
        <v>51</v>
      </c>
    </row>
    <row r="19">
      <c r="B19" s="49">
        <v>14.0</v>
      </c>
      <c r="C19" s="45" t="s">
        <v>40</v>
      </c>
      <c r="D19" s="45" t="s">
        <v>114</v>
      </c>
      <c r="E19" s="45" t="s">
        <v>115</v>
      </c>
      <c r="F19" s="45" t="s">
        <v>116</v>
      </c>
    </row>
    <row r="20">
      <c r="B20" s="49">
        <v>15.0</v>
      </c>
      <c r="C20" s="45" t="s">
        <v>40</v>
      </c>
      <c r="D20" s="45" t="s">
        <v>114</v>
      </c>
      <c r="E20" s="45" t="s">
        <v>115</v>
      </c>
      <c r="F20" s="45" t="s">
        <v>117</v>
      </c>
    </row>
    <row r="21">
      <c r="B21" s="49">
        <v>16.0</v>
      </c>
      <c r="C21" s="45" t="s">
        <v>40</v>
      </c>
      <c r="D21" s="45" t="s">
        <v>114</v>
      </c>
      <c r="E21" s="45" t="s">
        <v>115</v>
      </c>
      <c r="F21" s="45" t="s">
        <v>118</v>
      </c>
    </row>
    <row r="22">
      <c r="B22" s="49">
        <v>17.0</v>
      </c>
      <c r="C22" s="45" t="s">
        <v>40</v>
      </c>
      <c r="D22" s="45" t="s">
        <v>114</v>
      </c>
      <c r="E22" s="45" t="s">
        <v>115</v>
      </c>
      <c r="F22" s="45" t="s">
        <v>119</v>
      </c>
    </row>
    <row r="23">
      <c r="B23" s="49">
        <v>18.0</v>
      </c>
      <c r="C23" s="45" t="s">
        <v>30</v>
      </c>
      <c r="D23" s="45" t="s">
        <v>120</v>
      </c>
      <c r="E23" s="45" t="s">
        <v>64</v>
      </c>
      <c r="F23" s="45" t="s">
        <v>51</v>
      </c>
    </row>
    <row r="24">
      <c r="B24" s="49">
        <v>19.0</v>
      </c>
      <c r="C24" s="45" t="s">
        <v>30</v>
      </c>
      <c r="D24" s="45" t="s">
        <v>120</v>
      </c>
      <c r="E24" s="45" t="s">
        <v>64</v>
      </c>
      <c r="F24" s="45" t="s">
        <v>65</v>
      </c>
    </row>
    <row r="25">
      <c r="B25" s="49">
        <v>20.0</v>
      </c>
      <c r="C25" s="45" t="s">
        <v>30</v>
      </c>
      <c r="D25" s="45" t="s">
        <v>120</v>
      </c>
      <c r="E25" s="45" t="s">
        <v>64</v>
      </c>
      <c r="F25" s="45" t="s">
        <v>66</v>
      </c>
    </row>
    <row r="26">
      <c r="B26" s="49">
        <v>21.0</v>
      </c>
      <c r="C26" s="45" t="s">
        <v>30</v>
      </c>
      <c r="D26" s="45" t="s">
        <v>120</v>
      </c>
      <c r="E26" s="45" t="s">
        <v>64</v>
      </c>
      <c r="F26" s="45" t="s">
        <v>67</v>
      </c>
    </row>
    <row r="27">
      <c r="B27" s="49">
        <v>22.0</v>
      </c>
      <c r="C27" s="45" t="s">
        <v>30</v>
      </c>
      <c r="D27" s="45" t="s">
        <v>120</v>
      </c>
      <c r="E27" s="45" t="s">
        <v>64</v>
      </c>
      <c r="F27" s="45" t="s">
        <v>68</v>
      </c>
    </row>
    <row r="28">
      <c r="B28" s="49">
        <v>23.0</v>
      </c>
      <c r="C28" s="45" t="s">
        <v>30</v>
      </c>
      <c r="D28" s="45" t="s">
        <v>120</v>
      </c>
      <c r="E28" s="45" t="s">
        <v>64</v>
      </c>
      <c r="F28" s="45" t="s">
        <v>69</v>
      </c>
    </row>
    <row r="29">
      <c r="B29" s="49">
        <v>24.0</v>
      </c>
      <c r="C29" s="45" t="s">
        <v>33</v>
      </c>
      <c r="D29" s="45" t="s">
        <v>120</v>
      </c>
      <c r="E29" s="45" t="s">
        <v>121</v>
      </c>
      <c r="F29" s="45" t="s">
        <v>51</v>
      </c>
    </row>
    <row r="30">
      <c r="B30" s="49">
        <v>25.0</v>
      </c>
      <c r="C30" s="45" t="s">
        <v>33</v>
      </c>
      <c r="D30" s="45" t="s">
        <v>120</v>
      </c>
      <c r="E30" s="45" t="s">
        <v>121</v>
      </c>
      <c r="F30" s="45" t="s">
        <v>71</v>
      </c>
    </row>
    <row r="31">
      <c r="B31" s="49">
        <v>26.0</v>
      </c>
      <c r="C31" s="45" t="s">
        <v>33</v>
      </c>
      <c r="D31" s="45" t="s">
        <v>120</v>
      </c>
      <c r="E31" s="45" t="s">
        <v>121</v>
      </c>
      <c r="F31" s="45" t="s">
        <v>72</v>
      </c>
    </row>
    <row r="32">
      <c r="B32" s="49">
        <v>27.0</v>
      </c>
      <c r="C32" s="45" t="s">
        <v>33</v>
      </c>
      <c r="D32" s="45" t="s">
        <v>120</v>
      </c>
      <c r="E32" s="45" t="s">
        <v>121</v>
      </c>
      <c r="F32" s="45" t="s">
        <v>73</v>
      </c>
    </row>
    <row r="33">
      <c r="B33" s="49">
        <v>28.0</v>
      </c>
      <c r="C33" s="45" t="s">
        <v>33</v>
      </c>
      <c r="D33" s="45" t="s">
        <v>120</v>
      </c>
      <c r="E33" s="45" t="s">
        <v>121</v>
      </c>
      <c r="F33" s="45" t="s">
        <v>74</v>
      </c>
    </row>
    <row r="34">
      <c r="B34" s="49">
        <v>29.0</v>
      </c>
      <c r="C34" s="45" t="s">
        <v>33</v>
      </c>
      <c r="D34" s="45" t="s">
        <v>120</v>
      </c>
      <c r="E34" s="45" t="s">
        <v>121</v>
      </c>
      <c r="F34" s="45" t="s">
        <v>75</v>
      </c>
    </row>
    <row r="35">
      <c r="B35" s="49">
        <v>30.0</v>
      </c>
      <c r="C35" s="45" t="s">
        <v>23</v>
      </c>
      <c r="D35" s="45" t="s">
        <v>120</v>
      </c>
      <c r="E35" s="45" t="s">
        <v>122</v>
      </c>
      <c r="F35" s="45" t="s">
        <v>43</v>
      </c>
    </row>
    <row r="36">
      <c r="B36" s="49">
        <v>31.0</v>
      </c>
      <c r="C36" s="45" t="s">
        <v>23</v>
      </c>
      <c r="D36" s="45" t="s">
        <v>120</v>
      </c>
      <c r="E36" s="45" t="s">
        <v>122</v>
      </c>
      <c r="F36" s="45" t="s">
        <v>77</v>
      </c>
    </row>
    <row r="37">
      <c r="B37" s="49">
        <v>32.0</v>
      </c>
      <c r="C37" s="45" t="s">
        <v>23</v>
      </c>
      <c r="D37" s="45" t="s">
        <v>120</v>
      </c>
      <c r="E37" s="45" t="s">
        <v>122</v>
      </c>
      <c r="F37" s="45" t="s">
        <v>78</v>
      </c>
    </row>
    <row r="38">
      <c r="B38" s="49">
        <v>33.0</v>
      </c>
      <c r="C38" s="45" t="s">
        <v>23</v>
      </c>
      <c r="D38" s="45" t="s">
        <v>120</v>
      </c>
      <c r="E38" s="45" t="s">
        <v>122</v>
      </c>
      <c r="F38" s="45" t="s">
        <v>123</v>
      </c>
    </row>
    <row r="39">
      <c r="B39" s="49">
        <v>34.0</v>
      </c>
      <c r="C39" s="45" t="s">
        <v>26</v>
      </c>
      <c r="D39" s="45" t="s">
        <v>114</v>
      </c>
      <c r="E39" s="45" t="s">
        <v>88</v>
      </c>
      <c r="F39" s="45" t="s">
        <v>89</v>
      </c>
    </row>
    <row r="40">
      <c r="B40" s="49">
        <v>35.0</v>
      </c>
      <c r="C40" s="45" t="s">
        <v>26</v>
      </c>
      <c r="D40" s="45" t="s">
        <v>114</v>
      </c>
      <c r="E40" s="45" t="s">
        <v>88</v>
      </c>
      <c r="F40" s="45" t="s">
        <v>90</v>
      </c>
    </row>
    <row r="41">
      <c r="B41" s="49">
        <v>36.0</v>
      </c>
      <c r="C41" s="45" t="s">
        <v>26</v>
      </c>
      <c r="D41" s="45" t="s">
        <v>114</v>
      </c>
      <c r="E41" s="45" t="s">
        <v>88</v>
      </c>
      <c r="F41" s="45" t="s">
        <v>92</v>
      </c>
    </row>
    <row r="42">
      <c r="B42" s="49">
        <v>37.0</v>
      </c>
      <c r="C42" s="45" t="s">
        <v>26</v>
      </c>
      <c r="D42" s="45" t="s">
        <v>114</v>
      </c>
      <c r="E42" s="45" t="s">
        <v>88</v>
      </c>
      <c r="F42" s="45" t="s">
        <v>93</v>
      </c>
    </row>
    <row r="43">
      <c r="B43" s="49">
        <v>38.0</v>
      </c>
      <c r="C43" s="45" t="s">
        <v>26</v>
      </c>
      <c r="D43" s="45" t="s">
        <v>114</v>
      </c>
      <c r="E43" s="45" t="s">
        <v>88</v>
      </c>
      <c r="F43" s="45" t="s">
        <v>94</v>
      </c>
    </row>
    <row r="44">
      <c r="B44" s="49">
        <v>39.0</v>
      </c>
      <c r="C44" s="45" t="s">
        <v>28</v>
      </c>
      <c r="D44" s="45" t="s">
        <v>114</v>
      </c>
      <c r="E44" s="45" t="s">
        <v>88</v>
      </c>
      <c r="F44" s="45" t="s">
        <v>96</v>
      </c>
    </row>
    <row r="45">
      <c r="B45" s="49">
        <v>40.0</v>
      </c>
      <c r="C45" s="45" t="s">
        <v>28</v>
      </c>
      <c r="D45" s="45" t="s">
        <v>114</v>
      </c>
      <c r="E45" s="45" t="s">
        <v>88</v>
      </c>
      <c r="F45" s="45" t="s">
        <v>97</v>
      </c>
    </row>
    <row r="46">
      <c r="B46" s="49">
        <v>41.0</v>
      </c>
      <c r="C46" s="45" t="s">
        <v>28</v>
      </c>
      <c r="D46" s="45" t="s">
        <v>114</v>
      </c>
      <c r="E46" s="45" t="s">
        <v>88</v>
      </c>
      <c r="F46" s="45" t="s">
        <v>98</v>
      </c>
    </row>
    <row r="47">
      <c r="B47" s="49">
        <v>42.0</v>
      </c>
      <c r="C47" s="45" t="s">
        <v>28</v>
      </c>
      <c r="D47" s="45" t="s">
        <v>114</v>
      </c>
      <c r="E47" s="45" t="s">
        <v>88</v>
      </c>
      <c r="F47" s="45" t="s">
        <v>99</v>
      </c>
    </row>
    <row r="48">
      <c r="B48" s="49">
        <v>43.0</v>
      </c>
      <c r="C48" s="45" t="s">
        <v>23</v>
      </c>
      <c r="D48" s="45" t="s">
        <v>100</v>
      </c>
      <c r="E48" s="45" t="s">
        <v>124</v>
      </c>
      <c r="F48" s="45" t="s">
        <v>102</v>
      </c>
    </row>
    <row r="49">
      <c r="B49" s="49">
        <v>44.0</v>
      </c>
      <c r="C49" s="45" t="s">
        <v>23</v>
      </c>
      <c r="D49" s="45" t="s">
        <v>100</v>
      </c>
      <c r="E49" s="45" t="s">
        <v>124</v>
      </c>
      <c r="F49" s="45" t="s">
        <v>125</v>
      </c>
    </row>
    <row r="50">
      <c r="B50" s="49">
        <v>45.0</v>
      </c>
      <c r="C50" s="45" t="s">
        <v>23</v>
      </c>
      <c r="D50" s="45" t="s">
        <v>100</v>
      </c>
      <c r="E50" s="45" t="s">
        <v>124</v>
      </c>
      <c r="F50" s="45" t="s">
        <v>126</v>
      </c>
    </row>
    <row r="51">
      <c r="B51" s="49">
        <v>46.0</v>
      </c>
      <c r="C51" s="45" t="s">
        <v>23</v>
      </c>
      <c r="D51" s="45" t="s">
        <v>100</v>
      </c>
      <c r="E51" s="45" t="s">
        <v>124</v>
      </c>
      <c r="F51" s="45" t="s">
        <v>105</v>
      </c>
    </row>
    <row r="52">
      <c r="B52" s="49">
        <v>47.0</v>
      </c>
      <c r="C52" s="45" t="s">
        <v>23</v>
      </c>
      <c r="D52" s="45" t="s">
        <v>100</v>
      </c>
      <c r="E52" s="45" t="s">
        <v>124</v>
      </c>
      <c r="F52" s="45" t="s">
        <v>106</v>
      </c>
    </row>
    <row r="53">
      <c r="B53" s="49">
        <v>48.0</v>
      </c>
      <c r="C53" s="45" t="s">
        <v>23</v>
      </c>
      <c r="D53" s="45" t="s">
        <v>100</v>
      </c>
      <c r="E53" s="45" t="s">
        <v>107</v>
      </c>
      <c r="F53" s="45" t="s">
        <v>51</v>
      </c>
    </row>
    <row r="54">
      <c r="B54" s="49">
        <v>49.0</v>
      </c>
      <c r="C54" s="45" t="s">
        <v>23</v>
      </c>
      <c r="D54" s="45" t="s">
        <v>100</v>
      </c>
      <c r="E54" s="45" t="s">
        <v>107</v>
      </c>
      <c r="F54" s="45" t="s">
        <v>108</v>
      </c>
    </row>
    <row r="55">
      <c r="B55" s="49">
        <v>50.0</v>
      </c>
      <c r="C55" s="45" t="s">
        <v>23</v>
      </c>
      <c r="D55" s="45" t="s">
        <v>100</v>
      </c>
      <c r="E55" s="45" t="s">
        <v>107</v>
      </c>
      <c r="F55" s="45" t="s">
        <v>109</v>
      </c>
    </row>
    <row r="56">
      <c r="B56" s="49">
        <v>51.0</v>
      </c>
      <c r="C56" s="45" t="s">
        <v>23</v>
      </c>
      <c r="D56" s="45" t="s">
        <v>100</v>
      </c>
      <c r="E56" s="45" t="s">
        <v>107</v>
      </c>
      <c r="F56" s="45" t="s">
        <v>110</v>
      </c>
    </row>
    <row r="57">
      <c r="B57" s="49">
        <v>52.0</v>
      </c>
      <c r="C57" s="45" t="s">
        <v>23</v>
      </c>
      <c r="D57" s="45" t="s">
        <v>100</v>
      </c>
      <c r="E57" s="45" t="s">
        <v>107</v>
      </c>
      <c r="F57" s="45" t="s">
        <v>111</v>
      </c>
    </row>
    <row r="58">
      <c r="B58" s="49">
        <v>53.0</v>
      </c>
      <c r="C58" s="45" t="s">
        <v>23</v>
      </c>
      <c r="D58" s="45" t="s">
        <v>100</v>
      </c>
      <c r="E58" s="45" t="s">
        <v>107</v>
      </c>
      <c r="F58" s="45" t="s">
        <v>112</v>
      </c>
    </row>
    <row r="59">
      <c r="B59" s="49">
        <v>54.0</v>
      </c>
      <c r="C59" s="45" t="s">
        <v>23</v>
      </c>
      <c r="D59" s="45" t="s">
        <v>100</v>
      </c>
      <c r="E59" s="45" t="s">
        <v>107</v>
      </c>
      <c r="F59" s="45" t="s">
        <v>113</v>
      </c>
    </row>
    <row r="60">
      <c r="B60" s="42"/>
    </row>
    <row r="61">
      <c r="B61" s="42"/>
    </row>
    <row r="62">
      <c r="B62" s="42"/>
    </row>
    <row r="63">
      <c r="B63" s="42"/>
    </row>
    <row r="64">
      <c r="B64" s="42"/>
    </row>
    <row r="65">
      <c r="B65" s="42"/>
    </row>
    <row r="66">
      <c r="B66" s="42"/>
    </row>
    <row r="67">
      <c r="B67" s="42"/>
    </row>
    <row r="68">
      <c r="B68" s="42"/>
    </row>
    <row r="69">
      <c r="B69" s="42"/>
    </row>
    <row r="70">
      <c r="B70" s="42"/>
    </row>
    <row r="71">
      <c r="B71" s="42"/>
    </row>
    <row r="72">
      <c r="B72" s="42"/>
    </row>
    <row r="73">
      <c r="B73" s="42"/>
    </row>
    <row r="74">
      <c r="B74" s="42"/>
    </row>
    <row r="75">
      <c r="B75" s="42"/>
    </row>
    <row r="76">
      <c r="B76" s="42"/>
    </row>
    <row r="77">
      <c r="B77" s="42"/>
    </row>
    <row r="78">
      <c r="B78" s="42"/>
    </row>
    <row r="79">
      <c r="B79" s="42"/>
    </row>
    <row r="80">
      <c r="B80" s="42"/>
    </row>
    <row r="81">
      <c r="B81" s="42"/>
    </row>
    <row r="82">
      <c r="B82" s="42"/>
    </row>
    <row r="83">
      <c r="B83" s="42"/>
    </row>
    <row r="84">
      <c r="B84" s="42"/>
    </row>
    <row r="85">
      <c r="B85" s="42"/>
    </row>
    <row r="86">
      <c r="B86" s="42"/>
    </row>
    <row r="87">
      <c r="B87" s="42"/>
    </row>
    <row r="88">
      <c r="B88" s="42"/>
    </row>
    <row r="89">
      <c r="B89" s="42"/>
    </row>
    <row r="90">
      <c r="B90" s="42"/>
    </row>
    <row r="91">
      <c r="B91" s="42"/>
    </row>
    <row r="92">
      <c r="B92" s="42"/>
    </row>
    <row r="93">
      <c r="B93" s="42"/>
    </row>
    <row r="94">
      <c r="B94" s="42"/>
    </row>
    <row r="95">
      <c r="B95" s="42"/>
    </row>
    <row r="96">
      <c r="B96" s="42"/>
    </row>
    <row r="97">
      <c r="B97" s="42"/>
    </row>
    <row r="98">
      <c r="B98" s="42"/>
    </row>
    <row r="99">
      <c r="B99" s="42"/>
    </row>
    <row r="100">
      <c r="B100" s="42"/>
    </row>
    <row r="101">
      <c r="B101" s="42"/>
    </row>
    <row r="102">
      <c r="B102" s="42"/>
    </row>
    <row r="103">
      <c r="B103" s="42"/>
    </row>
    <row r="104">
      <c r="B104" s="42"/>
    </row>
    <row r="105">
      <c r="B105" s="42"/>
    </row>
    <row r="106">
      <c r="B106" s="42"/>
    </row>
    <row r="107">
      <c r="B107" s="42"/>
    </row>
    <row r="108">
      <c r="B108" s="42"/>
    </row>
    <row r="109">
      <c r="B109" s="42"/>
    </row>
    <row r="110">
      <c r="B110" s="42"/>
    </row>
    <row r="111">
      <c r="B111" s="42"/>
    </row>
    <row r="112">
      <c r="B112" s="42"/>
    </row>
    <row r="113">
      <c r="B113" s="42"/>
    </row>
    <row r="114">
      <c r="B114" s="42"/>
    </row>
    <row r="115">
      <c r="B115" s="42"/>
    </row>
    <row r="116">
      <c r="B116" s="42"/>
    </row>
    <row r="117">
      <c r="B117" s="42"/>
    </row>
    <row r="118">
      <c r="B118" s="42"/>
    </row>
    <row r="119">
      <c r="B119" s="42"/>
    </row>
    <row r="120">
      <c r="B120" s="42"/>
    </row>
    <row r="121">
      <c r="B121" s="42"/>
    </row>
    <row r="122">
      <c r="B122" s="42"/>
    </row>
    <row r="123">
      <c r="B123" s="42"/>
    </row>
    <row r="124">
      <c r="B124" s="42"/>
    </row>
    <row r="125">
      <c r="B125" s="42"/>
    </row>
    <row r="126">
      <c r="B126" s="42"/>
    </row>
    <row r="127">
      <c r="B127" s="42"/>
    </row>
    <row r="128">
      <c r="B128" s="42"/>
    </row>
    <row r="129">
      <c r="B129" s="42"/>
    </row>
    <row r="130">
      <c r="B130" s="42"/>
    </row>
    <row r="131">
      <c r="B131" s="42"/>
    </row>
    <row r="132">
      <c r="B132" s="42"/>
    </row>
    <row r="133">
      <c r="B133" s="42"/>
    </row>
    <row r="134">
      <c r="B134" s="42"/>
    </row>
    <row r="135">
      <c r="B135" s="42"/>
    </row>
    <row r="136">
      <c r="B136" s="42"/>
    </row>
    <row r="137">
      <c r="B137" s="42"/>
    </row>
    <row r="138">
      <c r="B138" s="42"/>
    </row>
    <row r="139">
      <c r="B139" s="42"/>
    </row>
    <row r="140">
      <c r="B140" s="42"/>
    </row>
    <row r="141">
      <c r="B141" s="42"/>
    </row>
    <row r="142">
      <c r="B142" s="42"/>
    </row>
    <row r="143">
      <c r="B143" s="42"/>
    </row>
    <row r="144">
      <c r="B144" s="42"/>
    </row>
    <row r="145">
      <c r="B145" s="42"/>
    </row>
    <row r="146">
      <c r="B146" s="42"/>
    </row>
    <row r="147">
      <c r="B147" s="42"/>
    </row>
    <row r="148">
      <c r="B148" s="42"/>
    </row>
    <row r="149">
      <c r="B149" s="42"/>
    </row>
    <row r="150">
      <c r="B150" s="42"/>
    </row>
    <row r="151">
      <c r="B151" s="42"/>
    </row>
    <row r="152">
      <c r="B152" s="42"/>
    </row>
    <row r="153">
      <c r="B153" s="42"/>
    </row>
    <row r="154">
      <c r="B154" s="42"/>
    </row>
    <row r="155">
      <c r="B155" s="42"/>
    </row>
    <row r="156">
      <c r="B156" s="42"/>
    </row>
    <row r="157">
      <c r="B157" s="42"/>
    </row>
    <row r="158">
      <c r="B158" s="42"/>
    </row>
    <row r="159">
      <c r="B159" s="42"/>
    </row>
    <row r="160">
      <c r="B160" s="42"/>
    </row>
    <row r="161">
      <c r="B161" s="42"/>
    </row>
    <row r="162">
      <c r="B162" s="42"/>
    </row>
    <row r="163">
      <c r="B163" s="42"/>
    </row>
    <row r="164">
      <c r="B164" s="42"/>
    </row>
    <row r="165">
      <c r="B165" s="42"/>
    </row>
    <row r="166">
      <c r="B166" s="42"/>
    </row>
    <row r="167">
      <c r="B167" s="42"/>
    </row>
    <row r="168">
      <c r="B168" s="42"/>
    </row>
    <row r="169">
      <c r="B169" s="42"/>
    </row>
    <row r="170">
      <c r="B170" s="42"/>
    </row>
    <row r="171">
      <c r="B171" s="42"/>
    </row>
    <row r="172">
      <c r="B172" s="42"/>
    </row>
    <row r="173">
      <c r="B173" s="42"/>
    </row>
    <row r="174">
      <c r="B174" s="42"/>
    </row>
    <row r="175">
      <c r="B175" s="42"/>
    </row>
    <row r="176">
      <c r="B176" s="42"/>
    </row>
    <row r="177">
      <c r="B177" s="42"/>
    </row>
    <row r="178">
      <c r="B178" s="42"/>
    </row>
    <row r="179">
      <c r="B179" s="42"/>
    </row>
    <row r="180">
      <c r="B180" s="42"/>
    </row>
    <row r="181">
      <c r="B181" s="42"/>
    </row>
    <row r="182">
      <c r="B182" s="42"/>
    </row>
    <row r="183">
      <c r="B183" s="42"/>
    </row>
    <row r="184">
      <c r="B184" s="42"/>
    </row>
    <row r="185">
      <c r="B185" s="42"/>
    </row>
    <row r="186">
      <c r="B186" s="42"/>
    </row>
    <row r="187">
      <c r="B187" s="42"/>
    </row>
    <row r="188">
      <c r="B188" s="42"/>
    </row>
    <row r="189">
      <c r="B189" s="42"/>
    </row>
    <row r="190">
      <c r="B190" s="42"/>
    </row>
    <row r="191">
      <c r="B191" s="42"/>
    </row>
    <row r="192">
      <c r="B192" s="42"/>
    </row>
    <row r="193">
      <c r="B193" s="42"/>
    </row>
    <row r="194">
      <c r="B194" s="42"/>
    </row>
    <row r="195">
      <c r="B195" s="42"/>
    </row>
    <row r="196">
      <c r="B196" s="42"/>
    </row>
    <row r="197">
      <c r="B197" s="42"/>
    </row>
    <row r="198">
      <c r="B198" s="42"/>
    </row>
    <row r="199">
      <c r="B199" s="42"/>
    </row>
    <row r="200">
      <c r="B200" s="42"/>
    </row>
    <row r="201">
      <c r="B201" s="42"/>
    </row>
    <row r="202">
      <c r="B202" s="42"/>
    </row>
    <row r="203">
      <c r="B203" s="42"/>
    </row>
    <row r="204">
      <c r="B204" s="42"/>
    </row>
    <row r="205">
      <c r="B205" s="42"/>
    </row>
    <row r="206">
      <c r="B206" s="42"/>
    </row>
    <row r="207">
      <c r="B207" s="42"/>
    </row>
    <row r="208">
      <c r="B208" s="42"/>
    </row>
    <row r="209">
      <c r="B209" s="42"/>
    </row>
    <row r="210">
      <c r="B210" s="42"/>
    </row>
    <row r="211">
      <c r="B211" s="42"/>
    </row>
    <row r="212">
      <c r="B212" s="42"/>
    </row>
    <row r="213">
      <c r="B213" s="42"/>
    </row>
    <row r="214">
      <c r="B214" s="42"/>
    </row>
    <row r="215">
      <c r="B215" s="42"/>
    </row>
    <row r="216">
      <c r="B216" s="42"/>
    </row>
    <row r="217">
      <c r="B217" s="42"/>
    </row>
    <row r="218">
      <c r="B218" s="42"/>
    </row>
    <row r="219">
      <c r="B219" s="42"/>
    </row>
    <row r="220">
      <c r="B220" s="42"/>
    </row>
    <row r="221">
      <c r="B221" s="42"/>
    </row>
    <row r="222">
      <c r="B222" s="42"/>
    </row>
    <row r="223">
      <c r="B223" s="42"/>
    </row>
    <row r="224">
      <c r="B224" s="42"/>
    </row>
    <row r="225">
      <c r="B225" s="42"/>
    </row>
    <row r="226">
      <c r="B226" s="42"/>
    </row>
    <row r="227">
      <c r="B227" s="42"/>
    </row>
    <row r="228">
      <c r="B228" s="42"/>
    </row>
    <row r="229">
      <c r="B229" s="42"/>
    </row>
    <row r="230">
      <c r="B230" s="42"/>
    </row>
    <row r="231">
      <c r="B231" s="42"/>
    </row>
    <row r="232">
      <c r="B232" s="42"/>
    </row>
    <row r="233">
      <c r="B233" s="42"/>
    </row>
    <row r="234">
      <c r="B234" s="42"/>
    </row>
    <row r="235">
      <c r="B235" s="42"/>
    </row>
    <row r="236">
      <c r="B236" s="42"/>
    </row>
    <row r="237">
      <c r="B237" s="42"/>
    </row>
    <row r="238">
      <c r="B238" s="42"/>
    </row>
    <row r="239">
      <c r="B239" s="42"/>
    </row>
    <row r="240">
      <c r="B240" s="42"/>
    </row>
    <row r="241">
      <c r="B241" s="42"/>
    </row>
    <row r="242">
      <c r="B242" s="42"/>
    </row>
    <row r="243">
      <c r="B243" s="42"/>
    </row>
    <row r="244">
      <c r="B244" s="42"/>
    </row>
    <row r="245">
      <c r="B245" s="42"/>
    </row>
    <row r="246">
      <c r="B246" s="42"/>
    </row>
    <row r="247">
      <c r="B247" s="42"/>
    </row>
    <row r="248">
      <c r="B248" s="42"/>
    </row>
    <row r="249">
      <c r="B249" s="42"/>
    </row>
    <row r="250">
      <c r="B250" s="42"/>
    </row>
    <row r="251">
      <c r="B251" s="42"/>
    </row>
    <row r="252">
      <c r="B252" s="42"/>
    </row>
    <row r="253">
      <c r="B253" s="42"/>
    </row>
    <row r="254">
      <c r="B254" s="42"/>
    </row>
    <row r="255">
      <c r="B255" s="42"/>
    </row>
    <row r="256">
      <c r="B256" s="42"/>
    </row>
    <row r="257">
      <c r="B257" s="42"/>
    </row>
    <row r="258">
      <c r="B258" s="42"/>
    </row>
    <row r="259">
      <c r="B259" s="42"/>
    </row>
    <row r="260">
      <c r="B260" s="42"/>
    </row>
    <row r="261">
      <c r="B261" s="42"/>
    </row>
    <row r="262">
      <c r="B262" s="42"/>
    </row>
    <row r="263">
      <c r="B263" s="42"/>
    </row>
    <row r="264">
      <c r="B264" s="42"/>
    </row>
    <row r="265">
      <c r="B265" s="42"/>
    </row>
    <row r="266">
      <c r="B266" s="42"/>
    </row>
    <row r="267">
      <c r="B267" s="42"/>
    </row>
    <row r="268">
      <c r="B268" s="42"/>
    </row>
    <row r="269">
      <c r="B269" s="42"/>
    </row>
    <row r="270">
      <c r="B270" s="42"/>
    </row>
    <row r="271">
      <c r="B271" s="42"/>
    </row>
    <row r="272">
      <c r="B272" s="42"/>
    </row>
    <row r="273">
      <c r="B273" s="42"/>
    </row>
    <row r="274">
      <c r="B274" s="42"/>
    </row>
    <row r="275">
      <c r="B275" s="42"/>
    </row>
    <row r="276">
      <c r="B276" s="42"/>
    </row>
    <row r="277">
      <c r="B277" s="42"/>
    </row>
    <row r="278">
      <c r="B278" s="42"/>
    </row>
    <row r="279">
      <c r="B279" s="42"/>
    </row>
    <row r="280">
      <c r="B280" s="42"/>
    </row>
    <row r="281">
      <c r="B281" s="42"/>
    </row>
    <row r="282">
      <c r="B282" s="42"/>
    </row>
    <row r="283">
      <c r="B283" s="42"/>
    </row>
    <row r="284">
      <c r="B284" s="42"/>
    </row>
    <row r="285">
      <c r="B285" s="42"/>
    </row>
    <row r="286">
      <c r="B286" s="42"/>
    </row>
    <row r="287">
      <c r="B287" s="42"/>
    </row>
    <row r="288">
      <c r="B288" s="42"/>
    </row>
    <row r="289">
      <c r="B289" s="42"/>
    </row>
    <row r="290">
      <c r="B290" s="42"/>
    </row>
    <row r="291">
      <c r="B291" s="42"/>
    </row>
    <row r="292">
      <c r="B292" s="42"/>
    </row>
    <row r="293">
      <c r="B293" s="42"/>
    </row>
    <row r="294">
      <c r="B294" s="42"/>
    </row>
    <row r="295">
      <c r="B295" s="42"/>
    </row>
    <row r="296">
      <c r="B296" s="42"/>
    </row>
    <row r="297">
      <c r="B297" s="42"/>
    </row>
    <row r="298">
      <c r="B298" s="42"/>
    </row>
    <row r="299">
      <c r="B299" s="42"/>
    </row>
    <row r="300">
      <c r="B300" s="42"/>
    </row>
    <row r="301">
      <c r="B301" s="42"/>
    </row>
    <row r="302">
      <c r="B302" s="42"/>
    </row>
    <row r="303">
      <c r="B303" s="42"/>
    </row>
    <row r="304">
      <c r="B304" s="42"/>
    </row>
    <row r="305">
      <c r="B305" s="42"/>
    </row>
    <row r="306">
      <c r="B306" s="42"/>
    </row>
    <row r="307">
      <c r="B307" s="42"/>
    </row>
    <row r="308">
      <c r="B308" s="42"/>
    </row>
    <row r="309">
      <c r="B309" s="42"/>
    </row>
    <row r="310">
      <c r="B310" s="42"/>
    </row>
    <row r="311">
      <c r="B311" s="42"/>
    </row>
    <row r="312">
      <c r="B312" s="42"/>
    </row>
    <row r="313">
      <c r="B313" s="42"/>
    </row>
    <row r="314">
      <c r="B314" s="42"/>
    </row>
    <row r="315">
      <c r="B315" s="42"/>
    </row>
    <row r="316">
      <c r="B316" s="42"/>
    </row>
    <row r="317">
      <c r="B317" s="42"/>
    </row>
    <row r="318">
      <c r="B318" s="42"/>
    </row>
    <row r="319">
      <c r="B319" s="42"/>
    </row>
    <row r="320">
      <c r="B320" s="42"/>
    </row>
    <row r="321">
      <c r="B321" s="42"/>
    </row>
    <row r="322">
      <c r="B322" s="42"/>
    </row>
    <row r="323">
      <c r="B323" s="42"/>
    </row>
    <row r="324">
      <c r="B324" s="42"/>
    </row>
    <row r="325">
      <c r="B325" s="42"/>
    </row>
    <row r="326">
      <c r="B326" s="42"/>
    </row>
    <row r="327">
      <c r="B327" s="42"/>
    </row>
    <row r="328">
      <c r="B328" s="42"/>
    </row>
    <row r="329">
      <c r="B329" s="42"/>
    </row>
    <row r="330">
      <c r="B330" s="42"/>
    </row>
    <row r="331">
      <c r="B331" s="42"/>
    </row>
    <row r="332">
      <c r="B332" s="42"/>
    </row>
    <row r="333">
      <c r="B333" s="42"/>
    </row>
    <row r="334">
      <c r="B334" s="42"/>
    </row>
    <row r="335">
      <c r="B335" s="42"/>
    </row>
    <row r="336">
      <c r="B336" s="42"/>
    </row>
    <row r="337">
      <c r="B337" s="42"/>
    </row>
    <row r="338">
      <c r="B338" s="42"/>
    </row>
    <row r="339">
      <c r="B339" s="42"/>
    </row>
    <row r="340">
      <c r="B340" s="42"/>
    </row>
    <row r="341">
      <c r="B341" s="42"/>
    </row>
    <row r="342">
      <c r="B342" s="42"/>
    </row>
    <row r="343">
      <c r="B343" s="42"/>
    </row>
    <row r="344">
      <c r="B344" s="42"/>
    </row>
    <row r="345">
      <c r="B345" s="42"/>
    </row>
    <row r="346">
      <c r="B346" s="42"/>
    </row>
    <row r="347">
      <c r="B347" s="42"/>
    </row>
    <row r="348">
      <c r="B348" s="42"/>
    </row>
    <row r="349">
      <c r="B349" s="42"/>
    </row>
    <row r="350">
      <c r="B350" s="42"/>
    </row>
    <row r="351">
      <c r="B351" s="42"/>
    </row>
    <row r="352">
      <c r="B352" s="42"/>
    </row>
    <row r="353">
      <c r="B353" s="42"/>
    </row>
    <row r="354">
      <c r="B354" s="42"/>
    </row>
    <row r="355">
      <c r="B355" s="42"/>
    </row>
    <row r="356">
      <c r="B356" s="42"/>
    </row>
    <row r="357">
      <c r="B357" s="42"/>
    </row>
    <row r="358">
      <c r="B358" s="42"/>
    </row>
    <row r="359">
      <c r="B359" s="42"/>
    </row>
    <row r="360">
      <c r="B360" s="42"/>
    </row>
    <row r="361">
      <c r="B361" s="42"/>
    </row>
    <row r="362">
      <c r="B362" s="42"/>
    </row>
    <row r="363">
      <c r="B363" s="42"/>
    </row>
    <row r="364">
      <c r="B364" s="42"/>
    </row>
    <row r="365">
      <c r="B365" s="42"/>
    </row>
    <row r="366">
      <c r="B366" s="42"/>
    </row>
    <row r="367">
      <c r="B367" s="42"/>
    </row>
    <row r="368">
      <c r="B368" s="42"/>
    </row>
    <row r="369">
      <c r="B369" s="42"/>
    </row>
    <row r="370">
      <c r="B370" s="42"/>
    </row>
    <row r="371">
      <c r="B371" s="42"/>
    </row>
    <row r="372">
      <c r="B372" s="42"/>
    </row>
    <row r="373">
      <c r="B373" s="42"/>
    </row>
    <row r="374">
      <c r="B374" s="42"/>
    </row>
    <row r="375">
      <c r="B375" s="42"/>
    </row>
    <row r="376">
      <c r="B376" s="42"/>
    </row>
    <row r="377">
      <c r="B377" s="42"/>
    </row>
    <row r="378">
      <c r="B378" s="42"/>
    </row>
    <row r="379">
      <c r="B379" s="42"/>
    </row>
    <row r="380">
      <c r="B380" s="42"/>
    </row>
    <row r="381">
      <c r="B381" s="42"/>
    </row>
    <row r="382">
      <c r="B382" s="42"/>
    </row>
    <row r="383">
      <c r="B383" s="42"/>
    </row>
    <row r="384">
      <c r="B384" s="42"/>
    </row>
    <row r="385">
      <c r="B385" s="42"/>
    </row>
    <row r="386">
      <c r="B386" s="42"/>
    </row>
    <row r="387">
      <c r="B387" s="42"/>
    </row>
    <row r="388">
      <c r="B388" s="42"/>
    </row>
    <row r="389">
      <c r="B389" s="42"/>
    </row>
    <row r="390">
      <c r="B390" s="42"/>
    </row>
    <row r="391">
      <c r="B391" s="42"/>
    </row>
    <row r="392">
      <c r="B392" s="42"/>
    </row>
    <row r="393">
      <c r="B393" s="42"/>
    </row>
    <row r="394">
      <c r="B394" s="42"/>
    </row>
    <row r="395">
      <c r="B395" s="42"/>
    </row>
    <row r="396">
      <c r="B396" s="42"/>
    </row>
    <row r="397">
      <c r="B397" s="42"/>
    </row>
    <row r="398">
      <c r="B398" s="42"/>
    </row>
    <row r="399">
      <c r="B399" s="42"/>
    </row>
    <row r="400">
      <c r="B400" s="42"/>
    </row>
    <row r="401">
      <c r="B401" s="42"/>
    </row>
    <row r="402">
      <c r="B402" s="42"/>
    </row>
    <row r="403">
      <c r="B403" s="42"/>
    </row>
    <row r="404">
      <c r="B404" s="42"/>
    </row>
    <row r="405">
      <c r="B405" s="42"/>
    </row>
    <row r="406">
      <c r="B406" s="42"/>
    </row>
    <row r="407">
      <c r="B407" s="42"/>
    </row>
    <row r="408">
      <c r="B408" s="42"/>
    </row>
    <row r="409">
      <c r="B409" s="42"/>
    </row>
    <row r="410">
      <c r="B410" s="42"/>
    </row>
    <row r="411">
      <c r="B411" s="42"/>
    </row>
    <row r="412">
      <c r="B412" s="42"/>
    </row>
    <row r="413">
      <c r="B413" s="42"/>
    </row>
    <row r="414">
      <c r="B414" s="42"/>
    </row>
    <row r="415">
      <c r="B415" s="42"/>
    </row>
    <row r="416">
      <c r="B416" s="42"/>
    </row>
    <row r="417">
      <c r="B417" s="42"/>
    </row>
    <row r="418">
      <c r="B418" s="42"/>
    </row>
    <row r="419">
      <c r="B419" s="42"/>
    </row>
    <row r="420">
      <c r="B420" s="42"/>
    </row>
    <row r="421">
      <c r="B421" s="42"/>
    </row>
    <row r="422">
      <c r="B422" s="42"/>
    </row>
    <row r="423">
      <c r="B423" s="42"/>
    </row>
    <row r="424">
      <c r="B424" s="42"/>
    </row>
    <row r="425">
      <c r="B425" s="42"/>
    </row>
    <row r="426">
      <c r="B426" s="42"/>
    </row>
    <row r="427">
      <c r="B427" s="42"/>
    </row>
    <row r="428">
      <c r="B428" s="42"/>
    </row>
    <row r="429">
      <c r="B429" s="42"/>
    </row>
    <row r="430">
      <c r="B430" s="42"/>
    </row>
    <row r="431">
      <c r="B431" s="42"/>
    </row>
    <row r="432">
      <c r="B432" s="42"/>
    </row>
    <row r="433">
      <c r="B433" s="42"/>
    </row>
    <row r="434">
      <c r="B434" s="42"/>
    </row>
    <row r="435">
      <c r="B435" s="42"/>
    </row>
    <row r="436">
      <c r="B436" s="42"/>
    </row>
    <row r="437">
      <c r="B437" s="42"/>
    </row>
    <row r="438">
      <c r="B438" s="42"/>
    </row>
    <row r="439">
      <c r="B439" s="42"/>
    </row>
    <row r="440">
      <c r="B440" s="42"/>
    </row>
    <row r="441">
      <c r="B441" s="42"/>
    </row>
    <row r="442">
      <c r="B442" s="42"/>
    </row>
    <row r="443">
      <c r="B443" s="42"/>
    </row>
    <row r="444">
      <c r="B444" s="42"/>
    </row>
    <row r="445">
      <c r="B445" s="42"/>
    </row>
    <row r="446">
      <c r="B446" s="42"/>
    </row>
    <row r="447">
      <c r="B447" s="42"/>
    </row>
    <row r="448">
      <c r="B448" s="42"/>
    </row>
    <row r="449">
      <c r="B449" s="42"/>
    </row>
    <row r="450">
      <c r="B450" s="42"/>
    </row>
    <row r="451">
      <c r="B451" s="42"/>
    </row>
    <row r="452">
      <c r="B452" s="42"/>
    </row>
    <row r="453">
      <c r="B453" s="42"/>
    </row>
    <row r="454">
      <c r="B454" s="42"/>
    </row>
    <row r="455">
      <c r="B455" s="42"/>
    </row>
    <row r="456">
      <c r="B456" s="42"/>
    </row>
    <row r="457">
      <c r="B457" s="42"/>
    </row>
    <row r="458">
      <c r="B458" s="42"/>
    </row>
    <row r="459">
      <c r="B459" s="42"/>
    </row>
    <row r="460">
      <c r="B460" s="42"/>
    </row>
    <row r="461">
      <c r="B461" s="42"/>
    </row>
    <row r="462">
      <c r="B462" s="42"/>
    </row>
    <row r="463">
      <c r="B463" s="42"/>
    </row>
    <row r="464">
      <c r="B464" s="42"/>
    </row>
    <row r="465">
      <c r="B465" s="42"/>
    </row>
    <row r="466">
      <c r="B466" s="42"/>
    </row>
    <row r="467">
      <c r="B467" s="42"/>
    </row>
    <row r="468">
      <c r="B468" s="42"/>
    </row>
    <row r="469">
      <c r="B469" s="42"/>
    </row>
    <row r="470">
      <c r="B470" s="42"/>
    </row>
    <row r="471">
      <c r="B471" s="42"/>
    </row>
    <row r="472">
      <c r="B472" s="42"/>
    </row>
    <row r="473">
      <c r="B473" s="42"/>
    </row>
    <row r="474">
      <c r="B474" s="42"/>
    </row>
    <row r="475">
      <c r="B475" s="42"/>
    </row>
    <row r="476">
      <c r="B476" s="42"/>
    </row>
    <row r="477">
      <c r="B477" s="42"/>
    </row>
    <row r="478">
      <c r="B478" s="42"/>
    </row>
    <row r="479">
      <c r="B479" s="42"/>
    </row>
    <row r="480">
      <c r="B480" s="42"/>
    </row>
    <row r="481">
      <c r="B481" s="42"/>
    </row>
    <row r="482">
      <c r="B482" s="42"/>
    </row>
    <row r="483">
      <c r="B483" s="42"/>
    </row>
    <row r="484">
      <c r="B484" s="42"/>
    </row>
    <row r="485">
      <c r="B485" s="42"/>
    </row>
    <row r="486">
      <c r="B486" s="42"/>
    </row>
    <row r="487">
      <c r="B487" s="42"/>
    </row>
    <row r="488">
      <c r="B488" s="42"/>
    </row>
    <row r="489">
      <c r="B489" s="42"/>
    </row>
    <row r="490">
      <c r="B490" s="42"/>
    </row>
    <row r="491">
      <c r="B491" s="42"/>
    </row>
    <row r="492">
      <c r="B492" s="42"/>
    </row>
    <row r="493">
      <c r="B493" s="42"/>
    </row>
    <row r="494">
      <c r="B494" s="42"/>
    </row>
    <row r="495">
      <c r="B495" s="42"/>
    </row>
    <row r="496">
      <c r="B496" s="42"/>
    </row>
    <row r="497">
      <c r="B497" s="42"/>
    </row>
    <row r="498">
      <c r="B498" s="42"/>
    </row>
    <row r="499">
      <c r="B499" s="42"/>
    </row>
    <row r="500">
      <c r="B500" s="42"/>
    </row>
    <row r="501">
      <c r="B501" s="42"/>
    </row>
    <row r="502">
      <c r="B502" s="42"/>
    </row>
    <row r="503">
      <c r="B503" s="42"/>
    </row>
    <row r="504">
      <c r="B504" s="42"/>
    </row>
    <row r="505">
      <c r="B505" s="42"/>
    </row>
    <row r="506">
      <c r="B506" s="42"/>
    </row>
    <row r="507">
      <c r="B507" s="42"/>
    </row>
    <row r="508">
      <c r="B508" s="42"/>
    </row>
    <row r="509">
      <c r="B509" s="42"/>
    </row>
    <row r="510">
      <c r="B510" s="42"/>
    </row>
    <row r="511">
      <c r="B511" s="42"/>
    </row>
    <row r="512">
      <c r="B512" s="42"/>
    </row>
    <row r="513">
      <c r="B513" s="42"/>
    </row>
    <row r="514">
      <c r="B514" s="42"/>
    </row>
    <row r="515">
      <c r="B515" s="42"/>
    </row>
    <row r="516">
      <c r="B516" s="42"/>
    </row>
    <row r="517">
      <c r="B517" s="42"/>
    </row>
    <row r="518">
      <c r="B518" s="42"/>
    </row>
    <row r="519">
      <c r="B519" s="42"/>
    </row>
    <row r="520">
      <c r="B520" s="42"/>
    </row>
    <row r="521">
      <c r="B521" s="42"/>
    </row>
    <row r="522">
      <c r="B522" s="42"/>
    </row>
    <row r="523">
      <c r="B523" s="42"/>
    </row>
    <row r="524">
      <c r="B524" s="42"/>
    </row>
    <row r="525">
      <c r="B525" s="42"/>
    </row>
    <row r="526">
      <c r="B526" s="42"/>
    </row>
    <row r="527">
      <c r="B527" s="42"/>
    </row>
    <row r="528">
      <c r="B528" s="42"/>
    </row>
    <row r="529">
      <c r="B529" s="42"/>
    </row>
    <row r="530">
      <c r="B530" s="42"/>
    </row>
    <row r="531">
      <c r="B531" s="42"/>
    </row>
    <row r="532">
      <c r="B532" s="42"/>
    </row>
    <row r="533">
      <c r="B533" s="42"/>
    </row>
    <row r="534">
      <c r="B534" s="42"/>
    </row>
    <row r="535">
      <c r="B535" s="42"/>
    </row>
    <row r="536">
      <c r="B536" s="42"/>
    </row>
    <row r="537">
      <c r="B537" s="42"/>
    </row>
    <row r="538">
      <c r="B538" s="42"/>
    </row>
    <row r="539">
      <c r="B539" s="42"/>
    </row>
    <row r="540">
      <c r="B540" s="42"/>
    </row>
    <row r="541">
      <c r="B541" s="42"/>
    </row>
    <row r="542">
      <c r="B542" s="42"/>
    </row>
    <row r="543">
      <c r="B543" s="42"/>
    </row>
    <row r="544">
      <c r="B544" s="42"/>
    </row>
    <row r="545">
      <c r="B545" s="42"/>
    </row>
    <row r="546">
      <c r="B546" s="42"/>
    </row>
    <row r="547">
      <c r="B547" s="42"/>
    </row>
    <row r="548">
      <c r="B548" s="42"/>
    </row>
    <row r="549">
      <c r="B549" s="42"/>
    </row>
    <row r="550">
      <c r="B550" s="42"/>
    </row>
    <row r="551">
      <c r="B551" s="42"/>
    </row>
    <row r="552">
      <c r="B552" s="42"/>
    </row>
    <row r="553">
      <c r="B553" s="42"/>
    </row>
    <row r="554">
      <c r="B554" s="42"/>
    </row>
    <row r="555">
      <c r="B555" s="42"/>
    </row>
    <row r="556">
      <c r="B556" s="42"/>
    </row>
    <row r="557">
      <c r="B557" s="42"/>
    </row>
    <row r="558">
      <c r="B558" s="42"/>
    </row>
    <row r="559">
      <c r="B559" s="42"/>
    </row>
    <row r="560">
      <c r="B560" s="42"/>
    </row>
    <row r="561">
      <c r="B561" s="42"/>
    </row>
    <row r="562">
      <c r="B562" s="42"/>
    </row>
    <row r="563">
      <c r="B563" s="42"/>
    </row>
    <row r="564">
      <c r="B564" s="42"/>
    </row>
    <row r="565">
      <c r="B565" s="42"/>
    </row>
    <row r="566">
      <c r="B566" s="42"/>
    </row>
    <row r="567">
      <c r="B567" s="42"/>
    </row>
    <row r="568">
      <c r="B568" s="42"/>
    </row>
    <row r="569">
      <c r="B569" s="42"/>
    </row>
    <row r="570">
      <c r="B570" s="42"/>
    </row>
    <row r="571">
      <c r="B571" s="42"/>
    </row>
    <row r="572">
      <c r="B572" s="42"/>
    </row>
    <row r="573">
      <c r="B573" s="42"/>
    </row>
    <row r="574">
      <c r="B574" s="42"/>
    </row>
    <row r="575">
      <c r="B575" s="42"/>
    </row>
    <row r="576">
      <c r="B576" s="42"/>
    </row>
    <row r="577">
      <c r="B577" s="42"/>
    </row>
    <row r="578">
      <c r="B578" s="42"/>
    </row>
    <row r="579">
      <c r="B579" s="42"/>
    </row>
    <row r="580">
      <c r="B580" s="42"/>
    </row>
    <row r="581">
      <c r="B581" s="42"/>
    </row>
    <row r="582">
      <c r="B582" s="42"/>
    </row>
    <row r="583">
      <c r="B583" s="42"/>
    </row>
    <row r="584">
      <c r="B584" s="42"/>
    </row>
    <row r="585">
      <c r="B585" s="42"/>
    </row>
    <row r="586">
      <c r="B586" s="42"/>
    </row>
    <row r="587">
      <c r="B587" s="42"/>
    </row>
    <row r="588">
      <c r="B588" s="42"/>
    </row>
    <row r="589">
      <c r="B589" s="42"/>
    </row>
    <row r="590">
      <c r="B590" s="42"/>
    </row>
    <row r="591">
      <c r="B591" s="42"/>
    </row>
    <row r="592">
      <c r="B592" s="42"/>
    </row>
    <row r="593">
      <c r="B593" s="42"/>
    </row>
    <row r="594">
      <c r="B594" s="42"/>
    </row>
    <row r="595">
      <c r="B595" s="42"/>
    </row>
    <row r="596">
      <c r="B596" s="42"/>
    </row>
    <row r="597">
      <c r="B597" s="42"/>
    </row>
    <row r="598">
      <c r="B598" s="42"/>
    </row>
    <row r="599">
      <c r="B599" s="42"/>
    </row>
    <row r="600">
      <c r="B600" s="42"/>
    </row>
    <row r="601">
      <c r="B601" s="42"/>
    </row>
    <row r="602">
      <c r="B602" s="42"/>
    </row>
    <row r="603">
      <c r="B603" s="42"/>
    </row>
    <row r="604">
      <c r="B604" s="42"/>
    </row>
    <row r="605">
      <c r="B605" s="42"/>
    </row>
    <row r="606">
      <c r="B606" s="42"/>
    </row>
    <row r="607">
      <c r="B607" s="42"/>
    </row>
    <row r="608">
      <c r="B608" s="42"/>
    </row>
    <row r="609">
      <c r="B609" s="42"/>
    </row>
    <row r="610">
      <c r="B610" s="42"/>
    </row>
    <row r="611">
      <c r="B611" s="42"/>
    </row>
    <row r="612">
      <c r="B612" s="42"/>
    </row>
    <row r="613">
      <c r="B613" s="42"/>
    </row>
    <row r="614">
      <c r="B614" s="42"/>
    </row>
    <row r="615">
      <c r="B615" s="42"/>
    </row>
    <row r="616">
      <c r="B616" s="42"/>
    </row>
    <row r="617">
      <c r="B617" s="42"/>
    </row>
    <row r="618">
      <c r="B618" s="42"/>
    </row>
    <row r="619">
      <c r="B619" s="42"/>
    </row>
    <row r="620">
      <c r="B620" s="42"/>
    </row>
    <row r="621">
      <c r="B621" s="42"/>
    </row>
    <row r="622">
      <c r="B622" s="42"/>
    </row>
    <row r="623">
      <c r="B623" s="42"/>
    </row>
    <row r="624">
      <c r="B624" s="42"/>
    </row>
    <row r="625">
      <c r="B625" s="42"/>
    </row>
    <row r="626">
      <c r="B626" s="42"/>
    </row>
    <row r="627">
      <c r="B627" s="42"/>
    </row>
    <row r="628">
      <c r="B628" s="42"/>
    </row>
    <row r="629">
      <c r="B629" s="42"/>
    </row>
    <row r="630">
      <c r="B630" s="42"/>
    </row>
    <row r="631">
      <c r="B631" s="42"/>
    </row>
    <row r="632">
      <c r="B632" s="42"/>
    </row>
    <row r="633">
      <c r="B633" s="42"/>
    </row>
    <row r="634">
      <c r="B634" s="42"/>
    </row>
    <row r="635">
      <c r="B635" s="42"/>
    </row>
    <row r="636">
      <c r="B636" s="42"/>
    </row>
    <row r="637">
      <c r="B637" s="42"/>
    </row>
    <row r="638">
      <c r="B638" s="42"/>
    </row>
    <row r="639">
      <c r="B639" s="42"/>
    </row>
    <row r="640">
      <c r="B640" s="42"/>
    </row>
    <row r="641">
      <c r="B641" s="42"/>
    </row>
    <row r="642">
      <c r="B642" s="42"/>
    </row>
    <row r="643">
      <c r="B643" s="42"/>
    </row>
    <row r="644">
      <c r="B644" s="42"/>
    </row>
    <row r="645">
      <c r="B645" s="42"/>
    </row>
    <row r="646">
      <c r="B646" s="42"/>
    </row>
    <row r="647">
      <c r="B647" s="42"/>
    </row>
    <row r="648">
      <c r="B648" s="42"/>
    </row>
    <row r="649">
      <c r="B649" s="42"/>
    </row>
    <row r="650">
      <c r="B650" s="42"/>
    </row>
    <row r="651">
      <c r="B651" s="42"/>
    </row>
    <row r="652">
      <c r="B652" s="42"/>
    </row>
    <row r="653">
      <c r="B653" s="42"/>
    </row>
    <row r="654">
      <c r="B654" s="42"/>
    </row>
    <row r="655">
      <c r="B655" s="42"/>
    </row>
    <row r="656">
      <c r="B656" s="42"/>
    </row>
    <row r="657">
      <c r="B657" s="42"/>
    </row>
    <row r="658">
      <c r="B658" s="42"/>
    </row>
    <row r="659">
      <c r="B659" s="42"/>
    </row>
    <row r="660">
      <c r="B660" s="42"/>
    </row>
    <row r="661">
      <c r="B661" s="42"/>
    </row>
    <row r="662">
      <c r="B662" s="42"/>
    </row>
    <row r="663">
      <c r="B663" s="42"/>
    </row>
    <row r="664">
      <c r="B664" s="42"/>
    </row>
    <row r="665">
      <c r="B665" s="42"/>
    </row>
    <row r="666">
      <c r="B666" s="42"/>
    </row>
    <row r="667">
      <c r="B667" s="42"/>
    </row>
    <row r="668">
      <c r="B668" s="42"/>
    </row>
    <row r="669">
      <c r="B669" s="42"/>
    </row>
    <row r="670">
      <c r="B670" s="42"/>
    </row>
    <row r="671">
      <c r="B671" s="42"/>
    </row>
    <row r="672">
      <c r="B672" s="42"/>
    </row>
    <row r="673">
      <c r="B673" s="42"/>
    </row>
    <row r="674">
      <c r="B674" s="42"/>
    </row>
    <row r="675">
      <c r="B675" s="42"/>
    </row>
    <row r="676">
      <c r="B676" s="42"/>
    </row>
    <row r="677">
      <c r="B677" s="42"/>
    </row>
    <row r="678">
      <c r="B678" s="42"/>
    </row>
    <row r="679">
      <c r="B679" s="42"/>
    </row>
    <row r="680">
      <c r="B680" s="42"/>
    </row>
    <row r="681">
      <c r="B681" s="42"/>
    </row>
    <row r="682">
      <c r="B682" s="42"/>
    </row>
    <row r="683">
      <c r="B683" s="42"/>
    </row>
    <row r="684">
      <c r="B684" s="42"/>
    </row>
    <row r="685">
      <c r="B685" s="42"/>
    </row>
    <row r="686">
      <c r="B686" s="42"/>
    </row>
    <row r="687">
      <c r="B687" s="42"/>
    </row>
    <row r="688">
      <c r="B688" s="42"/>
    </row>
    <row r="689">
      <c r="B689" s="42"/>
    </row>
    <row r="690">
      <c r="B690" s="42"/>
    </row>
    <row r="691">
      <c r="B691" s="42"/>
    </row>
    <row r="692">
      <c r="B692" s="42"/>
    </row>
    <row r="693">
      <c r="B693" s="42"/>
    </row>
    <row r="694">
      <c r="B694" s="42"/>
    </row>
    <row r="695">
      <c r="B695" s="42"/>
    </row>
    <row r="696">
      <c r="B696" s="42"/>
    </row>
    <row r="697">
      <c r="B697" s="42"/>
    </row>
    <row r="698">
      <c r="B698" s="42"/>
    </row>
    <row r="699">
      <c r="B699" s="42"/>
    </row>
    <row r="700">
      <c r="B700" s="42"/>
    </row>
    <row r="701">
      <c r="B701" s="42"/>
    </row>
    <row r="702">
      <c r="B702" s="42"/>
    </row>
    <row r="703">
      <c r="B703" s="42"/>
    </row>
    <row r="704">
      <c r="B704" s="42"/>
    </row>
    <row r="705">
      <c r="B705" s="42"/>
    </row>
    <row r="706">
      <c r="B706" s="42"/>
    </row>
    <row r="707">
      <c r="B707" s="42"/>
    </row>
    <row r="708">
      <c r="B708" s="42"/>
    </row>
    <row r="709">
      <c r="B709" s="42"/>
    </row>
    <row r="710">
      <c r="B710" s="42"/>
    </row>
    <row r="711">
      <c r="B711" s="42"/>
    </row>
    <row r="712">
      <c r="B712" s="42"/>
    </row>
    <row r="713">
      <c r="B713" s="42"/>
    </row>
    <row r="714">
      <c r="B714" s="42"/>
    </row>
    <row r="715">
      <c r="B715" s="42"/>
    </row>
    <row r="716">
      <c r="B716" s="42"/>
    </row>
    <row r="717">
      <c r="B717" s="42"/>
    </row>
    <row r="718">
      <c r="B718" s="42"/>
    </row>
    <row r="719">
      <c r="B719" s="42"/>
    </row>
    <row r="720">
      <c r="B720" s="42"/>
    </row>
    <row r="721">
      <c r="B721" s="42"/>
    </row>
    <row r="722">
      <c r="B722" s="42"/>
    </row>
    <row r="723">
      <c r="B723" s="42"/>
    </row>
    <row r="724">
      <c r="B724" s="42"/>
    </row>
    <row r="725">
      <c r="B725" s="42"/>
    </row>
    <row r="726">
      <c r="B726" s="42"/>
    </row>
    <row r="727">
      <c r="B727" s="42"/>
    </row>
    <row r="728">
      <c r="B728" s="42"/>
    </row>
    <row r="729">
      <c r="B729" s="42"/>
    </row>
    <row r="730">
      <c r="B730" s="42"/>
    </row>
    <row r="731">
      <c r="B731" s="42"/>
    </row>
    <row r="732">
      <c r="B732" s="42"/>
    </row>
    <row r="733">
      <c r="B733" s="42"/>
    </row>
    <row r="734">
      <c r="B734" s="42"/>
    </row>
    <row r="735">
      <c r="B735" s="42"/>
    </row>
    <row r="736">
      <c r="B736" s="42"/>
    </row>
    <row r="737">
      <c r="B737" s="42"/>
    </row>
    <row r="738">
      <c r="B738" s="42"/>
    </row>
    <row r="739">
      <c r="B739" s="42"/>
    </row>
    <row r="740">
      <c r="B740" s="42"/>
    </row>
    <row r="741">
      <c r="B741" s="42"/>
    </row>
    <row r="742">
      <c r="B742" s="42"/>
    </row>
    <row r="743">
      <c r="B743" s="42"/>
    </row>
    <row r="744">
      <c r="B744" s="42"/>
    </row>
    <row r="745">
      <c r="B745" s="42"/>
    </row>
    <row r="746">
      <c r="B746" s="42"/>
    </row>
    <row r="747">
      <c r="B747" s="42"/>
    </row>
    <row r="748">
      <c r="B748" s="42"/>
    </row>
    <row r="749">
      <c r="B749" s="42"/>
    </row>
    <row r="750">
      <c r="B750" s="42"/>
    </row>
    <row r="751">
      <c r="B751" s="42"/>
    </row>
    <row r="752">
      <c r="B752" s="42"/>
    </row>
    <row r="753">
      <c r="B753" s="42"/>
    </row>
    <row r="754">
      <c r="B754" s="42"/>
    </row>
    <row r="755">
      <c r="B755" s="42"/>
    </row>
    <row r="756">
      <c r="B756" s="42"/>
    </row>
    <row r="757">
      <c r="B757" s="42"/>
    </row>
    <row r="758">
      <c r="B758" s="42"/>
    </row>
    <row r="759">
      <c r="B759" s="42"/>
    </row>
    <row r="760">
      <c r="B760" s="42"/>
    </row>
    <row r="761">
      <c r="B761" s="42"/>
    </row>
    <row r="762">
      <c r="B762" s="42"/>
    </row>
    <row r="763">
      <c r="B763" s="42"/>
    </row>
    <row r="764">
      <c r="B764" s="42"/>
    </row>
    <row r="765">
      <c r="B765" s="42"/>
    </row>
    <row r="766">
      <c r="B766" s="42"/>
    </row>
    <row r="767">
      <c r="B767" s="42"/>
    </row>
    <row r="768">
      <c r="B768" s="42"/>
    </row>
    <row r="769">
      <c r="B769" s="42"/>
    </row>
    <row r="770">
      <c r="B770" s="42"/>
    </row>
    <row r="771">
      <c r="B771" s="42"/>
    </row>
    <row r="772">
      <c r="B772" s="42"/>
    </row>
    <row r="773">
      <c r="B773" s="42"/>
    </row>
    <row r="774">
      <c r="B774" s="42"/>
    </row>
    <row r="775">
      <c r="B775" s="42"/>
    </row>
    <row r="776">
      <c r="B776" s="42"/>
    </row>
    <row r="777">
      <c r="B777" s="42"/>
    </row>
    <row r="778">
      <c r="B778" s="42"/>
    </row>
    <row r="779">
      <c r="B779" s="42"/>
    </row>
    <row r="780">
      <c r="B780" s="42"/>
    </row>
    <row r="781">
      <c r="B781" s="42"/>
    </row>
    <row r="782">
      <c r="B782" s="42"/>
    </row>
    <row r="783">
      <c r="B783" s="42"/>
    </row>
    <row r="784">
      <c r="B784" s="42"/>
    </row>
    <row r="785">
      <c r="B785" s="42"/>
    </row>
    <row r="786">
      <c r="B786" s="42"/>
    </row>
    <row r="787">
      <c r="B787" s="42"/>
    </row>
    <row r="788">
      <c r="B788" s="42"/>
    </row>
    <row r="789">
      <c r="B789" s="42"/>
    </row>
    <row r="790">
      <c r="B790" s="42"/>
    </row>
    <row r="791">
      <c r="B791" s="42"/>
    </row>
    <row r="792">
      <c r="B792" s="42"/>
    </row>
    <row r="793">
      <c r="B793" s="42"/>
    </row>
    <row r="794">
      <c r="B794" s="42"/>
    </row>
    <row r="795">
      <c r="B795" s="42"/>
    </row>
    <row r="796">
      <c r="B796" s="42"/>
    </row>
    <row r="797">
      <c r="B797" s="42"/>
    </row>
    <row r="798">
      <c r="B798" s="42"/>
    </row>
    <row r="799">
      <c r="B799" s="42"/>
    </row>
    <row r="800">
      <c r="B800" s="42"/>
    </row>
    <row r="801">
      <c r="B801" s="42"/>
    </row>
    <row r="802">
      <c r="B802" s="42"/>
    </row>
    <row r="803">
      <c r="B803" s="42"/>
    </row>
    <row r="804">
      <c r="B804" s="42"/>
    </row>
    <row r="805">
      <c r="B805" s="42"/>
    </row>
    <row r="806">
      <c r="B806" s="42"/>
    </row>
    <row r="807">
      <c r="B807" s="42"/>
    </row>
    <row r="808">
      <c r="B808" s="42"/>
    </row>
    <row r="809">
      <c r="B809" s="42"/>
    </row>
    <row r="810">
      <c r="B810" s="42"/>
    </row>
    <row r="811">
      <c r="B811" s="42"/>
    </row>
    <row r="812">
      <c r="B812" s="42"/>
    </row>
    <row r="813">
      <c r="B813" s="42"/>
    </row>
    <row r="814">
      <c r="B814" s="42"/>
    </row>
    <row r="815">
      <c r="B815" s="42"/>
    </row>
    <row r="816">
      <c r="B816" s="42"/>
    </row>
    <row r="817">
      <c r="B817" s="42"/>
    </row>
    <row r="818">
      <c r="B818" s="42"/>
    </row>
    <row r="819">
      <c r="B819" s="42"/>
    </row>
    <row r="820">
      <c r="B820" s="42"/>
    </row>
    <row r="821">
      <c r="B821" s="42"/>
    </row>
    <row r="822">
      <c r="B822" s="42"/>
    </row>
    <row r="823">
      <c r="B823" s="42"/>
    </row>
    <row r="824">
      <c r="B824" s="42"/>
    </row>
    <row r="825">
      <c r="B825" s="42"/>
    </row>
    <row r="826">
      <c r="B826" s="42"/>
    </row>
    <row r="827">
      <c r="B827" s="42"/>
    </row>
    <row r="828">
      <c r="B828" s="42"/>
    </row>
    <row r="829">
      <c r="B829" s="42"/>
    </row>
    <row r="830">
      <c r="B830" s="42"/>
    </row>
    <row r="831">
      <c r="B831" s="42"/>
    </row>
    <row r="832">
      <c r="B832" s="42"/>
    </row>
    <row r="833">
      <c r="B833" s="42"/>
    </row>
    <row r="834">
      <c r="B834" s="42"/>
    </row>
    <row r="835">
      <c r="B835" s="42"/>
    </row>
    <row r="836">
      <c r="B836" s="42"/>
    </row>
    <row r="837">
      <c r="B837" s="42"/>
    </row>
    <row r="838">
      <c r="B838" s="42"/>
    </row>
    <row r="839">
      <c r="B839" s="42"/>
    </row>
    <row r="840">
      <c r="B840" s="42"/>
    </row>
    <row r="841">
      <c r="B841" s="42"/>
    </row>
    <row r="842">
      <c r="B842" s="42"/>
    </row>
    <row r="843">
      <c r="B843" s="42"/>
    </row>
    <row r="844">
      <c r="B844" s="42"/>
    </row>
    <row r="845">
      <c r="B845" s="42"/>
    </row>
    <row r="846">
      <c r="B846" s="42"/>
    </row>
    <row r="847">
      <c r="B847" s="42"/>
    </row>
    <row r="848">
      <c r="B848" s="42"/>
    </row>
    <row r="849">
      <c r="B849" s="42"/>
    </row>
    <row r="850">
      <c r="B850" s="42"/>
    </row>
    <row r="851">
      <c r="B851" s="42"/>
    </row>
    <row r="852">
      <c r="B852" s="42"/>
    </row>
    <row r="853">
      <c r="B853" s="42"/>
    </row>
    <row r="854">
      <c r="B854" s="42"/>
    </row>
    <row r="855">
      <c r="B855" s="42"/>
    </row>
    <row r="856">
      <c r="B856" s="42"/>
    </row>
    <row r="857">
      <c r="B857" s="42"/>
    </row>
    <row r="858">
      <c r="B858" s="42"/>
    </row>
    <row r="859">
      <c r="B859" s="42"/>
    </row>
    <row r="860">
      <c r="B860" s="42"/>
    </row>
    <row r="861">
      <c r="B861" s="42"/>
    </row>
    <row r="862">
      <c r="B862" s="42"/>
    </row>
    <row r="863">
      <c r="B863" s="42"/>
    </row>
    <row r="864">
      <c r="B864" s="42"/>
    </row>
    <row r="865">
      <c r="B865" s="42"/>
    </row>
    <row r="866">
      <c r="B866" s="42"/>
    </row>
    <row r="867">
      <c r="B867" s="42"/>
    </row>
    <row r="868">
      <c r="B868" s="42"/>
    </row>
    <row r="869">
      <c r="B869" s="42"/>
    </row>
    <row r="870">
      <c r="B870" s="42"/>
    </row>
    <row r="871">
      <c r="B871" s="42"/>
    </row>
    <row r="872">
      <c r="B872" s="42"/>
    </row>
    <row r="873">
      <c r="B873" s="42"/>
    </row>
    <row r="874">
      <c r="B874" s="42"/>
    </row>
    <row r="875">
      <c r="B875" s="42"/>
    </row>
    <row r="876">
      <c r="B876" s="42"/>
    </row>
    <row r="877">
      <c r="B877" s="42"/>
    </row>
    <row r="878">
      <c r="B878" s="42"/>
    </row>
    <row r="879">
      <c r="B879" s="42"/>
    </row>
    <row r="880">
      <c r="B880" s="42"/>
    </row>
    <row r="881">
      <c r="B881" s="42"/>
    </row>
    <row r="882">
      <c r="B882" s="42"/>
    </row>
    <row r="883">
      <c r="B883" s="42"/>
    </row>
    <row r="884">
      <c r="B884" s="42"/>
    </row>
    <row r="885">
      <c r="B885" s="42"/>
    </row>
    <row r="886">
      <c r="B886" s="42"/>
    </row>
    <row r="887">
      <c r="B887" s="42"/>
    </row>
    <row r="888">
      <c r="B888" s="42"/>
    </row>
    <row r="889">
      <c r="B889" s="42"/>
    </row>
    <row r="890">
      <c r="B890" s="42"/>
    </row>
    <row r="891">
      <c r="B891" s="42"/>
    </row>
    <row r="892">
      <c r="B892" s="42"/>
    </row>
    <row r="893">
      <c r="B893" s="42"/>
    </row>
    <row r="894">
      <c r="B894" s="42"/>
    </row>
    <row r="895">
      <c r="B895" s="42"/>
    </row>
    <row r="896">
      <c r="B896" s="42"/>
    </row>
    <row r="897">
      <c r="B897" s="42"/>
    </row>
    <row r="898">
      <c r="B898" s="42"/>
    </row>
    <row r="899">
      <c r="B899" s="42"/>
    </row>
    <row r="900">
      <c r="B900" s="42"/>
    </row>
    <row r="901">
      <c r="B901" s="42"/>
    </row>
    <row r="902">
      <c r="B902" s="42"/>
    </row>
    <row r="903">
      <c r="B903" s="42"/>
    </row>
    <row r="904">
      <c r="B904" s="42"/>
    </row>
    <row r="905">
      <c r="B905" s="42"/>
    </row>
    <row r="906">
      <c r="B906" s="42"/>
    </row>
    <row r="907">
      <c r="B907" s="42"/>
    </row>
    <row r="908">
      <c r="B908" s="42"/>
    </row>
    <row r="909">
      <c r="B909" s="42"/>
    </row>
    <row r="910">
      <c r="B910" s="42"/>
    </row>
    <row r="911">
      <c r="B911" s="42"/>
    </row>
    <row r="912">
      <c r="B912" s="42"/>
    </row>
    <row r="913">
      <c r="B913" s="42"/>
    </row>
    <row r="914">
      <c r="B914" s="42"/>
    </row>
    <row r="915">
      <c r="B915" s="42"/>
    </row>
    <row r="916">
      <c r="B916" s="42"/>
    </row>
    <row r="917">
      <c r="B917" s="42"/>
    </row>
    <row r="918">
      <c r="B918" s="42"/>
    </row>
    <row r="919">
      <c r="B919" s="42"/>
    </row>
    <row r="920">
      <c r="B920" s="42"/>
    </row>
    <row r="921">
      <c r="B921" s="42"/>
    </row>
    <row r="922">
      <c r="B922" s="42"/>
    </row>
    <row r="923">
      <c r="B923" s="42"/>
    </row>
    <row r="924">
      <c r="B924" s="42"/>
    </row>
    <row r="925">
      <c r="B925" s="42"/>
    </row>
    <row r="926">
      <c r="B926" s="42"/>
    </row>
    <row r="927">
      <c r="B927" s="42"/>
    </row>
    <row r="928">
      <c r="B928" s="42"/>
    </row>
    <row r="929">
      <c r="B929" s="42"/>
    </row>
    <row r="930">
      <c r="B930" s="42"/>
    </row>
    <row r="931">
      <c r="B931" s="42"/>
    </row>
    <row r="932">
      <c r="B932" s="42"/>
    </row>
    <row r="933">
      <c r="B933" s="42"/>
    </row>
    <row r="934">
      <c r="B934" s="42"/>
    </row>
    <row r="935">
      <c r="B935" s="42"/>
    </row>
    <row r="936">
      <c r="B936" s="42"/>
    </row>
    <row r="937">
      <c r="B937" s="42"/>
    </row>
    <row r="938">
      <c r="B938" s="42"/>
    </row>
    <row r="939">
      <c r="B939" s="42"/>
    </row>
    <row r="940">
      <c r="B940" s="42"/>
    </row>
    <row r="941">
      <c r="B941" s="42"/>
    </row>
    <row r="942">
      <c r="B942" s="42"/>
    </row>
    <row r="943">
      <c r="B943" s="42"/>
    </row>
    <row r="944">
      <c r="B944" s="42"/>
    </row>
    <row r="945">
      <c r="B945" s="42"/>
    </row>
    <row r="946">
      <c r="B946" s="42"/>
    </row>
    <row r="947">
      <c r="B947" s="42"/>
    </row>
    <row r="948">
      <c r="B948" s="42"/>
    </row>
    <row r="949">
      <c r="B949" s="42"/>
    </row>
    <row r="950">
      <c r="B950" s="42"/>
    </row>
    <row r="951">
      <c r="B951" s="42"/>
    </row>
    <row r="952">
      <c r="B952" s="42"/>
    </row>
    <row r="953">
      <c r="B953" s="42"/>
    </row>
    <row r="954">
      <c r="B954" s="42"/>
    </row>
    <row r="955">
      <c r="B955" s="42"/>
    </row>
    <row r="956">
      <c r="B956" s="42"/>
    </row>
    <row r="957">
      <c r="B957" s="42"/>
    </row>
    <row r="958">
      <c r="B958" s="42"/>
    </row>
    <row r="959">
      <c r="B959" s="42"/>
    </row>
    <row r="960">
      <c r="B960" s="42"/>
    </row>
    <row r="961">
      <c r="B961" s="42"/>
    </row>
    <row r="962">
      <c r="B962" s="42"/>
    </row>
    <row r="963">
      <c r="B963" s="42"/>
    </row>
    <row r="964">
      <c r="B964" s="42"/>
    </row>
    <row r="965">
      <c r="B965" s="42"/>
    </row>
    <row r="966">
      <c r="B966" s="42"/>
    </row>
    <row r="967">
      <c r="B967" s="42"/>
    </row>
    <row r="968">
      <c r="B968" s="42"/>
    </row>
    <row r="969">
      <c r="B969" s="42"/>
    </row>
    <row r="970">
      <c r="B970" s="42"/>
    </row>
    <row r="971">
      <c r="B971" s="42"/>
    </row>
    <row r="972">
      <c r="B972" s="42"/>
    </row>
    <row r="973">
      <c r="B973" s="42"/>
    </row>
    <row r="974">
      <c r="B974" s="42"/>
    </row>
    <row r="975">
      <c r="B975" s="42"/>
    </row>
    <row r="976">
      <c r="B976" s="42"/>
    </row>
    <row r="977">
      <c r="B977" s="42"/>
    </row>
    <row r="978">
      <c r="B978" s="42"/>
    </row>
    <row r="979">
      <c r="B979" s="42"/>
    </row>
    <row r="980">
      <c r="B980" s="42"/>
    </row>
    <row r="981">
      <c r="B981" s="42"/>
    </row>
    <row r="982">
      <c r="B982" s="42"/>
    </row>
    <row r="983">
      <c r="B983" s="42"/>
    </row>
    <row r="984">
      <c r="B984" s="42"/>
    </row>
    <row r="985">
      <c r="B985" s="42"/>
    </row>
    <row r="986">
      <c r="B986" s="42"/>
    </row>
    <row r="987">
      <c r="B987" s="42"/>
    </row>
    <row r="988">
      <c r="B988" s="42"/>
    </row>
    <row r="989">
      <c r="B989" s="42"/>
    </row>
    <row r="990">
      <c r="B990" s="42"/>
    </row>
    <row r="991">
      <c r="B991" s="42"/>
    </row>
    <row r="992">
      <c r="B992" s="42"/>
    </row>
    <row r="993">
      <c r="B993" s="42"/>
    </row>
    <row r="994">
      <c r="B994" s="42"/>
    </row>
    <row r="995">
      <c r="B995" s="42"/>
    </row>
    <row r="996">
      <c r="B996" s="42"/>
    </row>
    <row r="997">
      <c r="B997" s="42"/>
    </row>
    <row r="998">
      <c r="B998" s="42"/>
    </row>
    <row r="999">
      <c r="B999" s="42"/>
    </row>
    <row r="1000">
      <c r="B1000" s="42"/>
    </row>
  </sheetData>
  <mergeCells count="2">
    <mergeCell ref="C2:F2"/>
    <mergeCell ref="C3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40.25"/>
    <col customWidth="1" min="4" max="4" width="23.13"/>
    <col customWidth="1" min="5" max="5" width="22.38"/>
    <col customWidth="1" min="6" max="6" width="22.13"/>
  </cols>
  <sheetData>
    <row r="2">
      <c r="B2" s="39" t="s">
        <v>1</v>
      </c>
      <c r="C2" s="40" t="s">
        <v>127</v>
      </c>
      <c r="D2" s="8"/>
      <c r="E2" s="8"/>
      <c r="F2" s="6"/>
    </row>
    <row r="3">
      <c r="B3" s="39" t="s">
        <v>34</v>
      </c>
      <c r="C3" s="41" t="s">
        <v>35</v>
      </c>
      <c r="D3" s="8"/>
      <c r="E3" s="8"/>
      <c r="F3" s="6"/>
    </row>
    <row r="4">
      <c r="B4" s="42"/>
    </row>
    <row r="5">
      <c r="B5" s="43" t="s">
        <v>36</v>
      </c>
      <c r="C5" s="43" t="s">
        <v>18</v>
      </c>
      <c r="D5" s="43" t="s">
        <v>37</v>
      </c>
      <c r="E5" s="43" t="s">
        <v>38</v>
      </c>
      <c r="F5" s="43" t="s">
        <v>39</v>
      </c>
    </row>
    <row r="6">
      <c r="B6" s="44">
        <v>1.0</v>
      </c>
      <c r="C6" s="45" t="s">
        <v>128</v>
      </c>
      <c r="D6" s="47">
        <v>1.0</v>
      </c>
      <c r="E6" s="45" t="s">
        <v>129</v>
      </c>
      <c r="F6" s="45" t="s">
        <v>130</v>
      </c>
    </row>
    <row r="7">
      <c r="B7" s="47">
        <v>2.0</v>
      </c>
      <c r="C7" s="45" t="s">
        <v>128</v>
      </c>
      <c r="D7" s="47">
        <v>1.0</v>
      </c>
      <c r="E7" s="45" t="s">
        <v>129</v>
      </c>
      <c r="F7" s="45" t="s">
        <v>131</v>
      </c>
    </row>
    <row r="8">
      <c r="B8" s="47">
        <v>3.0</v>
      </c>
      <c r="C8" s="45" t="s">
        <v>128</v>
      </c>
      <c r="D8" s="47">
        <v>1.0</v>
      </c>
      <c r="E8" s="45" t="s">
        <v>129</v>
      </c>
      <c r="F8" s="45" t="s">
        <v>132</v>
      </c>
    </row>
    <row r="9">
      <c r="B9" s="47">
        <v>4.0</v>
      </c>
      <c r="C9" s="45" t="s">
        <v>128</v>
      </c>
      <c r="D9" s="47">
        <v>1.0</v>
      </c>
      <c r="E9" s="45" t="s">
        <v>129</v>
      </c>
      <c r="F9" s="45" t="s">
        <v>133</v>
      </c>
    </row>
    <row r="10">
      <c r="B10" s="47">
        <v>5.0</v>
      </c>
      <c r="C10" s="45" t="s">
        <v>128</v>
      </c>
      <c r="D10" s="47">
        <v>1.0</v>
      </c>
      <c r="E10" s="45" t="s">
        <v>129</v>
      </c>
      <c r="F10" s="45" t="s">
        <v>134</v>
      </c>
    </row>
    <row r="11">
      <c r="B11" s="47">
        <v>6.0</v>
      </c>
      <c r="C11" s="45" t="s">
        <v>128</v>
      </c>
      <c r="D11" s="47">
        <v>1.0</v>
      </c>
      <c r="E11" s="45" t="s">
        <v>129</v>
      </c>
      <c r="F11" s="45" t="s">
        <v>135</v>
      </c>
    </row>
    <row r="12">
      <c r="B12" s="47">
        <v>7.0</v>
      </c>
      <c r="C12" s="45" t="s">
        <v>128</v>
      </c>
      <c r="D12" s="47">
        <v>1.0</v>
      </c>
      <c r="E12" s="45" t="s">
        <v>129</v>
      </c>
      <c r="F12" s="45" t="s">
        <v>136</v>
      </c>
    </row>
    <row r="13">
      <c r="B13" s="47">
        <v>8.0</v>
      </c>
      <c r="C13" s="45" t="s">
        <v>137</v>
      </c>
      <c r="D13" s="47">
        <v>1.0</v>
      </c>
      <c r="E13" s="45" t="s">
        <v>138</v>
      </c>
      <c r="F13" s="45" t="s">
        <v>139</v>
      </c>
    </row>
    <row r="14">
      <c r="B14" s="47">
        <v>9.0</v>
      </c>
      <c r="C14" s="45" t="s">
        <v>137</v>
      </c>
      <c r="D14" s="47">
        <v>1.0</v>
      </c>
      <c r="E14" s="45" t="s">
        <v>138</v>
      </c>
      <c r="F14" s="45" t="s">
        <v>140</v>
      </c>
    </row>
    <row r="15">
      <c r="B15" s="47">
        <v>10.0</v>
      </c>
      <c r="C15" s="45" t="s">
        <v>137</v>
      </c>
      <c r="D15" s="47">
        <v>1.0</v>
      </c>
      <c r="E15" s="45" t="s">
        <v>138</v>
      </c>
      <c r="F15" s="45" t="s">
        <v>141</v>
      </c>
    </row>
    <row r="16">
      <c r="B16" s="47">
        <v>11.0</v>
      </c>
      <c r="C16" s="45" t="s">
        <v>137</v>
      </c>
      <c r="D16" s="47">
        <v>1.0</v>
      </c>
      <c r="E16" s="45" t="s">
        <v>138</v>
      </c>
      <c r="F16" s="45" t="s">
        <v>142</v>
      </c>
    </row>
    <row r="17">
      <c r="B17" s="47">
        <v>12.0</v>
      </c>
      <c r="C17" s="45" t="s">
        <v>137</v>
      </c>
      <c r="D17" s="47">
        <v>1.0</v>
      </c>
      <c r="E17" s="45" t="s">
        <v>138</v>
      </c>
      <c r="F17" s="45" t="s">
        <v>143</v>
      </c>
    </row>
    <row r="18">
      <c r="B18" s="47">
        <v>13.0</v>
      </c>
      <c r="C18" s="45" t="s">
        <v>137</v>
      </c>
      <c r="D18" s="47">
        <v>1.0</v>
      </c>
      <c r="E18" s="45" t="s">
        <v>138</v>
      </c>
      <c r="F18" s="45" t="s">
        <v>144</v>
      </c>
    </row>
    <row r="19">
      <c r="B19" s="47">
        <v>14.0</v>
      </c>
      <c r="C19" s="45" t="s">
        <v>137</v>
      </c>
      <c r="D19" s="47">
        <v>1.0</v>
      </c>
      <c r="E19" s="45" t="s">
        <v>138</v>
      </c>
      <c r="F19" s="45" t="s">
        <v>145</v>
      </c>
    </row>
    <row r="20">
      <c r="B20" s="47">
        <v>15.0</v>
      </c>
      <c r="C20" s="45" t="s">
        <v>146</v>
      </c>
      <c r="D20" s="47">
        <v>1.0</v>
      </c>
      <c r="E20" s="45" t="s">
        <v>147</v>
      </c>
      <c r="F20" s="45" t="s">
        <v>148</v>
      </c>
    </row>
    <row r="21">
      <c r="B21" s="47">
        <v>16.0</v>
      </c>
      <c r="C21" s="45" t="s">
        <v>146</v>
      </c>
      <c r="D21" s="47">
        <v>1.0</v>
      </c>
      <c r="E21" s="45" t="s">
        <v>147</v>
      </c>
      <c r="F21" s="45" t="s">
        <v>149</v>
      </c>
    </row>
    <row r="22">
      <c r="B22" s="47">
        <v>17.0</v>
      </c>
      <c r="C22" s="45" t="s">
        <v>146</v>
      </c>
      <c r="D22" s="47">
        <v>1.0</v>
      </c>
      <c r="E22" s="45" t="s">
        <v>147</v>
      </c>
      <c r="F22" s="45" t="s">
        <v>150</v>
      </c>
    </row>
    <row r="23">
      <c r="B23" s="47">
        <v>18.0</v>
      </c>
      <c r="C23" s="45" t="s">
        <v>146</v>
      </c>
      <c r="D23" s="47">
        <v>1.0</v>
      </c>
      <c r="E23" s="45" t="s">
        <v>147</v>
      </c>
      <c r="F23" s="45" t="s">
        <v>151</v>
      </c>
    </row>
    <row r="24">
      <c r="B24" s="47">
        <v>19.0</v>
      </c>
      <c r="C24" s="45" t="s">
        <v>146</v>
      </c>
      <c r="D24" s="47">
        <v>1.0</v>
      </c>
      <c r="E24" s="45" t="s">
        <v>147</v>
      </c>
      <c r="F24" s="45" t="s">
        <v>152</v>
      </c>
    </row>
    <row r="25">
      <c r="B25" s="47">
        <v>20.0</v>
      </c>
      <c r="C25" s="45" t="s">
        <v>146</v>
      </c>
      <c r="D25" s="47">
        <v>1.0</v>
      </c>
      <c r="E25" s="45" t="s">
        <v>147</v>
      </c>
      <c r="F25" s="45" t="s">
        <v>153</v>
      </c>
    </row>
    <row r="26">
      <c r="B26" s="47">
        <v>21.0</v>
      </c>
      <c r="C26" s="45" t="s">
        <v>146</v>
      </c>
      <c r="D26" s="47">
        <v>1.0</v>
      </c>
      <c r="E26" s="45" t="s">
        <v>147</v>
      </c>
      <c r="F26" s="45" t="s">
        <v>154</v>
      </c>
    </row>
    <row r="27">
      <c r="B27" s="47">
        <v>22.0</v>
      </c>
      <c r="C27" s="45" t="s">
        <v>128</v>
      </c>
      <c r="D27" s="47">
        <v>1.0</v>
      </c>
      <c r="E27" s="45" t="s">
        <v>155</v>
      </c>
      <c r="F27" s="45" t="s">
        <v>156</v>
      </c>
    </row>
    <row r="28">
      <c r="B28" s="47">
        <v>23.0</v>
      </c>
      <c r="C28" s="45" t="s">
        <v>128</v>
      </c>
      <c r="D28" s="47">
        <v>1.0</v>
      </c>
      <c r="E28" s="45" t="s">
        <v>155</v>
      </c>
      <c r="F28" s="45" t="s">
        <v>157</v>
      </c>
    </row>
    <row r="29">
      <c r="B29" s="47">
        <v>24.0</v>
      </c>
      <c r="C29" s="45" t="s">
        <v>128</v>
      </c>
      <c r="D29" s="47">
        <v>1.0</v>
      </c>
      <c r="E29" s="45" t="s">
        <v>155</v>
      </c>
      <c r="F29" s="45" t="s">
        <v>158</v>
      </c>
    </row>
    <row r="30">
      <c r="B30" s="47">
        <v>25.0</v>
      </c>
      <c r="C30" s="45" t="s">
        <v>128</v>
      </c>
      <c r="D30" s="47">
        <v>1.0</v>
      </c>
      <c r="E30" s="45" t="s">
        <v>155</v>
      </c>
      <c r="F30" s="45" t="s">
        <v>144</v>
      </c>
    </row>
    <row r="31">
      <c r="B31" s="47">
        <v>26.0</v>
      </c>
      <c r="C31" s="45" t="s">
        <v>128</v>
      </c>
      <c r="D31" s="47">
        <v>1.0</v>
      </c>
      <c r="E31" s="45" t="s">
        <v>155</v>
      </c>
      <c r="F31" s="45" t="s">
        <v>159</v>
      </c>
    </row>
    <row r="32">
      <c r="B32" s="47">
        <v>27.0</v>
      </c>
      <c r="C32" s="45" t="s">
        <v>128</v>
      </c>
      <c r="D32" s="47">
        <v>1.0</v>
      </c>
      <c r="E32" s="45" t="s">
        <v>155</v>
      </c>
      <c r="F32" s="45" t="s">
        <v>145</v>
      </c>
    </row>
    <row r="33">
      <c r="B33" s="47">
        <v>28.0</v>
      </c>
      <c r="C33" s="45" t="s">
        <v>128</v>
      </c>
      <c r="D33" s="47">
        <v>1.0</v>
      </c>
      <c r="E33" s="45" t="s">
        <v>155</v>
      </c>
      <c r="F33" s="45" t="s">
        <v>160</v>
      </c>
    </row>
    <row r="34">
      <c r="B34" s="47">
        <v>29.0</v>
      </c>
      <c r="C34" s="45" t="s">
        <v>128</v>
      </c>
      <c r="D34" s="47">
        <v>2.0</v>
      </c>
      <c r="E34" s="45" t="s">
        <v>161</v>
      </c>
      <c r="F34" s="45" t="s">
        <v>162</v>
      </c>
    </row>
    <row r="35">
      <c r="B35" s="47">
        <v>30.0</v>
      </c>
      <c r="C35" s="45" t="s">
        <v>128</v>
      </c>
      <c r="D35" s="47">
        <v>2.0</v>
      </c>
      <c r="E35" s="45" t="s">
        <v>161</v>
      </c>
      <c r="F35" s="45" t="s">
        <v>163</v>
      </c>
    </row>
    <row r="36">
      <c r="B36" s="47">
        <v>31.0</v>
      </c>
      <c r="C36" s="45" t="s">
        <v>128</v>
      </c>
      <c r="D36" s="47">
        <v>2.0</v>
      </c>
      <c r="E36" s="45" t="s">
        <v>161</v>
      </c>
      <c r="F36" s="45" t="s">
        <v>164</v>
      </c>
    </row>
    <row r="37">
      <c r="B37" s="47">
        <v>32.0</v>
      </c>
      <c r="C37" s="45" t="s">
        <v>128</v>
      </c>
      <c r="D37" s="47">
        <v>2.0</v>
      </c>
      <c r="E37" s="45" t="s">
        <v>161</v>
      </c>
      <c r="F37" s="45" t="s">
        <v>133</v>
      </c>
    </row>
    <row r="38">
      <c r="B38" s="47">
        <v>33.0</v>
      </c>
      <c r="C38" s="45" t="s">
        <v>128</v>
      </c>
      <c r="D38" s="47">
        <v>2.0</v>
      </c>
      <c r="E38" s="45" t="s">
        <v>161</v>
      </c>
      <c r="F38" s="45" t="s">
        <v>134</v>
      </c>
    </row>
    <row r="39">
      <c r="B39" s="47">
        <v>34.0</v>
      </c>
      <c r="C39" s="45" t="s">
        <v>128</v>
      </c>
      <c r="D39" s="47">
        <v>2.0</v>
      </c>
      <c r="E39" s="45" t="s">
        <v>161</v>
      </c>
      <c r="F39" s="45" t="s">
        <v>165</v>
      </c>
    </row>
    <row r="40">
      <c r="B40" s="47">
        <v>35.0</v>
      </c>
      <c r="C40" s="45" t="s">
        <v>128</v>
      </c>
      <c r="D40" s="47">
        <v>2.0</v>
      </c>
      <c r="E40" s="45" t="s">
        <v>161</v>
      </c>
      <c r="F40" s="45" t="s">
        <v>166</v>
      </c>
    </row>
    <row r="41">
      <c r="B41" s="47">
        <v>36.0</v>
      </c>
      <c r="C41" s="45" t="s">
        <v>146</v>
      </c>
      <c r="D41" s="47">
        <v>2.0</v>
      </c>
      <c r="E41" s="45" t="s">
        <v>167</v>
      </c>
      <c r="F41" s="45" t="s">
        <v>168</v>
      </c>
    </row>
    <row r="42">
      <c r="B42" s="47">
        <v>37.0</v>
      </c>
      <c r="C42" s="45" t="s">
        <v>146</v>
      </c>
      <c r="D42" s="47">
        <v>2.0</v>
      </c>
      <c r="E42" s="45" t="s">
        <v>167</v>
      </c>
      <c r="F42" s="45" t="s">
        <v>169</v>
      </c>
    </row>
    <row r="43">
      <c r="B43" s="47">
        <v>38.0</v>
      </c>
      <c r="C43" s="45" t="s">
        <v>146</v>
      </c>
      <c r="D43" s="47">
        <v>2.0</v>
      </c>
      <c r="E43" s="45" t="s">
        <v>167</v>
      </c>
      <c r="F43" s="45" t="s">
        <v>170</v>
      </c>
    </row>
    <row r="44">
      <c r="B44" s="47">
        <v>39.0</v>
      </c>
      <c r="C44" s="45" t="s">
        <v>146</v>
      </c>
      <c r="D44" s="47">
        <v>2.0</v>
      </c>
      <c r="E44" s="45" t="s">
        <v>167</v>
      </c>
      <c r="F44" s="45" t="s">
        <v>171</v>
      </c>
    </row>
    <row r="45">
      <c r="B45" s="47">
        <v>40.0</v>
      </c>
      <c r="C45" s="45" t="s">
        <v>146</v>
      </c>
      <c r="D45" s="47">
        <v>2.0</v>
      </c>
      <c r="E45" s="45" t="s">
        <v>167</v>
      </c>
      <c r="F45" s="45" t="s">
        <v>158</v>
      </c>
    </row>
    <row r="46">
      <c r="B46" s="47">
        <v>41.0</v>
      </c>
      <c r="C46" s="45" t="s">
        <v>146</v>
      </c>
      <c r="D46" s="47">
        <v>2.0</v>
      </c>
      <c r="E46" s="45" t="s">
        <v>167</v>
      </c>
      <c r="F46" s="45" t="s">
        <v>172</v>
      </c>
    </row>
    <row r="47">
      <c r="B47" s="47">
        <v>42.0</v>
      </c>
      <c r="C47" s="45" t="s">
        <v>146</v>
      </c>
      <c r="D47" s="47">
        <v>2.0</v>
      </c>
      <c r="E47" s="45" t="s">
        <v>167</v>
      </c>
      <c r="F47" s="45" t="s">
        <v>173</v>
      </c>
    </row>
    <row r="48">
      <c r="B48" s="47">
        <v>43.0</v>
      </c>
      <c r="C48" s="45" t="s">
        <v>146</v>
      </c>
      <c r="D48" s="47">
        <v>2.0</v>
      </c>
      <c r="E48" s="45" t="s">
        <v>174</v>
      </c>
      <c r="F48" s="45" t="s">
        <v>175</v>
      </c>
    </row>
    <row r="49">
      <c r="B49" s="47">
        <v>44.0</v>
      </c>
      <c r="C49" s="45" t="s">
        <v>146</v>
      </c>
      <c r="D49" s="47">
        <v>2.0</v>
      </c>
      <c r="E49" s="45" t="s">
        <v>174</v>
      </c>
      <c r="F49" s="45" t="s">
        <v>176</v>
      </c>
    </row>
    <row r="50">
      <c r="B50" s="47">
        <v>45.0</v>
      </c>
      <c r="C50" s="45" t="s">
        <v>146</v>
      </c>
      <c r="D50" s="47">
        <v>2.0</v>
      </c>
      <c r="E50" s="45" t="s">
        <v>174</v>
      </c>
      <c r="F50" s="45" t="s">
        <v>177</v>
      </c>
    </row>
    <row r="51">
      <c r="B51" s="47">
        <v>46.0</v>
      </c>
      <c r="C51" s="45" t="s">
        <v>146</v>
      </c>
      <c r="D51" s="47">
        <v>2.0</v>
      </c>
      <c r="E51" s="45" t="s">
        <v>174</v>
      </c>
      <c r="F51" s="45" t="s">
        <v>178</v>
      </c>
    </row>
    <row r="52">
      <c r="B52" s="47">
        <v>47.0</v>
      </c>
      <c r="C52" s="45" t="s">
        <v>146</v>
      </c>
      <c r="D52" s="47">
        <v>2.0</v>
      </c>
      <c r="E52" s="45" t="s">
        <v>174</v>
      </c>
      <c r="F52" s="45" t="s">
        <v>152</v>
      </c>
    </row>
    <row r="53">
      <c r="B53" s="47">
        <v>48.0</v>
      </c>
      <c r="C53" s="45" t="s">
        <v>146</v>
      </c>
      <c r="D53" s="47">
        <v>2.0</v>
      </c>
      <c r="E53" s="45" t="s">
        <v>174</v>
      </c>
      <c r="F53" s="45" t="s">
        <v>179</v>
      </c>
    </row>
    <row r="54">
      <c r="B54" s="47">
        <v>49.0</v>
      </c>
      <c r="C54" s="45" t="s">
        <v>146</v>
      </c>
      <c r="D54" s="47">
        <v>2.0</v>
      </c>
      <c r="E54" s="45" t="s">
        <v>174</v>
      </c>
      <c r="F54" s="45" t="s">
        <v>180</v>
      </c>
    </row>
    <row r="55">
      <c r="B55" s="47">
        <v>50.0</v>
      </c>
      <c r="C55" s="45" t="s">
        <v>128</v>
      </c>
      <c r="D55" s="47">
        <v>2.0</v>
      </c>
      <c r="E55" s="45" t="s">
        <v>181</v>
      </c>
      <c r="F55" s="45" t="s">
        <v>182</v>
      </c>
    </row>
    <row r="56">
      <c r="B56" s="47">
        <v>51.0</v>
      </c>
      <c r="C56" s="45" t="s">
        <v>128</v>
      </c>
      <c r="D56" s="47">
        <v>2.0</v>
      </c>
      <c r="E56" s="45" t="s">
        <v>181</v>
      </c>
      <c r="F56" s="45" t="s">
        <v>183</v>
      </c>
    </row>
    <row r="57">
      <c r="B57" s="47">
        <v>52.0</v>
      </c>
      <c r="C57" s="45" t="s">
        <v>128</v>
      </c>
      <c r="D57" s="47">
        <v>2.0</v>
      </c>
      <c r="E57" s="45" t="s">
        <v>181</v>
      </c>
      <c r="F57" s="45" t="s">
        <v>184</v>
      </c>
    </row>
    <row r="58">
      <c r="B58" s="47">
        <v>53.0</v>
      </c>
      <c r="C58" s="45" t="s">
        <v>128</v>
      </c>
      <c r="D58" s="47">
        <v>2.0</v>
      </c>
      <c r="E58" s="45" t="s">
        <v>181</v>
      </c>
      <c r="F58" s="45" t="s">
        <v>185</v>
      </c>
    </row>
    <row r="59">
      <c r="B59" s="47">
        <v>54.0</v>
      </c>
      <c r="C59" s="45" t="s">
        <v>128</v>
      </c>
      <c r="D59" s="47">
        <v>2.0</v>
      </c>
      <c r="E59" s="45" t="s">
        <v>181</v>
      </c>
      <c r="F59" s="45" t="s">
        <v>186</v>
      </c>
    </row>
    <row r="60">
      <c r="B60" s="47">
        <v>55.0</v>
      </c>
      <c r="C60" s="45" t="s">
        <v>128</v>
      </c>
      <c r="D60" s="47">
        <v>2.0</v>
      </c>
      <c r="E60" s="45" t="s">
        <v>181</v>
      </c>
      <c r="F60" s="45" t="s">
        <v>187</v>
      </c>
    </row>
    <row r="61">
      <c r="B61" s="47">
        <v>56.0</v>
      </c>
      <c r="C61" s="45" t="s">
        <v>128</v>
      </c>
      <c r="D61" s="47">
        <v>2.0</v>
      </c>
      <c r="E61" s="45" t="s">
        <v>181</v>
      </c>
      <c r="F61" s="45" t="s">
        <v>188</v>
      </c>
    </row>
    <row r="62">
      <c r="B62" s="47">
        <v>57.0</v>
      </c>
      <c r="C62" s="45" t="s">
        <v>146</v>
      </c>
      <c r="D62" s="47">
        <v>3.0</v>
      </c>
      <c r="E62" s="45" t="s">
        <v>189</v>
      </c>
      <c r="F62" s="45" t="s">
        <v>190</v>
      </c>
    </row>
    <row r="63">
      <c r="B63" s="47">
        <v>58.0</v>
      </c>
      <c r="C63" s="45" t="s">
        <v>146</v>
      </c>
      <c r="D63" s="47">
        <v>3.0</v>
      </c>
      <c r="E63" s="45" t="s">
        <v>189</v>
      </c>
      <c r="F63" s="45" t="s">
        <v>191</v>
      </c>
    </row>
    <row r="64">
      <c r="B64" s="47">
        <v>59.0</v>
      </c>
      <c r="C64" s="45" t="s">
        <v>146</v>
      </c>
      <c r="D64" s="47">
        <v>3.0</v>
      </c>
      <c r="E64" s="45" t="s">
        <v>189</v>
      </c>
      <c r="F64" s="45" t="s">
        <v>192</v>
      </c>
    </row>
    <row r="65">
      <c r="B65" s="47">
        <v>60.0</v>
      </c>
      <c r="C65" s="45" t="s">
        <v>146</v>
      </c>
      <c r="D65" s="47">
        <v>3.0</v>
      </c>
      <c r="E65" s="45" t="s">
        <v>189</v>
      </c>
      <c r="F65" s="45" t="s">
        <v>193</v>
      </c>
    </row>
    <row r="66">
      <c r="B66" s="47">
        <v>61.0</v>
      </c>
      <c r="C66" s="45" t="s">
        <v>146</v>
      </c>
      <c r="D66" s="47">
        <v>3.0</v>
      </c>
      <c r="E66" s="45" t="s">
        <v>189</v>
      </c>
      <c r="F66" s="45" t="s">
        <v>194</v>
      </c>
    </row>
    <row r="67">
      <c r="B67" s="47">
        <v>62.0</v>
      </c>
      <c r="C67" s="45" t="s">
        <v>146</v>
      </c>
      <c r="D67" s="47">
        <v>3.0</v>
      </c>
      <c r="E67" s="45" t="s">
        <v>189</v>
      </c>
      <c r="F67" s="45" t="s">
        <v>195</v>
      </c>
    </row>
    <row r="68">
      <c r="B68" s="47">
        <v>63.0</v>
      </c>
      <c r="C68" s="45" t="s">
        <v>146</v>
      </c>
      <c r="D68" s="47">
        <v>3.0</v>
      </c>
      <c r="E68" s="45" t="s">
        <v>189</v>
      </c>
      <c r="F68" s="45" t="s">
        <v>196</v>
      </c>
    </row>
    <row r="69">
      <c r="B69" s="47">
        <v>64.0</v>
      </c>
      <c r="C69" s="45" t="s">
        <v>146</v>
      </c>
      <c r="D69" s="47">
        <v>3.0</v>
      </c>
      <c r="E69" s="45" t="s">
        <v>197</v>
      </c>
      <c r="F69" s="45" t="s">
        <v>198</v>
      </c>
    </row>
    <row r="70">
      <c r="B70" s="47">
        <v>65.0</v>
      </c>
      <c r="C70" s="45" t="s">
        <v>146</v>
      </c>
      <c r="D70" s="47">
        <v>3.0</v>
      </c>
      <c r="E70" s="45" t="s">
        <v>197</v>
      </c>
      <c r="F70" s="45" t="s">
        <v>199</v>
      </c>
    </row>
    <row r="71">
      <c r="B71" s="47">
        <v>66.0</v>
      </c>
      <c r="C71" s="45" t="s">
        <v>146</v>
      </c>
      <c r="D71" s="47">
        <v>3.0</v>
      </c>
      <c r="E71" s="45" t="s">
        <v>197</v>
      </c>
      <c r="F71" s="45" t="s">
        <v>200</v>
      </c>
    </row>
    <row r="72">
      <c r="B72" s="47">
        <v>67.0</v>
      </c>
      <c r="C72" s="45" t="s">
        <v>146</v>
      </c>
      <c r="D72" s="47">
        <v>3.0</v>
      </c>
      <c r="E72" s="45" t="s">
        <v>197</v>
      </c>
      <c r="F72" s="45" t="s">
        <v>201</v>
      </c>
    </row>
    <row r="73">
      <c r="B73" s="47">
        <v>68.0</v>
      </c>
      <c r="C73" s="45" t="s">
        <v>146</v>
      </c>
      <c r="D73" s="47">
        <v>3.0</v>
      </c>
      <c r="E73" s="45" t="s">
        <v>197</v>
      </c>
      <c r="F73" s="45" t="s">
        <v>171</v>
      </c>
    </row>
    <row r="74">
      <c r="B74" s="47">
        <v>69.0</v>
      </c>
      <c r="C74" s="45" t="s">
        <v>146</v>
      </c>
      <c r="D74" s="47">
        <v>3.0</v>
      </c>
      <c r="E74" s="45" t="s">
        <v>197</v>
      </c>
      <c r="F74" s="45" t="s">
        <v>202</v>
      </c>
    </row>
    <row r="75">
      <c r="B75" s="47">
        <v>70.0</v>
      </c>
      <c r="C75" s="45" t="s">
        <v>146</v>
      </c>
      <c r="D75" s="47">
        <v>3.0</v>
      </c>
      <c r="E75" s="45" t="s">
        <v>197</v>
      </c>
      <c r="F75" s="45" t="s">
        <v>203</v>
      </c>
    </row>
    <row r="76">
      <c r="B76" s="47">
        <v>71.0</v>
      </c>
      <c r="C76" s="45" t="s">
        <v>146</v>
      </c>
      <c r="D76" s="47">
        <v>3.0</v>
      </c>
      <c r="E76" s="45" t="s">
        <v>204</v>
      </c>
      <c r="F76" s="45" t="s">
        <v>205</v>
      </c>
    </row>
    <row r="77">
      <c r="B77" s="47">
        <v>72.0</v>
      </c>
      <c r="C77" s="45" t="s">
        <v>146</v>
      </c>
      <c r="D77" s="47">
        <v>3.0</v>
      </c>
      <c r="E77" s="45" t="s">
        <v>204</v>
      </c>
      <c r="F77" s="45" t="s">
        <v>206</v>
      </c>
    </row>
    <row r="78">
      <c r="B78" s="47">
        <v>73.0</v>
      </c>
      <c r="C78" s="45" t="s">
        <v>146</v>
      </c>
      <c r="D78" s="47">
        <v>3.0</v>
      </c>
      <c r="E78" s="45" t="s">
        <v>204</v>
      </c>
      <c r="F78" s="45" t="s">
        <v>207</v>
      </c>
    </row>
    <row r="79">
      <c r="B79" s="47">
        <v>74.0</v>
      </c>
      <c r="C79" s="45" t="s">
        <v>146</v>
      </c>
      <c r="D79" s="47">
        <v>3.0</v>
      </c>
      <c r="E79" s="45" t="s">
        <v>204</v>
      </c>
      <c r="F79" s="45" t="s">
        <v>208</v>
      </c>
    </row>
    <row r="80">
      <c r="B80" s="47">
        <v>75.0</v>
      </c>
      <c r="C80" s="45" t="s">
        <v>146</v>
      </c>
      <c r="D80" s="47">
        <v>3.0</v>
      </c>
      <c r="E80" s="45" t="s">
        <v>204</v>
      </c>
      <c r="F80" s="45" t="s">
        <v>144</v>
      </c>
    </row>
    <row r="81">
      <c r="B81" s="47">
        <v>76.0</v>
      </c>
      <c r="C81" s="45" t="s">
        <v>146</v>
      </c>
      <c r="D81" s="47">
        <v>3.0</v>
      </c>
      <c r="E81" s="45" t="s">
        <v>204</v>
      </c>
      <c r="F81" s="45" t="s">
        <v>209</v>
      </c>
    </row>
    <row r="82">
      <c r="B82" s="47">
        <v>77.0</v>
      </c>
      <c r="C82" s="45" t="s">
        <v>146</v>
      </c>
      <c r="D82" s="47">
        <v>3.0</v>
      </c>
      <c r="E82" s="45" t="s">
        <v>204</v>
      </c>
      <c r="F82" s="45" t="s">
        <v>210</v>
      </c>
    </row>
    <row r="83">
      <c r="B83" s="47">
        <v>78.0</v>
      </c>
      <c r="C83" s="45" t="s">
        <v>211</v>
      </c>
      <c r="D83" s="47">
        <v>4.0</v>
      </c>
      <c r="E83" s="45" t="s">
        <v>212</v>
      </c>
      <c r="F83" s="45" t="s">
        <v>213</v>
      </c>
    </row>
    <row r="84">
      <c r="B84" s="47">
        <v>79.0</v>
      </c>
      <c r="C84" s="45" t="s">
        <v>211</v>
      </c>
      <c r="D84" s="47">
        <v>4.0</v>
      </c>
      <c r="E84" s="45" t="s">
        <v>212</v>
      </c>
      <c r="F84" s="45" t="s">
        <v>214</v>
      </c>
    </row>
    <row r="85">
      <c r="B85" s="47">
        <v>80.0</v>
      </c>
      <c r="C85" s="45" t="s">
        <v>211</v>
      </c>
      <c r="D85" s="47">
        <v>4.0</v>
      </c>
      <c r="E85" s="45" t="s">
        <v>212</v>
      </c>
      <c r="F85" s="45" t="s">
        <v>215</v>
      </c>
    </row>
    <row r="86">
      <c r="B86" s="47">
        <v>81.0</v>
      </c>
      <c r="C86" s="45" t="s">
        <v>211</v>
      </c>
      <c r="D86" s="47">
        <v>4.0</v>
      </c>
      <c r="E86" s="45" t="s">
        <v>212</v>
      </c>
      <c r="F86" s="45" t="s">
        <v>216</v>
      </c>
    </row>
    <row r="87">
      <c r="B87" s="47">
        <v>82.0</v>
      </c>
      <c r="C87" s="45" t="s">
        <v>211</v>
      </c>
      <c r="D87" s="47">
        <v>4.0</v>
      </c>
      <c r="E87" s="45" t="s">
        <v>212</v>
      </c>
      <c r="F87" s="45" t="s">
        <v>217</v>
      </c>
    </row>
    <row r="88">
      <c r="B88" s="47">
        <v>83.0</v>
      </c>
      <c r="C88" s="45" t="s">
        <v>211</v>
      </c>
      <c r="D88" s="47">
        <v>4.0</v>
      </c>
      <c r="E88" s="45" t="s">
        <v>212</v>
      </c>
      <c r="F88" s="45" t="s">
        <v>218</v>
      </c>
    </row>
    <row r="89">
      <c r="B89" s="47">
        <v>84.0</v>
      </c>
      <c r="C89" s="45" t="s">
        <v>211</v>
      </c>
      <c r="D89" s="47">
        <v>4.0</v>
      </c>
      <c r="E89" s="45" t="s">
        <v>212</v>
      </c>
      <c r="F89" s="45" t="s">
        <v>219</v>
      </c>
    </row>
    <row r="90">
      <c r="B90" s="47">
        <v>85.0</v>
      </c>
      <c r="C90" s="45" t="s">
        <v>220</v>
      </c>
      <c r="D90" s="47">
        <v>4.0</v>
      </c>
      <c r="E90" s="45" t="s">
        <v>221</v>
      </c>
      <c r="F90" s="45" t="s">
        <v>222</v>
      </c>
    </row>
    <row r="91">
      <c r="B91" s="47">
        <v>86.0</v>
      </c>
      <c r="C91" s="45" t="s">
        <v>220</v>
      </c>
      <c r="D91" s="47">
        <v>4.0</v>
      </c>
      <c r="E91" s="45" t="s">
        <v>221</v>
      </c>
      <c r="F91" s="45" t="s">
        <v>223</v>
      </c>
    </row>
    <row r="92">
      <c r="B92" s="47">
        <v>87.0</v>
      </c>
      <c r="C92" s="45" t="s">
        <v>220</v>
      </c>
      <c r="D92" s="47">
        <v>4.0</v>
      </c>
      <c r="E92" s="45" t="s">
        <v>221</v>
      </c>
      <c r="F92" s="45" t="s">
        <v>224</v>
      </c>
    </row>
    <row r="93">
      <c r="B93" s="47">
        <v>88.0</v>
      </c>
      <c r="C93" s="45" t="s">
        <v>220</v>
      </c>
      <c r="D93" s="47">
        <v>4.0</v>
      </c>
      <c r="E93" s="45" t="s">
        <v>221</v>
      </c>
      <c r="F93" s="45" t="s">
        <v>225</v>
      </c>
    </row>
    <row r="94">
      <c r="B94" s="47">
        <v>89.0</v>
      </c>
      <c r="C94" s="45" t="s">
        <v>220</v>
      </c>
      <c r="D94" s="47">
        <v>4.0</v>
      </c>
      <c r="E94" s="45" t="s">
        <v>221</v>
      </c>
      <c r="F94" s="45" t="s">
        <v>152</v>
      </c>
    </row>
    <row r="95">
      <c r="B95" s="47">
        <v>90.0</v>
      </c>
      <c r="C95" s="45" t="s">
        <v>220</v>
      </c>
      <c r="D95" s="47">
        <v>4.0</v>
      </c>
      <c r="E95" s="45" t="s">
        <v>221</v>
      </c>
      <c r="F95" s="45" t="s">
        <v>226</v>
      </c>
    </row>
    <row r="96">
      <c r="B96" s="47">
        <v>91.0</v>
      </c>
      <c r="C96" s="45" t="s">
        <v>220</v>
      </c>
      <c r="D96" s="47">
        <v>4.0</v>
      </c>
      <c r="E96" s="45" t="s">
        <v>221</v>
      </c>
      <c r="F96" s="45" t="s">
        <v>227</v>
      </c>
    </row>
    <row r="97">
      <c r="B97" s="47">
        <v>92.0</v>
      </c>
      <c r="C97" s="45" t="s">
        <v>220</v>
      </c>
      <c r="D97" s="47">
        <v>5.0</v>
      </c>
      <c r="E97" s="45" t="s">
        <v>228</v>
      </c>
      <c r="F97" s="45" t="s">
        <v>229</v>
      </c>
    </row>
    <row r="98">
      <c r="B98" s="47">
        <v>93.0</v>
      </c>
      <c r="C98" s="45" t="s">
        <v>220</v>
      </c>
      <c r="D98" s="47">
        <v>5.0</v>
      </c>
      <c r="E98" s="45" t="s">
        <v>228</v>
      </c>
      <c r="F98" s="45" t="s">
        <v>230</v>
      </c>
    </row>
    <row r="99">
      <c r="B99" s="47">
        <v>94.0</v>
      </c>
      <c r="C99" s="45" t="s">
        <v>220</v>
      </c>
      <c r="D99" s="47">
        <v>5.0</v>
      </c>
      <c r="E99" s="45" t="s">
        <v>228</v>
      </c>
      <c r="F99" s="45" t="s">
        <v>231</v>
      </c>
    </row>
    <row r="100">
      <c r="B100" s="47">
        <v>95.0</v>
      </c>
      <c r="C100" s="45" t="s">
        <v>220</v>
      </c>
      <c r="D100" s="47">
        <v>5.0</v>
      </c>
      <c r="E100" s="45" t="s">
        <v>228</v>
      </c>
      <c r="F100" s="45" t="s">
        <v>232</v>
      </c>
    </row>
    <row r="101">
      <c r="B101" s="47">
        <v>96.0</v>
      </c>
      <c r="C101" s="45" t="s">
        <v>220</v>
      </c>
      <c r="D101" s="47">
        <v>5.0</v>
      </c>
      <c r="E101" s="45" t="s">
        <v>228</v>
      </c>
      <c r="F101" s="45" t="s">
        <v>233</v>
      </c>
    </row>
    <row r="102">
      <c r="B102" s="47">
        <v>97.0</v>
      </c>
      <c r="C102" s="45" t="s">
        <v>220</v>
      </c>
      <c r="D102" s="47">
        <v>5.0</v>
      </c>
      <c r="E102" s="45" t="s">
        <v>228</v>
      </c>
      <c r="F102" s="45" t="s">
        <v>152</v>
      </c>
    </row>
    <row r="103">
      <c r="B103" s="47">
        <v>98.0</v>
      </c>
      <c r="C103" s="45" t="s">
        <v>220</v>
      </c>
      <c r="D103" s="47">
        <v>5.0</v>
      </c>
      <c r="E103" s="45" t="s">
        <v>228</v>
      </c>
      <c r="F103" s="45" t="s">
        <v>234</v>
      </c>
    </row>
  </sheetData>
  <mergeCells count="2">
    <mergeCell ref="C3:F3"/>
    <mergeCell ref="C2:F2"/>
  </mergeCells>
  <drawing r:id="rId1"/>
</worksheet>
</file>