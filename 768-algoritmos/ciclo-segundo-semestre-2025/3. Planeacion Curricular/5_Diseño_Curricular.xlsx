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Competencias" sheetId="2" r:id="rId5"/>
    <sheet state="visible" name="Diseño" sheetId="3" r:id="rId6"/>
    <sheet state="visible" name="Semana Diagnostico" sheetId="4" r:id="rId7"/>
    <sheet state="visible" name="S.2" sheetId="5" r:id="rId8"/>
    <sheet state="visible" name="S.3" sheetId="6" r:id="rId9"/>
    <sheet state="visible" name="S.4" sheetId="7" r:id="rId10"/>
    <sheet state="visible" name="S.5" sheetId="8" r:id="rId11"/>
    <sheet state="visible" name="S.6" sheetId="9" r:id="rId12"/>
    <sheet state="visible" name="S.7" sheetId="10" r:id="rId13"/>
    <sheet state="visible" name="S.8" sheetId="11" r:id="rId14"/>
    <sheet state="visible" name="S.9" sheetId="12" r:id="rId15"/>
    <sheet state="visible" name="S.10" sheetId="13" r:id="rId16"/>
    <sheet state="visible" name="S.11" sheetId="14" r:id="rId17"/>
    <sheet state="visible" name="Proyectos" sheetId="15" r:id="rId18"/>
    <sheet state="visible" name="Practicas" sheetId="16" r:id="rId19"/>
    <sheet state="visible" name="Tareas" sheetId="17" r:id="rId20"/>
    <sheet state="visible" name="Metadata" sheetId="18" r:id="rId21"/>
  </sheets>
  <definedNames/>
  <calcPr/>
  <extLst>
    <ext uri="GoogleSheetsCustomDataVersion2">
      <go:sheetsCustomData xmlns:go="http://customooxmlschemas.google.com/" r:id="rId22" roundtripDataChecksum="HACSS7LeMJRyvRZfvMvsl5+fu8ukmKl4nFRIYr78Um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<sst xmlns="http://schemas.openxmlformats.org/spreadsheetml/2006/main" count="1326" uniqueCount="417">
  <si>
    <t xml:space="preserve">Resumen de Ponderacion y Horas </t>
  </si>
  <si>
    <t>Curso</t>
  </si>
  <si>
    <t>768 - Algoritmos</t>
  </si>
  <si>
    <t>Semestre que aplica</t>
  </si>
  <si>
    <t>Segundo Semestre 2026</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</si>
  <si>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</si>
  <si>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</si>
  <si>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</si>
  <si>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Tipo de Actividad</t>
  </si>
  <si>
    <t>Ponderacion</t>
  </si>
  <si>
    <t>Horas utilizadas</t>
  </si>
  <si>
    <t>Aspectos clave que debe abordar</t>
  </si>
  <si>
    <t>Valor Maximo Recomendado</t>
  </si>
  <si>
    <t>Actividades durante el peridodo de laboratorio</t>
  </si>
  <si>
    <t>Proyectos</t>
  </si>
  <si>
    <t>Prácticas</t>
  </si>
  <si>
    <t>Tareas</t>
  </si>
  <si>
    <t>Total</t>
  </si>
  <si>
    <t>Validacion</t>
  </si>
  <si>
    <t>Competencias que se formaran en el Segundo Semestre 2026</t>
  </si>
  <si>
    <t>Competencias relacionadas al perfil del egresado (Especifica)</t>
  </si>
  <si>
    <t>Competencias relacionadas al perfil del egresado (General)</t>
  </si>
  <si>
    <t>Demuestra pensamiento crítico, actitud investigativa y rigor analítico en el
 planteamiento y la resolución de problemas complejos.</t>
  </si>
  <si>
    <t>Aplica principios básicos de ingeniería, ciencias de computación y sistemas
 de información y comunicación, en la formulación y resolución adecuada de
 problemas complejos.</t>
  </si>
  <si>
    <t>Demuestra destreza y habilidad en la selección, uso y adaptación de
 herramientas metodológicas, tecnológicas, equipos especializados y en la
 lectura e interpretación de datos, pertinentes al contexto de su ejercicio
 profesional.</t>
  </si>
  <si>
    <t>Construye soluciones integrales trabajando en forma colaborativa y
 propositiva en equipos interdisciplinarios, en forma presencial o utilizando
 plataformas virtuales.</t>
  </si>
  <si>
    <t>Toma decisiones profesionales con base en fundamentos teóricos, datos e
 información pertinente, válida y confiable.</t>
  </si>
  <si>
    <t>Aplica estándares de calidad, eficiencia y seguridad en la implementación
 adecuada de soluciones de software, hardware y TIC en general.</t>
  </si>
  <si>
    <t>No</t>
  </si>
  <si>
    <t>Tipo</t>
  </si>
  <si>
    <t>Verbo en Presente</t>
  </si>
  <si>
    <t>Objeto de la acción</t>
  </si>
  <si>
    <t>[Palabras conectoreas] Herramientas o metodología</t>
  </si>
  <si>
    <t>[Palabras conectoreas] Condiciones específicas</t>
  </si>
  <si>
    <t>Nivel</t>
  </si>
  <si>
    <t>General</t>
  </si>
  <si>
    <t>Analiza</t>
  </si>
  <si>
    <t>los fundamentos del hardware, software y arquitectura computacional</t>
  </si>
  <si>
    <t>mediante el ciclo fetch-decode-execute, sistemas de numeración y codificación de información</t>
  </si>
  <si>
    <t>para establecer la base conceptual del procesamiento y flujo de datos en sistemas computacionales</t>
  </si>
  <si>
    <t>Analizar</t>
  </si>
  <si>
    <t>Especifica</t>
  </si>
  <si>
    <t>Identifica</t>
  </si>
  <si>
    <t>los componentes físicos y lógicos de un sistema computacional</t>
  </si>
  <si>
    <t>utilizando el modelo de Von Neumann y la clasificación de software por categorías</t>
  </si>
  <si>
    <t>para distinguir la función de cada elemento dentro de la arquitectura de procesamiento</t>
  </si>
  <si>
    <t>Recordar</t>
  </si>
  <si>
    <t>Convierte</t>
  </si>
  <si>
    <t>valores numéricos entre sistemas de numeración decimal, binario, octal y hexadecimal</t>
  </si>
  <si>
    <t>aplicando los métodos de conversión posicional y los estándares de codificación ASCII, UNICODE e ISO-8859</t>
  </si>
  <si>
    <t>para representar datos primitivos, imágenes, audio y video en formato digital</t>
  </si>
  <si>
    <t>Aplicar</t>
  </si>
  <si>
    <t>Descompone</t>
  </si>
  <si>
    <t>problemas computacionales en subproblemas definidos</t>
  </si>
  <si>
    <t>mediante técnicas de descomposición, reconocimiento de patrones y abstracción</t>
  </si>
  <si>
    <t>para estructurar soluciones algorítmicas a partir de instancias y contextos concretos</t>
  </si>
  <si>
    <t>Diseña</t>
  </si>
  <si>
    <t>algoritmos que resuelven problemas determinísticos, condicionales y cíclicos</t>
  </si>
  <si>
    <t>empleando estructuras de control secuenciales, condicionales y repetitivas en pseudocódigo</t>
  </si>
  <si>
    <t>para producir soluciones correctas, legibles y verificables en un entorno de desarrollo introductorio</t>
  </si>
  <si>
    <t>Crear</t>
  </si>
  <si>
    <t>Implementa</t>
  </si>
  <si>
    <t>algoritmos con manejo de arreglos unidimensionales y multidimensionales</t>
  </si>
  <si>
    <t>utilizando herramientas de pseudocódigo y diagramas de flujo</t>
  </si>
  <si>
    <t>para representar y administrar colecciones de datos de forma estructurada</t>
  </si>
  <si>
    <t>Evalúa</t>
  </si>
  <si>
    <t>la calidad y corrección de algoritmos propios y de pares</t>
  </si>
  <si>
    <t>aplicando criterios de claridad, eficiencia estructural y conformidad con las características de un buen algoritmo</t>
  </si>
  <si>
    <t>para mejorar la solución antes de su implementación en un lenguaje de programación formal</t>
  </si>
  <si>
    <t>Evaluar</t>
  </si>
  <si>
    <t>Si las competencias son las misma que el semetre anterior compartenos tu opinion de porque no se cambiaron</t>
  </si>
  <si>
    <t>Diseño de Contenido Curricular</t>
  </si>
  <si>
    <t>semestre que aplica</t>
  </si>
  <si>
    <t>No.</t>
  </si>
  <si>
    <t>Competencia</t>
  </si>
  <si>
    <t>Nombre de la Unidad</t>
  </si>
  <si>
    <t>Tema</t>
  </si>
  <si>
    <t>Subtema</t>
  </si>
  <si>
    <t>Mes</t>
  </si>
  <si>
    <t>Semana</t>
  </si>
  <si>
    <t xml:space="preserve">Analiza los fundamentos del hardware, software y arquitectura computacional mediante el ciclo fetch-decode-execute, sistemas de numeración y codificación de información para establecer la base conceptual del procesamiento y flujo de datos en sistemas computacionales </t>
  </si>
  <si>
    <t>Unidad 1 - La computadora</t>
  </si>
  <si>
    <t>La computadora</t>
  </si>
  <si>
    <t>Definición y evolución de la computadora</t>
  </si>
  <si>
    <t>Agosto</t>
  </si>
  <si>
    <t>Unidad 2 - Arquitectura y organización VNA</t>
  </si>
  <si>
    <t>Hardware de procesamiento</t>
  </si>
  <si>
    <t>Ciclo fetch - decode - execute</t>
  </si>
  <si>
    <t xml:space="preserve">Identifica los componentes físicos y lógicos de un sistema computacional utilizando el modelo de Von Neumann y la clasificación de software por categorías para distinguir la función de cada elemento dentro de la arquitectura de procesamiento </t>
  </si>
  <si>
    <t xml:space="preserve">Hardware de procesamiento
</t>
  </si>
  <si>
    <t xml:space="preserve">Componentes de la unidad de control y ALU
</t>
  </si>
  <si>
    <t>Tecnologías RISC/CISC</t>
  </si>
  <si>
    <t>Hardware de almacenamiento</t>
  </si>
  <si>
    <t>Memoria principal y secundaria</t>
  </si>
  <si>
    <t>Hardware de comunicación</t>
  </si>
  <si>
    <t>Tarjetas de red, routers, switches, APs, HW de seguridad (firewall y otros)</t>
  </si>
  <si>
    <t>Buses</t>
  </si>
  <si>
    <t>Bus de control, bus de datos y bus de dirección</t>
  </si>
  <si>
    <t>Software de sistema</t>
  </si>
  <si>
    <t>Sistemas operativos, hipervisores y utilitarios</t>
  </si>
  <si>
    <t>Software de aplicación</t>
  </si>
  <si>
    <t>ERP, CRM, WMS y ofimática</t>
  </si>
  <si>
    <t>Software de programación</t>
  </si>
  <si>
    <t>Lenguajes de programación y su clasificación</t>
  </si>
  <si>
    <t>Calidad y seguridad</t>
  </si>
  <si>
    <t>Normativas y estándares internacionales</t>
  </si>
  <si>
    <t>Firmware</t>
  </si>
  <si>
    <t>Programación y control del hardware a bajo nivel</t>
  </si>
  <si>
    <t xml:space="preserve">Convierte valores numéricos entre sistemas de numeración decimal, binario, octal y hexadecimal aplicando los métodos de conversión posicional y los estándares de codificación ASCII, UNICODE e ISO-8859 para representar datos primitivos, imágenes, audio y video en formato digital </t>
  </si>
  <si>
    <t>Unidad 4 – Codificación de la Información</t>
  </si>
  <si>
    <t>Sistemas de numeración</t>
  </si>
  <si>
    <t>Sistema decimal, binario, octal y hexadecimal</t>
  </si>
  <si>
    <t>Codificación</t>
  </si>
  <si>
    <t>ASCII, EBCDIC, UNICODE, ISO-8859</t>
  </si>
  <si>
    <t>Representación de datos</t>
  </si>
  <si>
    <t>Tipos de datos primitivos, imágenes, audio y video</t>
  </si>
  <si>
    <t xml:space="preserve">Descompone problemas computacionales en subproblemas definidos mediante técnicas de descomposición, reconocimiento de patrones y abstracción para estructurar soluciones algorítmicas a partir de instancias y contextos concretos </t>
  </si>
  <si>
    <t>Unidad 4 – Fundamentos de Algoritmos</t>
  </si>
  <si>
    <t>Fundamentos de algoritmos</t>
  </si>
  <si>
    <t>Descomposición, reconocimiento de patrones y abstracción</t>
  </si>
  <si>
    <t>Definición de un problema</t>
  </si>
  <si>
    <t>Instancias y soluciones</t>
  </si>
  <si>
    <t>Características de un problema</t>
  </si>
  <si>
    <t>Necesidad de la solución, contexto claro, relevancia</t>
  </si>
  <si>
    <t>Tipos de problemas computacionales</t>
  </si>
  <si>
    <t>Determinísticos, probabilísticos, secuenciales, condicionales y cíclicos</t>
  </si>
  <si>
    <t>Septiembre</t>
  </si>
  <si>
    <t xml:space="preserve">Diseña algoritmos que resuelven problemas determinísticos, condicionales y cíclicos empleando estructuras de control secuenciales, condicionales y repetitivas en pseudocódigo para producir soluciones correctas, legibles y verificables en un entorno de desarrollo introductorio </t>
  </si>
  <si>
    <t>Descomposición de problemas</t>
  </si>
  <si>
    <t>Técnicas de segmentación e identificación de subproblemas</t>
  </si>
  <si>
    <t>Representación del problema</t>
  </si>
  <si>
    <t>Representación estructurada del problema</t>
  </si>
  <si>
    <t>Unidad 5 – Algoritmos</t>
  </si>
  <si>
    <t>Elementos de un algoritmo</t>
  </si>
  <si>
    <t>Instrucciones o sentencias y palabras reservadas</t>
  </si>
  <si>
    <t>Tipos de datos</t>
  </si>
  <si>
    <t>Estructuras condicionales</t>
  </si>
  <si>
    <t>Estructuras cíclicas</t>
  </si>
  <si>
    <t>Estructuras secuenciales</t>
  </si>
  <si>
    <t>Manipulación de cadenas de caracteres</t>
  </si>
  <si>
    <t>Ventajas, desventajas y software de pseudocódigo</t>
  </si>
  <si>
    <t xml:space="preserve">Implementa algoritmos con manejo de arreglos unidimensionales y multidimensionales utilizando herramientas de pseudocódigo y diagramas de flujo para representar y administrar colecciones de datos de forma estructurada </t>
  </si>
  <si>
    <t>Arreglos</t>
  </si>
  <si>
    <t>Arreglos unidimensionales y multidimensionales</t>
  </si>
  <si>
    <t>Octubre</t>
  </si>
  <si>
    <t>Administración de algoritmos</t>
  </si>
  <si>
    <t>Herramientas de representación de algoritmos</t>
  </si>
  <si>
    <t>Diagramas de flujo</t>
  </si>
  <si>
    <t xml:space="preserve">Evalúa la calidad y corrección de algoritmos propios y de pares aplicando criterios de claridad, eficiencia estructural y conformidad con las características de un buen algoritmo para mejorar la solución antes de su implementación en un lenguaje de programación formal </t>
  </si>
  <si>
    <t>Unidad 6 – Administración y representación de Algoritmos</t>
  </si>
  <si>
    <t>Pseudocódigo</t>
  </si>
  <si>
    <t>Características, estructura y componentes</t>
  </si>
  <si>
    <t>Ventajas y desventajas</t>
  </si>
  <si>
    <t>Software de pseudocódigo</t>
  </si>
  <si>
    <t>Tiempo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</si>
  <si>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</si>
  <si>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</si>
  <si>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Tiempo Aproximado</t>
  </si>
  <si>
    <t>No puedes excederte mas de 15 minutos</t>
  </si>
  <si>
    <t xml:space="preserve">Nombre y Formacion Academica </t>
  </si>
  <si>
    <t xml:space="preserve">Experiencia docente y profecional </t>
  </si>
  <si>
    <t>Rol del auxiliar dentro del curso (funciones, actividades y apoyo a los estudiantes).</t>
  </si>
  <si>
    <t>Expectativas sobre la dinámica del curso</t>
  </si>
  <si>
    <t xml:space="preserve">Tiempo que emplearas </t>
  </si>
  <si>
    <t xml:space="preserve">2. Evaluación de Conocimientos Previos                             </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</si>
  <si>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</si>
  <si>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</si>
  <si>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</si>
  <si>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No hay un curso previo</t>
  </si>
  <si>
    <t>Redactaras una parte practica para realizar la evaluacion de conocimientos previos</t>
  </si>
  <si>
    <t xml:space="preserve">3. Presentación de los Estudiantes                                </t>
  </si>
  <si>
    <t xml:space="preserve">No puedes excederte mas de 30 minutos </t>
  </si>
  <si>
    <t>Seleccion al Azar de 5 Estudiantes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</si>
  <si>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</si>
  <si>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</si>
  <si>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¿Cuáles son sus expectativas para este curso? ¿Qué temas específicos tienen interés en aprender o descubrir a lo largo del semestre? ¿Consideran que los contenidos serán una herramienta de apoyo para su carrera o los perciben únicamente como una etapa de nivelación inicial?</t>
  </si>
  <si>
    <t xml:space="preserve">4.  Censo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</si>
  <si>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</si>
  <si>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</si>
  <si>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</si>
  <si>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https://forms.gle/xWU6mE1cvkmJiyXk8</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</si>
  <si>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</si>
  <si>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</si>
  <si>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Jueves, Sabado de 7:00 a 12:00</t>
  </si>
  <si>
    <t xml:space="preserve">5.  Mostrar Programa del Curso                 </t>
  </si>
  <si>
    <t>No puedes excederte mas de 30 minutos</t>
  </si>
  <si>
    <t xml:space="preserve">6. Evaluación de Conocimientos del Curso Actual                                  </t>
  </si>
  <si>
    <t xml:space="preserve">Redactaras 20 preguntas con sus respectivas respuestas </t>
  </si>
  <si>
    <t>Conceptos de algoritmo, flujo de datos y lógica de programación básica</t>
  </si>
  <si>
    <t>Diseño de la Sesión de Laboratorio</t>
  </si>
  <si>
    <t>Ponderación</t>
  </si>
  <si>
    <t>Validación de Tiempo</t>
  </si>
  <si>
    <t>1. Área Actitudinal (Saber Ser)</t>
  </si>
  <si>
    <t>Tiene que estar en un rango de 3 a 5 minutos</t>
  </si>
  <si>
    <t>Nombre del Valor</t>
  </si>
  <si>
    <t>Curiosidad intelectual</t>
  </si>
  <si>
    <t>Descripcion</t>
  </si>
  <si>
    <t>Disposición activa para explorar el origen, evolución y funcionamiento de la tecnología más allá de lo evidente.</t>
  </si>
  <si>
    <t>Como se relaciona con los conocimientos de la sesion y se aplicaria</t>
  </si>
  <si>
    <t>Comprender cómo evolucionó la computadora y opera el ciclo fetch-decode-execute exige ir más allá de la memorización. El estudiante investiga por cuenta propia la historia de la computadora antes de la sesión y formula preguntas en clase.</t>
  </si>
  <si>
    <t>2. Área Conocimiento (Saber)</t>
  </si>
  <si>
    <t>No puede exceder los 60 minutos</t>
  </si>
  <si>
    <t>Competencia a desarrollar</t>
  </si>
  <si>
    <t>2.1 Contenido</t>
  </si>
  <si>
    <t>Unidad</t>
  </si>
  <si>
    <t xml:space="preserve">Tema </t>
  </si>
  <si>
    <t>Sub Tema</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</si>
  <si>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</si>
  <si>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</si>
  <si>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</si>
  <si>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</si>
  <si>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</si>
  <si>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</si>
  <si>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</si>
  <si>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</si>
  <si>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</si>
  <si>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</si>
  <si>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</si>
  <si>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</si>
  <si>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</si>
  <si>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</si>
  <si>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Analisis</t>
  </si>
  <si>
    <t>Coloca el tiempo que usar en la actividad, un tiempo sugerido 30 minutos</t>
  </si>
  <si>
    <t>Descripcion de la Actividad</t>
  </si>
  <si>
    <t>Actividad 2 (Optativa puedes hacerla si lo consideras apropiado)</t>
  </si>
  <si>
    <t>Coloca el tiempo que usar en la actividad, un tiempo sugerido 20 minutos</t>
  </si>
  <si>
    <t>3. Cierre</t>
  </si>
  <si>
    <t>Tiene que estar en un rango de 10 a 15 minutos</t>
  </si>
  <si>
    <t>Asignacion de Actividades</t>
  </si>
  <si>
    <t>Tarea 1 (7 dias)</t>
  </si>
  <si>
    <t>Resuelve alguna duda, asigna las actividades que deben realizar, dudas de proyectos, etc</t>
  </si>
  <si>
    <t xml:space="preserve">Pensamiento sistémico
</t>
  </si>
  <si>
    <t xml:space="preserve">Capacidad de ver los componentes individuales como partes interdependientes de un sistema mayor y coherente
</t>
  </si>
  <si>
    <t>RISC/CISC, memoria, comunicación y buses solo tienen sentido cuando se analizan como subsistemas que interactúan.
El estudiante elabora un esquema que muestra cómo cada componente de hardware se comunica con los demás.</t>
  </si>
  <si>
    <t>Cuestionario</t>
  </si>
  <si>
    <t>Corto 1 (mismo dia)</t>
  </si>
  <si>
    <t xml:space="preserve">Responsabilidad profesional
</t>
  </si>
  <si>
    <t xml:space="preserve">Compromiso de actuar conforme a normas, estándares y buenas prácticas vigentes en el ejercicio técnico
</t>
  </si>
  <si>
    <t>El uso correcto de software, cumplimiento de normativas y estándares internacionales define la práctica ética en TI.
El estudiante identifica al menos una normativa aplicable a cada categoría de software revisada en la sesión.</t>
  </si>
  <si>
    <t>Tarea 2 (7 dias)</t>
  </si>
  <si>
    <t>Precisión</t>
  </si>
  <si>
    <t xml:space="preserve">Precisión en la ejecución de procesos y en la representación de información, evitando errores por descuido
</t>
  </si>
  <si>
    <t>La conversión entre sistemas de numeración y la codificación de datos exigen resultados exactos sin margen de error.
El estudiante verifica cada conversión numérica paso a paso y comprueba el resultado en al menos dos métodos distintos.</t>
  </si>
  <si>
    <t>Corto 3 (mismo dia)</t>
  </si>
  <si>
    <t xml:space="preserve">Pensamiento crítico
</t>
  </si>
  <si>
    <t xml:space="preserve">Habilidad para analizar un problema, cuestionar supuestos y distinguir lo esencial de lo accesorio antes de actuar.
</t>
  </si>
  <si>
    <t>Definir correctamente un problema algorítmico requiere cuestionar el contexto, las instancias y la validez de la solución.
El estudiante reformula un enunciado de problema dado en clase identificando sus supuestos implícitos y condiciones reales.</t>
  </si>
  <si>
    <t>Tarea 3 (7 dias)</t>
  </si>
  <si>
    <t xml:space="preserve">Orden y método
</t>
  </si>
  <si>
    <t xml:space="preserve">Hábito de estructurar el trabajo de forma secuencial, jerárquica y documentada para garantizar resultados reproducibles.
</t>
  </si>
  <si>
    <t>Descomponer problemas y representarlos de forma estructurada demanda un proceso ordenado y sistemático.
El estudiante aplica una técnica de segmentación específica y entrega la representación estructurada del subproblema asignado.</t>
  </si>
  <si>
    <t xml:space="preserve">Disciplina
</t>
  </si>
  <si>
    <t xml:space="preserve">Constancia en el cumplimiento de reglas, sintaxis y convenciones establecidas, incluso cuando resulta exigente.
</t>
  </si>
  <si>
    <t>Escribir algoritmos con instrucciones, palabras reservadas y estructuras condicionales correctas requiere disciplina sintáctica.
El estudiante revisa su pseudocódigo contra una lista de verificación de elementos antes de entregarlo.</t>
  </si>
  <si>
    <t>Tarea 4 (7 dias)</t>
  </si>
  <si>
    <t xml:space="preserve">Perseverancia
</t>
  </si>
  <si>
    <t xml:space="preserve">Capacidad de continuar trabajando ante dificultades, errores o resultados inesperados sin abandonar el proceso.
</t>
  </si>
  <si>
    <t>Dominar estructuras cíclicas y manipulación de cadenas implica depurar errores repetidamente hasta lograr el resultado correcto.
El estudiante registra cada error encontrado en su algoritmo y documenta la corrección aplicada en cada caso.</t>
  </si>
  <si>
    <t xml:space="preserve">Organización
</t>
  </si>
  <si>
    <t xml:space="preserve">Habilidad para estructurar datos, recursos y procesos de manera que faciliten su acceso, uso y mantenimiento.
</t>
  </si>
  <si>
    <t>El uso de arreglos y diagramas de flujo refleja la necesidad de organizar datos y representar la lógica con claridad.
El estudiante diseña el diagrama de flujo de su algoritmo con arreglos antes de escribir una sola línea de pseudocódigo.</t>
  </si>
  <si>
    <t>Tarea 5 (7 dias)</t>
  </si>
  <si>
    <t xml:space="preserve">Comunicación técnica
</t>
  </si>
  <si>
    <t xml:space="preserve">Capacidad de expresar ideas, procesos y soluciones de forma clara, precisa y comprensible para distintos receptores.
</t>
  </si>
  <si>
    <t>El pseudocódigo es un lenguaje intermediario; escribirlo bien implica comunicar la lógica de forma que otro pueda entenderla.
Se tendria un problema y se intercambiaria la solucion entre compañeros para evalúar si la lógica es comprensible sin explicación verbal.</t>
  </si>
  <si>
    <t>Corto 4 (mismo dia)</t>
  </si>
  <si>
    <t>La sumatoria de los puntos de los proyectos debe superar el  60% del total de la nota, no puede ser un 100%</t>
  </si>
  <si>
    <t>1. Primer Proyecto</t>
  </si>
  <si>
    <t>Horas para realizarlo</t>
  </si>
  <si>
    <t>Titulo</t>
  </si>
  <si>
    <t>PokeSystem - Simulador de Combate y Gestión de Arreglos</t>
  </si>
  <si>
    <t>Qué tecnologías, lenguajes de programación, plataformas, hardware o software se utilizaran</t>
  </si>
  <si>
    <t>PSeInt (Pseudocódigo), arreglos (vectores/matrices), lógica de subprocesos y renderizado de texto masivo</t>
  </si>
  <si>
    <t>Descripción de lo que se realizara</t>
  </si>
  <si>
    <t>Desarrollo de un sistema de combate por turnos que gestiona bases de datos de personajes mediante arreglos. El reto técnico principal consiste en procesar y visualizar ASCII ART a escala (100x50), aplicando modularización para separar la lógica de daño, la selección de equipos y la transferencia de datos entre los estados de juego.</t>
  </si>
  <si>
    <t>2. Segundo Proyecto</t>
  </si>
  <si>
    <t>Conversor de Sistemas Numéricos Móvil</t>
  </si>
  <si>
    <t>MIT App Inventor (Programación por bloques), lógica de eventos y algoritmos de conversión matemática</t>
  </si>
  <si>
    <t>Creación de una aplicación para Android capaz de convertir valores entre bases decimal, binaria, octal y hexadecimal. Los estudiantes implementarán algoritmos de divisiones sucesivas y notación posicional, gestionando una interfaz gráfica de usuario con validación de errores, filtros de entrada y notificación de resultados en tiempo real sobre un dispositivo móvil.</t>
  </si>
  <si>
    <t>3. Tercer Proyecto</t>
  </si>
  <si>
    <t>Optativa</t>
  </si>
  <si>
    <t>Practicas</t>
  </si>
  <si>
    <t>La sumatoria de los puntos de los practicas debe no debe super el  20%</t>
  </si>
  <si>
    <t>1. Primera Practica</t>
  </si>
  <si>
    <t>Obligatoria</t>
  </si>
  <si>
    <t>La Odisea del Dato (Arquitectura y Flujo)</t>
  </si>
  <si>
    <t>RAPTOR (Diagramación por simbolos y codificación por sentencias), Arquitectura de Von Neumann (VNA), conceptos de ALU, Registros y Ciclo Fetch-Decode-Execute</t>
  </si>
  <si>
    <t>Los estudiantes diseñarán 6 diagramas que representen el movimiento físico y lógico de los datos. Deberán resolver retos como conversiones binarias de sensores, validación de acceso a memoria mediante estructuras IF y simulación de ciclos de procesamiento, conectando la teoría del hardware con la lógica de control básica.</t>
  </si>
  <si>
    <t>2. Segunda Practica</t>
  </si>
  <si>
    <t>Lógica de Juegos y Control de Estados</t>
  </si>
  <si>
    <t>RAPTOR (Programación visual), funciones de aleatoriedad (Random), manejo de contadores y acumuladores.</t>
  </si>
  <si>
    <t>Implementación de juegos clásicos (Totito, Ahorcado, Adivina el número y Batalla Naval) para dominar estructuras repetitivas y condicionales anidados. El enfoque principal es la gestión de estados (cambio de turnos, validación de victorias y control de intentos), asegurando que el programa sea robusto ante errores de entrada del usuario mediante un flujo lógico coherente.</t>
  </si>
  <si>
    <t>3. Tercera Practica</t>
  </si>
  <si>
    <t>4. Cuarta Practica</t>
  </si>
  <si>
    <t>5. Quinta Practica</t>
  </si>
  <si>
    <t>6. Sexta Practica</t>
  </si>
  <si>
    <t>7. Septima Practica</t>
  </si>
  <si>
    <t>La sumatoria de los puntos de los practicas debe no debe super el  10% de la nota</t>
  </si>
  <si>
    <t>Tarea de fortalecimiento académico</t>
  </si>
  <si>
    <t>Obligatoria se debe dejar en la sesion de diagnistico</t>
  </si>
  <si>
    <t>Algoritmos Cotidianos: Introducción al Pensamiento Lógico y Computacional</t>
  </si>
  <si>
    <t>Herramientas de diseño (Canva, Genially o Lucidchart), Herramientas de Pseudocodigo (Raptor, PSeint)</t>
  </si>
  <si>
    <t>Que conocimientos base y competencias esenciales se deben reforzar que permitan al estudiante afrontar con mayor solidez los contenidos del curso</t>
  </si>
  <si>
    <t>Se introduce el concepto de resolver problemas paso a paso y trabajar solo con lo necesario. El estudiante desarrolla la competencia de traducir procesos humanos a secuencias lógicas, comprendiendo la importancia de las condiciones (Sí/No) y la estructura de entrada-proceso-salida antes de codificar</t>
  </si>
  <si>
    <t>1. Primera Tarea</t>
  </si>
  <si>
    <t>Arquitectura, Hardware y los Fundamentos del Procesamiento Computacional</t>
  </si>
  <si>
    <t>Canva, Raptor</t>
  </si>
  <si>
    <t>El estudiante elaborará una infografía que explique visualmente los conceptos fundamentales de la computadora, cubriendo: definición y evolución de la computadora, arquitectura Von Neumann, y el hardware de procesamiento (ciclo fetch-decode-execute, Unidad de Control y ALU).
Además, deberá instalar RAPTOR y tomar una captura de pantalla del software.</t>
  </si>
  <si>
    <t>2. Segunda Tarea</t>
  </si>
  <si>
    <t>Árbitro de Decisiones</t>
  </si>
  <si>
    <t>RAPTOR (Uso de operadores lógicos AND, OR, NOT)</t>
  </si>
  <si>
    <r>
      <rPr>
        <rFont val="Arial"/>
        <color theme="1"/>
      </rPr>
      <t xml:space="preserve">Se implementara un simulador de compra de objetos en un ecommerce para reforzar las condiciones compuestas. Competencia: Evaluar múltiples estados a la vez (ej. "El sistema procesó la compra de los zapatos, pero </t>
    </r>
    <r>
      <rPr>
        <rFont val="Arial"/>
        <b/>
        <color theme="1"/>
      </rPr>
      <t>NO</t>
    </r>
    <r>
      <rPr>
        <rFont val="Arial"/>
        <color theme="1"/>
      </rPr>
      <t xml:space="preserve"> incluyó el costo de envío porque el cupón de descuento estaba activo")</t>
    </r>
  </si>
  <si>
    <t>3. Tercera Tarea</t>
  </si>
  <si>
    <t>Gestor de Inventarios</t>
  </si>
  <si>
    <t>PSeInt (Arreglos unidimensionales/Vectores)</t>
  </si>
  <si>
    <t>Implementar una agenda telefónica que contenga Nombre y Número permitiendo manipular Índices y Arreglos. Competencia: Relacionar datos en diferentes vectores (ej. Nombres[1] con Telefonos[1])</t>
  </si>
  <si>
    <t>4. Cuarta Tarea</t>
  </si>
  <si>
    <t>Dibujante de Matrices</t>
  </si>
  <si>
    <t>PSeInt (Ciclos anidados Para / For)</t>
  </si>
  <si>
    <t>Un coleccionista solicita generar en ASCII art los cinco últimos goleadores del mundial 2026 para completar su álbum digital sin imágenes. Control de coordenadas en pantalla utilizando matrices. Competencia: Recorrer estructuras de datos  (arreglos de dos dimensiones) para imprimir información organizada</t>
  </si>
  <si>
    <t>5. Quinta Tarea</t>
  </si>
  <si>
    <t>Sistema de cálculo de promedios utilizando arreglos bidimensionales y estructuras de control</t>
  </si>
  <si>
    <t>PSeInt, RAPTOR</t>
  </si>
  <si>
    <t>Se desarrollará un algoritmo que almacene las notas de 5 estudiantes en 3 evaluaciones utilizando un arreglo bidimensional, calcule el promedio de cada estudiante y determine si aprueba o reprueba, representando la solución en pseudocódigo y diagrama de flujo.</t>
  </si>
  <si>
    <t>6. Sexta Tarea</t>
  </si>
  <si>
    <t>7. Septima Tarea</t>
  </si>
  <si>
    <t>Codigo-Nombre</t>
  </si>
  <si>
    <t>Competencias</t>
  </si>
  <si>
    <t>17 - Área Social Humanística 1</t>
  </si>
  <si>
    <t>Aplica los conocimientos de su disciplina en la elaboración, fundamentación
 y defensa de argumentos para prevenir y resolver problemas complejos en
 su campo profesional, identificando y aplicando innovaciones.</t>
  </si>
  <si>
    <t>101 - Área Matemática Básica 1</t>
  </si>
  <si>
    <t>Identifica oportunidades y riesgos para la innovación y adaptación de
 conocimientos y tecnologías para resolver problemas.</t>
  </si>
  <si>
    <t>5 - Técnicas de Estudio e Investigación</t>
  </si>
  <si>
    <t>Aplica conocimientos tecnológicos con ética profesional y respetando y
 cuidando los recursos naturales, humanos y financieros.</t>
  </si>
  <si>
    <t>39 - Deportes 1</t>
  </si>
  <si>
    <t>Maneja e Interpreta adecuadamente datos masivos, sean estos
 estructurados o no estructurados, facilitando su visualización e interpretación
 de forma eficaz en apoyo a la toma de decisiones.</t>
  </si>
  <si>
    <t>6 - Idioma Tecnico 1</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</si>
  <si>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</si>
  <si>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</si>
  <si>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</si>
  <si>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</si>
  <si>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</si>
  <si>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</si>
  <si>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</si>
  <si>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</si>
  <si>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</si>
  <si>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</si>
  <si>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</si>
  <si>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</si>
  <si>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</si>
  <si>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</si>
  <si>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</si>
  <si>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</si>
  <si>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</si>
  <si>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</si>
  <si>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</si>
  <si>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</si>
  <si>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</si>
  <si>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</si>
  <si>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</si>
  <si>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</si>
  <si>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</si>
  <si>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</si>
  <si>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</si>
  <si>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</si>
  <si>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</si>
  <si>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</si>
  <si>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</si>
  <si>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</si>
  <si>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</si>
  <si>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</si>
  <si>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</si>
  <si>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</si>
  <si>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</si>
  <si>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</si>
  <si>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</si>
  <si>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</si>
  <si>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</si>
  <si>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</si>
  <si>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</si>
  <si>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</si>
  <si>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</si>
  <si>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</si>
  <si>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</si>
  <si>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</si>
  <si>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</si>
  <si>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</si>
  <si>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</si>
  <si>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</si>
  <si>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</si>
  <si>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</si>
  <si>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</si>
  <si>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</si>
  <si>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</si>
  <si>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</si>
  <si>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</si>
  <si>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</si>
  <si>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</si>
  <si>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</si>
  <si>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</si>
  <si>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</si>
  <si>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</si>
  <si>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</si>
  <si>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</si>
  <si>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</si>
  <si>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</si>
  <si>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</si>
  <si>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</si>
  <si>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</si>
  <si>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</si>
  <si>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</si>
  <si>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</si>
  <si>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</si>
  <si>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</si>
  <si>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</si>
  <si>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667 - Programacion Comercial 1</t>
  </si>
  <si>
    <t>0089 - Comunicación Asertiva</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</si>
</sst>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theme="1"/>
      <name val="Arial"/>
    </font>
    <font>
      <b/>
      <sz val="12.0"/>
      <color rgb="FFFF6D01"/>
      <name val="Arial"/>
    </font>
    <font>
      <b/>
      <color theme="1"/>
      <name val="Arial"/>
    </font>
    <font>
      <sz val="12.0"/>
      <color rgb="FFB7B7B7"/>
      <name val="Arial"/>
    </font>
    <font>
      <b/>
      <sz val="12.0"/>
      <color theme="1"/>
      <name val="Arial"/>
    </font>
    <font/>
    <font>
      <sz val="12.0"/>
      <color theme="1"/>
      <name val="Arial"/>
    </font>
    <font>
      <b/>
      <sz val="12.0"/>
      <color rgb="FFFBBC04"/>
      <name val="Arial"/>
    </font>
    <font>
      <sz val="12.0"/>
      <color rgb="FF404040"/>
      <name val="Inter"/>
    </font>
    <font>
      <b/>
      <sz val="11.0"/>
      <color theme="1"/>
      <name val="Arial"/>
    </font>
    <font>
      <sz val="11.0"/>
      <color theme="1"/>
      <name val="Arial"/>
    </font>
    <font>
      <color rgb="FF000000"/>
      <name val="Arial"/>
    </font>
    <font>
      <color rgb="FFFFFFFF"/>
      <name val="Arial"/>
    </font>
    <font>
      <b/>
      <sz val="12.0"/>
      <color theme="8"/>
      <name val="Arial"/>
    </font>
    <font>
      <color rgb="FFB7B7B7"/>
      <name val="Arial"/>
    </font>
    <font>
      <color theme="1"/>
      <name val="Arial"/>
      <scheme val="minor"/>
    </font>
    <font>
      <b/>
      <sz val="13.0"/>
      <color theme="4"/>
      <name val="Arial"/>
    </font>
    <font>
      <b/>
      <sz val="12.0"/>
      <color theme="4"/>
      <name val="Arial"/>
    </font>
    <font>
      <color rgb="FF999999"/>
      <name val="Arial"/>
    </font>
    <font>
      <b/>
      <sz val="13.0"/>
      <color rgb="FF4285F4"/>
      <name val="Arial"/>
    </font>
    <font>
      <b/>
      <sz val="12.0"/>
      <color rgb="FF4285F4"/>
      <name val="Arial"/>
    </font>
    <font>
      <u/>
      <color rgb="FF0000FF"/>
      <name val="Arial"/>
    </font>
    <font>
      <b/>
      <sz val="12.0"/>
      <color rgb="FFFFFFFF"/>
      <name val="Arial"/>
    </font>
    <font>
      <color rgb="FFCCCCCC"/>
      <name val="Arial"/>
    </font>
    <font>
      <color rgb="FFD9D9D9"/>
      <name val="Arial"/>
    </font>
  </fonts>
  <fills count="19">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rgb="FF4285F4"/>
        <bgColor rgb="FF4285F4"/>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thin">
        <color rgb="FF000000"/>
      </left>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Font="1"/>
    <xf borderId="0" fillId="0" fontId="3" numFmtId="0" xfId="0" applyAlignment="1" applyFont="1">
      <alignment readingOrder="0"/>
    </xf>
    <xf borderId="0" fillId="0" fontId="3" numFmtId="0" xfId="0" applyAlignment="1" applyFont="1">
      <alignment shrinkToFit="0" wrapText="1"/>
    </xf>
    <xf borderId="0" fillId="0" fontId="1" numFmtId="0" xfId="0" applyFont="1"/>
    <xf borderId="0" fillId="0" fontId="4" numFmtId="0" xfId="0" applyAlignment="1" applyFont="1">
      <alignment shrinkToFit="0" wrapText="1"/>
    </xf>
    <xf borderId="1" fillId="2" fontId="5" numFmtId="0" xfId="0" applyAlignment="1" applyBorder="1" applyFill="1" applyFont="1">
      <alignment shrinkToFit="0" vertical="bottom" wrapText="1"/>
    </xf>
    <xf borderId="2" fillId="2" fontId="5" numFmtId="0" xfId="0" applyAlignment="1" applyBorder="1" applyFont="1">
      <alignment shrinkToFit="0" vertical="bottom" wrapText="1"/>
    </xf>
    <xf borderId="3" fillId="0" fontId="6" numFmtId="0" xfId="0" applyBorder="1" applyFont="1"/>
    <xf borderId="4" fillId="0" fontId="6" numFmtId="0" xfId="0" applyBorder="1" applyFont="1"/>
    <xf borderId="0" fillId="3" fontId="1" numFmtId="0" xfId="0" applyAlignment="1" applyFill="1" applyFont="1">
      <alignment shrinkToFit="0" vertical="bottom" wrapText="1"/>
    </xf>
    <xf borderId="1" fillId="0" fontId="7" numFmtId="0" xfId="0" applyAlignment="1" applyBorder="1" applyFont="1">
      <alignment shrinkToFit="0" vertical="bottom" wrapText="1"/>
    </xf>
    <xf borderId="1" fillId="0" fontId="1" numFmtId="0" xfId="0" applyAlignment="1" applyBorder="1" applyFont="1">
      <alignment horizontal="right" vertical="bottom"/>
    </xf>
    <xf borderId="1" fillId="0" fontId="1" numFmtId="0" xfId="0" applyAlignment="1" applyBorder="1" applyFont="1">
      <alignment vertical="bottom"/>
    </xf>
    <xf borderId="2" fillId="0" fontId="1" numFmtId="0" xfId="0" applyAlignment="1" applyBorder="1" applyFont="1">
      <alignment vertical="bottom"/>
    </xf>
    <xf borderId="0" fillId="3" fontId="1" numFmtId="0" xfId="0" applyAlignment="1" applyFont="1">
      <alignment horizontal="right" vertical="bottom"/>
    </xf>
    <xf borderId="1" fillId="0" fontId="7" numFmtId="0" xfId="0" applyAlignment="1" applyBorder="1" applyFont="1">
      <alignment vertical="bottom"/>
    </xf>
    <xf borderId="5" fillId="0" fontId="7" numFmtId="0" xfId="0" applyAlignment="1" applyBorder="1" applyFont="1">
      <alignment vertical="bottom"/>
    </xf>
    <xf borderId="5" fillId="0" fontId="1" numFmtId="0" xfId="0" applyAlignment="1" applyBorder="1" applyFont="1">
      <alignment horizontal="right" vertical="bottom"/>
    </xf>
    <xf borderId="6" fillId="0" fontId="1" numFmtId="0" xfId="0" applyAlignment="1" applyBorder="1" applyFont="1">
      <alignment vertical="bottom"/>
    </xf>
    <xf borderId="7" fillId="0" fontId="6" numFmtId="0" xfId="0" applyBorder="1" applyFont="1"/>
    <xf borderId="8" fillId="0" fontId="6" numFmtId="0" xfId="0" applyBorder="1" applyFont="1"/>
    <xf borderId="9" fillId="4" fontId="5" numFmtId="0" xfId="0" applyAlignment="1" applyBorder="1" applyFill="1" applyFont="1">
      <alignment shrinkToFit="0" vertical="bottom" wrapText="1"/>
    </xf>
    <xf borderId="9" fillId="4" fontId="1" numFmtId="0" xfId="0" applyAlignment="1" applyBorder="1" applyFont="1">
      <alignment horizontal="right" vertical="bottom"/>
    </xf>
    <xf borderId="10" fillId="5" fontId="5" numFmtId="0" xfId="0" applyAlignment="1" applyBorder="1" applyFill="1" applyFont="1">
      <alignment shrinkToFit="0" vertical="bottom" wrapText="1"/>
    </xf>
    <xf borderId="11" fillId="5" fontId="1" numFmtId="0" xfId="0" applyAlignment="1" applyBorder="1" applyFont="1">
      <alignment shrinkToFit="0" vertical="bottom" wrapText="1"/>
    </xf>
    <xf borderId="12" fillId="0" fontId="6" numFmtId="0" xfId="0" applyBorder="1" applyFont="1"/>
    <xf borderId="13" fillId="0" fontId="6" numFmtId="0" xfId="0" applyBorder="1" applyFont="1"/>
    <xf borderId="0" fillId="0" fontId="1" numFmtId="0" xfId="0" applyAlignment="1" applyFont="1">
      <alignment vertical="bottom"/>
    </xf>
    <xf borderId="0" fillId="0" fontId="8" numFmtId="0" xfId="0" applyAlignment="1" applyFont="1">
      <alignment horizontal="center" vertical="bottom"/>
    </xf>
    <xf borderId="14" fillId="6" fontId="9" numFmtId="0" xfId="0" applyAlignment="1" applyBorder="1" applyFill="1" applyFont="1">
      <alignment horizontal="center" shrinkToFit="0" vertical="bottom" wrapText="1"/>
    </xf>
    <xf borderId="15" fillId="0" fontId="6" numFmtId="0" xfId="0" applyBorder="1" applyFont="1"/>
    <xf borderId="16" fillId="0" fontId="6" numFmtId="0" xfId="0" applyBorder="1" applyFont="1"/>
    <xf borderId="9" fillId="7" fontId="9" numFmtId="0" xfId="0" applyAlignment="1" applyBorder="1" applyFill="1" applyFont="1">
      <alignment horizontal="center" shrinkToFit="0" vertical="bottom" wrapText="1"/>
    </xf>
    <xf borderId="14" fillId="0" fontId="1" numFmtId="0" xfId="0" applyAlignment="1" applyBorder="1" applyFont="1">
      <alignment readingOrder="0" vertical="bottom"/>
    </xf>
    <xf borderId="0" fillId="7" fontId="1" numFmtId="0" xfId="0" applyAlignment="1" applyFont="1">
      <alignment vertical="bottom"/>
    </xf>
    <xf borderId="9" fillId="7" fontId="9" numFmtId="0" xfId="0" applyAlignment="1" applyBorder="1" applyFont="1">
      <alignment horizontal="center" vertical="bottom"/>
    </xf>
    <xf borderId="9" fillId="0" fontId="7" numFmtId="0" xfId="0" applyAlignment="1" applyBorder="1" applyFont="1">
      <alignment horizontal="center" vertical="bottom"/>
    </xf>
    <xf borderId="9" fillId="8" fontId="10" numFmtId="0" xfId="0" applyAlignment="1" applyBorder="1" applyFill="1" applyFont="1">
      <alignment horizontal="center" vertical="bottom"/>
    </xf>
    <xf borderId="14" fillId="8" fontId="10" numFmtId="0" xfId="0" applyAlignment="1" applyBorder="1" applyFont="1">
      <alignment horizontal="center" vertical="bottom"/>
    </xf>
    <xf borderId="9" fillId="8" fontId="10" numFmtId="0" xfId="0" applyAlignment="1" applyBorder="1" applyFont="1">
      <alignment horizontal="center" shrinkToFit="0" vertical="bottom" wrapText="1"/>
    </xf>
    <xf borderId="14" fillId="8" fontId="10" numFmtId="0" xfId="0" applyAlignment="1" applyBorder="1" applyFont="1">
      <alignment horizontal="center" shrinkToFit="0" vertical="bottom" wrapText="1"/>
    </xf>
    <xf borderId="9" fillId="0" fontId="1" numFmtId="0" xfId="0" applyAlignment="1" applyBorder="1" applyFont="1">
      <alignment horizontal="right" vertical="bottom"/>
    </xf>
    <xf borderId="9" fillId="0" fontId="10" numFmtId="0" xfId="0" applyAlignment="1" applyBorder="1" applyFont="1">
      <alignment readingOrder="0" vertical="bottom"/>
    </xf>
    <xf borderId="9" fillId="9" fontId="1" numFmtId="0" xfId="0" applyAlignment="1" applyBorder="1" applyFill="1" applyFont="1">
      <alignment readingOrder="0" vertical="bottom"/>
    </xf>
    <xf borderId="14" fillId="10" fontId="1" numFmtId="0" xfId="0" applyAlignment="1" applyBorder="1" applyFill="1" applyFont="1">
      <alignment readingOrder="0" vertical="bottom"/>
    </xf>
    <xf borderId="9" fillId="11" fontId="1" numFmtId="0" xfId="0" applyAlignment="1" applyBorder="1" applyFill="1" applyFont="1">
      <alignment readingOrder="0" vertical="bottom"/>
    </xf>
    <xf borderId="14" fillId="12" fontId="1" numFmtId="0" xfId="0" applyAlignment="1" applyBorder="1" applyFill="1" applyFont="1">
      <alignment readingOrder="0" vertical="bottom"/>
    </xf>
    <xf borderId="9" fillId="13" fontId="1" numFmtId="0" xfId="0" applyAlignment="1" applyBorder="1" applyFill="1" applyFont="1">
      <alignment readingOrder="0" vertical="bottom"/>
    </xf>
    <xf borderId="9" fillId="7" fontId="1" numFmtId="0" xfId="0" applyAlignment="1" applyBorder="1" applyFont="1">
      <alignment vertical="bottom"/>
    </xf>
    <xf borderId="14" fillId="14" fontId="11" numFmtId="0" xfId="0" applyAlignment="1" applyBorder="1" applyFill="1" applyFont="1">
      <alignment horizontal="center" shrinkToFit="0" vertical="bottom" wrapText="1"/>
    </xf>
    <xf borderId="9" fillId="0" fontId="10" numFmtId="0" xfId="0" applyAlignment="1" applyBorder="1" applyFont="1">
      <alignment vertical="bottom"/>
    </xf>
    <xf borderId="9" fillId="9" fontId="12" numFmtId="0" xfId="0" applyAlignment="1" applyBorder="1" applyFont="1">
      <alignment horizontal="left" readingOrder="0"/>
    </xf>
    <xf borderId="16" fillId="10" fontId="1" numFmtId="0" xfId="0" applyAlignment="1" applyBorder="1" applyFont="1">
      <alignment vertical="bottom"/>
    </xf>
    <xf borderId="16" fillId="12" fontId="1" numFmtId="0" xfId="0" applyAlignment="1" applyBorder="1" applyFont="1">
      <alignment vertical="bottom"/>
    </xf>
    <xf borderId="14" fillId="3" fontId="1" numFmtId="0" xfId="0" applyAlignment="1" applyBorder="1" applyFont="1">
      <alignment vertical="bottom"/>
    </xf>
    <xf borderId="17" fillId="0" fontId="1" numFmtId="0" xfId="0" applyAlignment="1" applyBorder="1" applyFont="1">
      <alignment vertical="bottom"/>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22" fillId="0" fontId="6" numFmtId="0" xfId="0" applyBorder="1" applyFont="1"/>
    <xf borderId="0" fillId="0" fontId="13" numFmtId="0" xfId="0" applyFont="1"/>
    <xf borderId="0" fillId="0" fontId="14" numFmtId="0" xfId="0" applyFont="1"/>
    <xf borderId="0" fillId="0" fontId="15" numFmtId="0" xfId="0" applyFont="1"/>
    <xf borderId="0" fillId="0" fontId="10" numFmtId="0" xfId="0" applyAlignment="1" applyFont="1">
      <alignment vertical="bottom"/>
    </xf>
    <xf borderId="9" fillId="0" fontId="10" numFmtId="0" xfId="0" applyAlignment="1" applyBorder="1" applyFont="1">
      <alignment shrinkToFit="0" vertical="center" wrapText="1"/>
    </xf>
    <xf borderId="0" fillId="0" fontId="16" numFmtId="0" xfId="0" applyAlignment="1" applyFont="1">
      <alignment shrinkToFit="0" vertical="center" wrapText="1"/>
    </xf>
    <xf borderId="9" fillId="0" fontId="1" numFmtId="0" xfId="0" applyAlignment="1" applyBorder="1" applyFont="1">
      <alignment shrinkToFit="0" vertical="center" wrapText="1"/>
    </xf>
    <xf borderId="9" fillId="0" fontId="1" numFmtId="0" xfId="0" applyAlignment="1" applyBorder="1" applyFont="1">
      <alignment readingOrder="0" shrinkToFit="0" vertical="center" wrapText="1"/>
    </xf>
    <xf borderId="9" fillId="0" fontId="16" numFmtId="0" xfId="0" applyAlignment="1" applyBorder="1" applyFont="1">
      <alignment readingOrder="0" shrinkToFit="0" vertical="center" wrapText="1"/>
    </xf>
    <xf borderId="0" fillId="0" fontId="1" numFmtId="0" xfId="0" applyAlignment="1" applyFont="1">
      <alignment shrinkToFit="0" vertical="center" wrapText="1"/>
    </xf>
    <xf borderId="0" fillId="0" fontId="16" numFmtId="0" xfId="0" applyAlignment="1" applyFont="1">
      <alignment readingOrder="0" shrinkToFit="0" vertical="center" wrapText="1"/>
    </xf>
    <xf borderId="0" fillId="0" fontId="1" numFmtId="0" xfId="0" applyAlignment="1" applyFont="1">
      <alignment readingOrder="0" shrinkToFit="0" vertical="center" wrapText="1"/>
    </xf>
    <xf borderId="9" fillId="0" fontId="3" numFmtId="0" xfId="0" applyBorder="1" applyFont="1"/>
    <xf borderId="14" fillId="0" fontId="1" numFmtId="0" xfId="0" applyBorder="1" applyFont="1"/>
    <xf borderId="9" fillId="0" fontId="1" numFmtId="0" xfId="0" applyBorder="1" applyFont="1"/>
    <xf borderId="0" fillId="0" fontId="1" numFmtId="0" xfId="0" applyAlignment="1" applyFont="1">
      <alignment horizontal="center" shrinkToFit="0" vertical="center" wrapText="1"/>
    </xf>
    <xf borderId="0" fillId="0" fontId="17" numFmtId="0" xfId="0" applyFont="1"/>
    <xf borderId="0" fillId="0" fontId="18" numFmtId="0" xfId="0" applyAlignment="1" applyFont="1">
      <alignment shrinkToFit="0" wrapText="1"/>
    </xf>
    <xf borderId="0" fillId="15" fontId="13" numFmtId="0" xfId="0" applyFill="1" applyFont="1"/>
    <xf borderId="0" fillId="0" fontId="19" numFmtId="0" xfId="0" applyFont="1"/>
    <xf borderId="9" fillId="4" fontId="1" numFmtId="0" xfId="0" applyAlignment="1" applyBorder="1" applyFont="1">
      <alignment shrinkToFit="0" vertical="bottom" wrapText="1"/>
    </xf>
    <xf borderId="14" fillId="0" fontId="1" numFmtId="0" xfId="0" applyAlignment="1" applyBorder="1" applyFont="1">
      <alignment vertical="bottom"/>
    </xf>
    <xf borderId="9" fillId="4" fontId="1" numFmtId="0" xfId="0" applyAlignment="1" applyBorder="1" applyFont="1">
      <alignment shrinkToFit="0" wrapText="1"/>
    </xf>
    <xf borderId="9" fillId="4" fontId="1" numFmtId="0" xfId="0" applyBorder="1" applyFont="1"/>
    <xf borderId="14" fillId="0" fontId="1" numFmtId="0" xfId="0" applyAlignment="1" applyBorder="1" applyFont="1">
      <alignment readingOrder="0"/>
    </xf>
    <xf borderId="0" fillId="0" fontId="20" numFmtId="0" xfId="0" applyFont="1"/>
    <xf borderId="14" fillId="0" fontId="16" numFmtId="0" xfId="0" applyAlignment="1" applyBorder="1" applyFont="1">
      <alignment readingOrder="0"/>
    </xf>
    <xf borderId="0" fillId="0" fontId="21" numFmtId="0" xfId="0" applyAlignment="1" applyFont="1">
      <alignment shrinkToFit="0" wrapText="1"/>
    </xf>
    <xf borderId="14" fillId="0" fontId="1" numFmtId="0" xfId="0" applyAlignment="1" applyBorder="1" applyFont="1">
      <alignment readingOrder="0" shrinkToFit="0" vertical="center" wrapText="1"/>
    </xf>
    <xf borderId="0" fillId="0" fontId="20" numFmtId="0" xfId="0" applyAlignment="1" applyFont="1">
      <alignment readingOrder="0"/>
    </xf>
    <xf borderId="14" fillId="0" fontId="22" numFmtId="0" xfId="0" applyAlignment="1" applyBorder="1" applyFont="1">
      <alignment readingOrder="0" shrinkToFit="0" vertical="center" wrapText="1"/>
    </xf>
    <xf borderId="0" fillId="15" fontId="13" numFmtId="0" xfId="0" applyAlignment="1" applyFont="1">
      <alignment readingOrder="0"/>
    </xf>
    <xf borderId="14" fillId="14" fontId="1" numFmtId="0" xfId="0" applyAlignment="1" applyBorder="1" applyFont="1">
      <alignment horizontal="center"/>
    </xf>
    <xf borderId="9" fillId="0" fontId="1" numFmtId="0" xfId="0" applyAlignment="1" applyBorder="1" applyFont="1">
      <alignment shrinkToFit="0" wrapText="1"/>
    </xf>
    <xf borderId="14" fillId="0" fontId="1" numFmtId="0" xfId="0" applyAlignment="1" applyBorder="1" applyFont="1">
      <alignment horizontal="center"/>
    </xf>
    <xf borderId="0" fillId="0" fontId="21" numFmtId="0" xfId="0" applyFont="1"/>
    <xf borderId="0" fillId="16" fontId="23" numFmtId="0" xfId="0" applyAlignment="1" applyFill="1" applyFont="1">
      <alignment readingOrder="0"/>
    </xf>
    <xf borderId="14" fillId="4" fontId="1" numFmtId="0" xfId="0" applyBorder="1" applyFont="1"/>
    <xf borderId="17" fillId="0" fontId="1" numFmtId="0" xfId="0" applyAlignment="1" applyBorder="1" applyFont="1">
      <alignment readingOrder="0" shrinkToFit="0" vertical="center" wrapText="1"/>
    </xf>
    <xf borderId="0" fillId="16" fontId="23" numFmtId="0" xfId="0" applyFont="1"/>
    <xf borderId="0" fillId="0" fontId="18" numFmtId="0" xfId="0" applyFont="1"/>
    <xf borderId="9" fillId="17" fontId="1" numFmtId="0" xfId="0" applyBorder="1" applyFill="1" applyFont="1"/>
    <xf borderId="14" fillId="17" fontId="1" numFmtId="0" xfId="0" applyBorder="1" applyFont="1"/>
    <xf borderId="9" fillId="18" fontId="1" numFmtId="0" xfId="0" applyAlignment="1" applyBorder="1" applyFill="1" applyFont="1">
      <alignment shrinkToFit="0" wrapText="1"/>
    </xf>
    <xf borderId="14" fillId="18" fontId="1" numFmtId="0" xfId="0" applyBorder="1" applyFont="1"/>
    <xf borderId="9" fillId="5" fontId="1" numFmtId="0" xfId="0" applyBorder="1" applyFont="1"/>
    <xf borderId="14" fillId="0" fontId="24" numFmtId="0" xfId="0" applyAlignment="1" applyBorder="1" applyFont="1">
      <alignment readingOrder="0"/>
    </xf>
    <xf borderId="0" fillId="0" fontId="24" numFmtId="0" xfId="0" applyFont="1"/>
    <xf borderId="17" fillId="0" fontId="1" numFmtId="0" xfId="0" applyBorder="1" applyFont="1"/>
    <xf borderId="23" fillId="0" fontId="6" numFmtId="0" xfId="0" applyBorder="1" applyFont="1"/>
    <xf borderId="24" fillId="0" fontId="6" numFmtId="0" xfId="0" applyBorder="1" applyFont="1"/>
    <xf borderId="14" fillId="0" fontId="24" numFmtId="0" xfId="0" applyBorder="1" applyFont="1"/>
    <xf borderId="0" fillId="0" fontId="25" numFmtId="0" xfId="0" applyFont="1"/>
    <xf borderId="0" fillId="0" fontId="2" numFmtId="0" xfId="0" applyAlignment="1" applyFont="1">
      <alignment horizontal="center"/>
    </xf>
    <xf borderId="17" fillId="0" fontId="16" numFmtId="0" xfId="0" applyAlignment="1" applyBorder="1" applyFont="1">
      <alignment readingOrder="0" shrinkToFit="0" vertical="center" wrapText="1"/>
    </xf>
    <xf borderId="0" fillId="0" fontId="23"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orms.gle/xWU6mE1cvkmJiyXk8" TargetMode="External"/><Relationship Id="rId3" Type="http://schemas.openxmlformats.org/officeDocument/2006/relationships/drawing" Target="../drawings/drawing4.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1"/>
    </row>
    <row r="2" ht="15.75" customHeight="1">
      <c r="A2" s="1"/>
      <c r="B2" s="2" t="s">
        <v>0</v>
      </c>
    </row>
    <row r="3" ht="15.75" customHeight="1">
      <c r="A3" s="1"/>
    </row>
    <row r="4" ht="15.75" customHeight="1">
      <c r="A4" s="1"/>
      <c r="B4" s="3" t="s">
        <v>1</v>
      </c>
      <c r="C4" s="4" t="s">
        <v>2</v>
      </c>
    </row>
    <row r="5">
      <c r="A5" s="1"/>
      <c r="B5" s="5" t="s">
        <v>3</v>
      </c>
      <c r="C5" s="6" t="s">
        <v>4</v>
      </c>
    </row>
    <row r="6">
      <c r="A6" s="1"/>
      <c r="B6" s="5" t="s">
        <v>5</v>
      </c>
    </row>
    <row r="7" ht="15.75" customHeight="1">
      <c r="A7" s="1"/>
    </row>
    <row r="8" ht="15.75" customHeight="1">
      <c r="A8" s="7" t="s">
        <v>6</v>
      </c>
    </row>
    <row r="9" ht="15.75" customHeight="1">
      <c r="A9" s="7" t="s">
        <v>7</v>
      </c>
    </row>
    <row r="10">
      <c r="A10" s="8" t="s">
        <v>8</v>
      </c>
      <c r="B10" s="8" t="s">
        <v>9</v>
      </c>
      <c r="C10" s="8" t="s">
        <v>10</v>
      </c>
      <c r="D10" s="9" t="s">
        <v>11</v>
      </c>
      <c r="E10" s="10"/>
      <c r="F10" s="11"/>
      <c r="G10" s="12" t="s">
        <v>12</v>
      </c>
    </row>
    <row r="11">
      <c r="A11" s="13" t="s">
        <v>13</v>
      </c>
      <c r="B11" s="14">
        <f>S.2!C7+S.3!C7+S.4!C7+S.5!C7+S.6!C7+S.7!C7+S.8!C7+S.9!C7+S.10!C7+S.11!C7</f>
        <v>10</v>
      </c>
      <c r="C11" s="15">
        <f>ROUND((S.2!C6+S.3!C6+S.4!C6+S.5!C6+S.6!C6+S.7!C6+S.8!C6+S.9!C6+S.10!C6+S.11!C6)/60,0)</f>
        <v>17</v>
      </c>
      <c r="D11" s="16"/>
      <c r="E11" s="10"/>
      <c r="F11" s="11"/>
      <c r="G11" s="17">
        <v>10.0</v>
      </c>
    </row>
    <row r="12" ht="15.75" customHeight="1">
      <c r="A12" s="18" t="s">
        <v>14</v>
      </c>
      <c r="B12" s="14">
        <f>Proyectos!C6</f>
        <v>60</v>
      </c>
      <c r="C12" s="15">
        <f>Proyectos!C5</f>
        <v>70</v>
      </c>
      <c r="D12" s="16"/>
      <c r="E12" s="10"/>
      <c r="F12" s="11"/>
      <c r="G12" s="17">
        <v>60.0</v>
      </c>
    </row>
    <row r="13" ht="15.75" customHeight="1">
      <c r="A13" s="18" t="s">
        <v>15</v>
      </c>
      <c r="B13" s="14">
        <f>Practicas!C6</f>
        <v>20</v>
      </c>
      <c r="C13" s="15">
        <f>Practicas!C5</f>
        <v>25</v>
      </c>
      <c r="D13" s="16"/>
      <c r="E13" s="10"/>
      <c r="F13" s="11"/>
      <c r="G13" s="17">
        <v>20.0</v>
      </c>
    </row>
    <row r="14" ht="15.75" customHeight="1">
      <c r="A14" s="19" t="s">
        <v>16</v>
      </c>
      <c r="B14" s="20">
        <f>Tareas!C6</f>
        <v>10</v>
      </c>
      <c r="C14" s="15">
        <f>Tareas!C5</f>
        <v>24</v>
      </c>
      <c r="D14" s="21"/>
      <c r="E14" s="22"/>
      <c r="F14" s="23"/>
      <c r="G14" s="17">
        <v>10.0</v>
      </c>
    </row>
    <row r="15" ht="15.75" customHeight="1">
      <c r="A15" s="24" t="s">
        <v>17</v>
      </c>
      <c r="B15" s="25">
        <f t="shared" ref="B15:C15" si="1">SUM(B11:B14)</f>
        <v>100</v>
      </c>
      <c r="C15" s="25">
        <f t="shared" si="1"/>
        <v>136</v>
      </c>
      <c r="D15" s="26" t="s">
        <v>18</v>
      </c>
      <c r="E15" s="27"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Distribución válida")</f>
        <v>✅ Distribución válida</v>
      </c>
      <c r="F15" s="28"/>
      <c r="G15" s="29"/>
    </row>
    <row r="16" ht="15.75" customHeight="1">
      <c r="A16" s="1"/>
    </row>
    <row r="17" ht="15.75" customHeight="1">
      <c r="A17" s="1"/>
    </row>
    <row r="18" ht="15.75" customHeight="1">
      <c r="A18" s="1"/>
    </row>
    <row r="19" ht="15.75" customHeight="1">
      <c r="A19" s="1"/>
    </row>
    <row r="20" ht="15.75"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30"/>
      <c r="B1" s="31" t="s">
        <v>19</v>
      </c>
      <c r="Q1" s="30"/>
      <c r="R1" s="30"/>
      <c r="S1" s="30"/>
      <c r="T1" s="30"/>
      <c r="U1" s="30"/>
      <c r="V1" s="30"/>
      <c r="W1" s="30"/>
      <c r="X1" s="30"/>
      <c r="Y1" s="30"/>
      <c r="Z1" s="30"/>
    </row>
    <row r="2">
      <c r="A2" s="30"/>
      <c r="B2" s="3" t="s">
        <v>1</v>
      </c>
      <c r="C2" s="4" t="s">
        <v>2</v>
      </c>
      <c r="I2" s="30"/>
      <c r="J2" s="30"/>
      <c r="K2" s="30"/>
      <c r="L2" s="30"/>
      <c r="M2" s="30"/>
      <c r="N2" s="30"/>
      <c r="O2" s="30"/>
      <c r="P2" s="30"/>
      <c r="Q2" s="30"/>
      <c r="R2" s="30"/>
      <c r="S2" s="30"/>
      <c r="T2" s="30"/>
      <c r="U2" s="30"/>
      <c r="V2" s="30"/>
      <c r="W2" s="30"/>
      <c r="X2" s="30"/>
      <c r="Y2" s="30"/>
      <c r="Z2" s="30"/>
    </row>
    <row r="3">
      <c r="A3" s="30"/>
      <c r="B3" s="3" t="s">
        <v>3</v>
      </c>
      <c r="C3" s="6" t="s">
        <v>4</v>
      </c>
      <c r="I3" s="30"/>
      <c r="J3" s="30"/>
      <c r="K3" s="30"/>
      <c r="L3" s="30"/>
      <c r="M3" s="30"/>
      <c r="N3" s="30"/>
      <c r="O3" s="30"/>
      <c r="P3" s="30"/>
      <c r="Q3" s="30"/>
      <c r="R3" s="30"/>
      <c r="S3" s="30"/>
      <c r="T3" s="30"/>
      <c r="U3" s="30"/>
      <c r="V3" s="30"/>
      <c r="W3" s="30"/>
      <c r="X3" s="30"/>
      <c r="Y3" s="30"/>
      <c r="Z3" s="30"/>
    </row>
    <row r="4">
      <c r="A4" s="30"/>
      <c r="B4" s="30"/>
      <c r="C4" s="30"/>
      <c r="D4" s="30"/>
      <c r="E4" s="30"/>
      <c r="F4" s="30"/>
      <c r="G4" s="30"/>
      <c r="H4" s="30"/>
      <c r="I4" s="30"/>
      <c r="J4" s="30"/>
      <c r="K4" s="30"/>
      <c r="L4" s="30"/>
      <c r="M4" s="30"/>
      <c r="N4" s="30"/>
      <c r="O4" s="30"/>
      <c r="P4" s="30"/>
      <c r="Q4" s="30"/>
      <c r="R4" s="30"/>
      <c r="S4" s="30"/>
      <c r="T4" s="30"/>
      <c r="U4" s="30"/>
      <c r="V4" s="30"/>
      <c r="W4" s="30"/>
      <c r="X4" s="30"/>
      <c r="Y4" s="30"/>
      <c r="Z4" s="30"/>
    </row>
    <row r="5">
      <c r="A5" s="30"/>
      <c r="B5" s="32" t="s">
        <v>20</v>
      </c>
      <c r="C5" s="33"/>
      <c r="D5" s="33"/>
      <c r="E5" s="33"/>
      <c r="F5" s="33"/>
      <c r="G5" s="34"/>
      <c r="H5" s="30"/>
      <c r="I5" s="32" t="s">
        <v>21</v>
      </c>
      <c r="J5" s="33"/>
      <c r="K5" s="33"/>
      <c r="L5" s="33"/>
      <c r="M5" s="33"/>
      <c r="N5" s="33"/>
      <c r="O5" s="33"/>
      <c r="P5" s="34"/>
      <c r="Q5" s="30"/>
      <c r="R5" s="30"/>
      <c r="S5" s="30"/>
      <c r="T5" s="30"/>
      <c r="U5" s="30"/>
      <c r="V5" s="30"/>
      <c r="W5" s="30"/>
      <c r="X5" s="30"/>
      <c r="Y5" s="30"/>
      <c r="Z5" s="30"/>
    </row>
    <row r="6">
      <c r="A6" s="30"/>
      <c r="B6" s="35">
        <v>1.0</v>
      </c>
      <c r="C6" s="36" t="s">
        <v>22</v>
      </c>
      <c r="D6" s="33"/>
      <c r="E6" s="33"/>
      <c r="F6" s="33"/>
      <c r="G6" s="34"/>
      <c r="H6" s="37"/>
      <c r="I6" s="35">
        <v>1.0</v>
      </c>
      <c r="J6" s="36" t="s">
        <v>23</v>
      </c>
      <c r="K6" s="33"/>
      <c r="L6" s="33"/>
      <c r="M6" s="33"/>
      <c r="N6" s="33"/>
      <c r="O6" s="33"/>
      <c r="P6" s="34"/>
      <c r="Q6" s="30"/>
      <c r="R6" s="30"/>
      <c r="S6" s="30"/>
      <c r="T6" s="30"/>
      <c r="U6" s="30"/>
      <c r="V6" s="30"/>
      <c r="W6" s="30"/>
      <c r="X6" s="30"/>
      <c r="Y6" s="30"/>
      <c r="Z6" s="30"/>
    </row>
    <row r="7">
      <c r="A7" s="30"/>
      <c r="B7" s="38">
        <v>2.0</v>
      </c>
      <c r="C7" s="36" t="s">
        <v>24</v>
      </c>
      <c r="D7" s="33"/>
      <c r="E7" s="33"/>
      <c r="F7" s="33"/>
      <c r="G7" s="34"/>
      <c r="H7" s="30"/>
      <c r="I7" s="39">
        <v>2.0</v>
      </c>
      <c r="J7" s="36" t="s">
        <v>25</v>
      </c>
      <c r="K7" s="33"/>
      <c r="L7" s="33"/>
      <c r="M7" s="33"/>
      <c r="N7" s="33"/>
      <c r="O7" s="33"/>
      <c r="P7" s="34"/>
      <c r="Q7" s="30"/>
      <c r="R7" s="30"/>
      <c r="S7" s="30"/>
      <c r="T7" s="30"/>
      <c r="U7" s="30"/>
      <c r="V7" s="30"/>
      <c r="W7" s="30"/>
      <c r="X7" s="30"/>
      <c r="Y7" s="30"/>
      <c r="Z7" s="30"/>
    </row>
    <row r="8">
      <c r="A8" s="30"/>
      <c r="B8" s="38">
        <v>3.0</v>
      </c>
      <c r="C8" s="36" t="s">
        <v>26</v>
      </c>
      <c r="D8" s="33"/>
      <c r="E8" s="33"/>
      <c r="F8" s="33"/>
      <c r="G8" s="34"/>
      <c r="H8" s="30"/>
      <c r="I8" s="39">
        <v>3.0</v>
      </c>
      <c r="J8" s="36" t="s">
        <v>27</v>
      </c>
      <c r="K8" s="33"/>
      <c r="L8" s="33"/>
      <c r="M8" s="33"/>
      <c r="N8" s="33"/>
      <c r="O8" s="33"/>
      <c r="P8" s="34"/>
      <c r="Q8" s="30"/>
      <c r="R8" s="30"/>
      <c r="S8" s="30"/>
      <c r="T8" s="30"/>
      <c r="U8" s="30"/>
      <c r="V8" s="30"/>
      <c r="W8" s="30"/>
      <c r="X8" s="30"/>
      <c r="Y8" s="30"/>
      <c r="Z8" s="30"/>
    </row>
    <row r="9">
      <c r="A9" s="30"/>
      <c r="B9" s="30"/>
      <c r="C9" s="30"/>
      <c r="D9" s="30"/>
      <c r="E9" s="30"/>
      <c r="F9" s="30"/>
      <c r="G9" s="30"/>
      <c r="H9" s="30"/>
      <c r="I9" s="30"/>
      <c r="J9" s="30"/>
      <c r="K9" s="30"/>
      <c r="L9" s="30"/>
      <c r="M9" s="30"/>
      <c r="N9" s="30"/>
      <c r="O9" s="30"/>
      <c r="P9" s="30"/>
      <c r="Q9" s="30"/>
      <c r="R9" s="30"/>
      <c r="S9" s="30"/>
      <c r="T9" s="30"/>
      <c r="U9" s="30"/>
      <c r="V9" s="30"/>
      <c r="W9" s="30"/>
      <c r="X9" s="30"/>
      <c r="Y9" s="30"/>
      <c r="Z9" s="30"/>
    </row>
    <row r="1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30"/>
      <c r="B11" s="40" t="s">
        <v>28</v>
      </c>
      <c r="C11" s="40" t="s">
        <v>29</v>
      </c>
      <c r="D11" s="40" t="s">
        <v>30</v>
      </c>
      <c r="E11" s="41" t="s">
        <v>31</v>
      </c>
      <c r="F11" s="34"/>
      <c r="G11" s="42" t="s">
        <v>32</v>
      </c>
      <c r="H11" s="43" t="s">
        <v>33</v>
      </c>
      <c r="I11" s="34"/>
      <c r="J11" s="40" t="s">
        <v>34</v>
      </c>
      <c r="K11" s="30"/>
      <c r="L11" s="30"/>
      <c r="M11" s="30"/>
      <c r="N11" s="30"/>
      <c r="O11" s="30"/>
      <c r="P11" s="30"/>
      <c r="Q11" s="30"/>
      <c r="R11" s="30"/>
      <c r="S11" s="30"/>
      <c r="T11" s="30"/>
      <c r="U11" s="30"/>
      <c r="V11" s="30"/>
      <c r="W11" s="30"/>
      <c r="X11" s="30"/>
      <c r="Y11" s="30"/>
      <c r="Z11" s="30"/>
    </row>
    <row r="12">
      <c r="A12" s="30"/>
      <c r="B12" s="44">
        <v>1.0</v>
      </c>
      <c r="C12" s="45" t="s">
        <v>35</v>
      </c>
      <c r="D12" s="46" t="s">
        <v>36</v>
      </c>
      <c r="E12" s="47" t="s">
        <v>37</v>
      </c>
      <c r="F12" s="34"/>
      <c r="G12" s="48" t="s">
        <v>38</v>
      </c>
      <c r="H12" s="49" t="s">
        <v>39</v>
      </c>
      <c r="I12" s="34"/>
      <c r="J12" s="50" t="s">
        <v>40</v>
      </c>
      <c r="K12" s="30"/>
      <c r="L12" s="30"/>
      <c r="M12" s="30"/>
      <c r="N12" s="30"/>
      <c r="O12" s="30"/>
      <c r="P12" s="30"/>
      <c r="Q12" s="30"/>
      <c r="R12" s="30"/>
      <c r="S12" s="30"/>
      <c r="T12" s="30"/>
      <c r="U12" s="30"/>
      <c r="V12" s="30"/>
      <c r="W12" s="30"/>
      <c r="X12" s="30"/>
      <c r="Y12" s="30"/>
      <c r="Z12" s="30"/>
    </row>
    <row r="13">
      <c r="A13" s="30"/>
      <c r="B13" s="51"/>
      <c r="C13" s="52" t="str">
        <f>D12 &amp; " " &amp; E12 &amp; " " &amp;G12&amp; " " &amp;H12&amp; " " </f>
        <v>Analiza los fundamentos del hardware, software y arquitectura computacional mediante el ciclo fetch-decode-execute, sistemas de numeración y codificación de información para establecer la base conceptual del procesamiento y flujo de datos en sistemas computacionales </v>
      </c>
      <c r="D13" s="33"/>
      <c r="E13" s="33"/>
      <c r="F13" s="33"/>
      <c r="G13" s="33"/>
      <c r="H13" s="33"/>
      <c r="I13" s="33"/>
      <c r="J13" s="34"/>
      <c r="K13" s="30"/>
      <c r="L13" s="30"/>
      <c r="M13" s="30"/>
      <c r="N13" s="30"/>
      <c r="O13" s="30"/>
      <c r="P13" s="30"/>
      <c r="Q13" s="30"/>
      <c r="R13" s="30"/>
      <c r="S13" s="30"/>
      <c r="T13" s="30"/>
      <c r="U13" s="30"/>
      <c r="V13" s="30"/>
      <c r="W13" s="30"/>
      <c r="X13" s="30"/>
      <c r="Y13" s="30"/>
      <c r="Z13" s="30"/>
    </row>
    <row r="14">
      <c r="A14" s="30"/>
      <c r="B14" s="44">
        <v>2.0</v>
      </c>
      <c r="C14" s="53" t="s">
        <v>41</v>
      </c>
      <c r="D14" s="46" t="s">
        <v>42</v>
      </c>
      <c r="E14" s="47" t="s">
        <v>43</v>
      </c>
      <c r="F14" s="34"/>
      <c r="G14" s="48" t="s">
        <v>44</v>
      </c>
      <c r="H14" s="49" t="s">
        <v>45</v>
      </c>
      <c r="I14" s="34"/>
      <c r="J14" s="50" t="s">
        <v>46</v>
      </c>
      <c r="K14" s="30"/>
      <c r="L14" s="30"/>
      <c r="M14" s="30"/>
      <c r="N14" s="30"/>
      <c r="O14" s="30"/>
      <c r="P14" s="30"/>
      <c r="Q14" s="30"/>
      <c r="R14" s="30"/>
      <c r="S14" s="30"/>
      <c r="T14" s="30"/>
      <c r="U14" s="30"/>
      <c r="V14" s="30"/>
      <c r="W14" s="30"/>
      <c r="X14" s="30"/>
      <c r="Y14" s="30"/>
      <c r="Z14" s="30"/>
    </row>
    <row r="15">
      <c r="A15" s="30"/>
      <c r="B15" s="51"/>
      <c r="C15" s="52" t="str">
        <f>D14 &amp; " " &amp; E14 &amp; " " &amp;G14&amp; " " &amp;H14&amp; " " </f>
        <v>Identifica los componentes físicos y lógicos de un sistema computacional utilizando el modelo de Von Neumann y la clasificación de software por categorías para distinguir la función de cada elemento dentro de la arquitectura de procesamiento </v>
      </c>
      <c r="D15" s="33"/>
      <c r="E15" s="33"/>
      <c r="F15" s="33"/>
      <c r="G15" s="33"/>
      <c r="H15" s="33"/>
      <c r="I15" s="33"/>
      <c r="J15" s="34"/>
      <c r="K15" s="30"/>
      <c r="L15" s="30"/>
      <c r="M15" s="30"/>
      <c r="N15" s="30"/>
      <c r="O15" s="30"/>
      <c r="P15" s="30"/>
      <c r="Q15" s="30"/>
      <c r="R15" s="30"/>
      <c r="S15" s="30"/>
      <c r="T15" s="30"/>
      <c r="U15" s="30"/>
      <c r="V15" s="30"/>
      <c r="W15" s="30"/>
      <c r="X15" s="30"/>
      <c r="Y15" s="30"/>
      <c r="Z15" s="30"/>
    </row>
    <row r="16">
      <c r="A16" s="30"/>
      <c r="B16" s="44">
        <v>3.0</v>
      </c>
      <c r="C16" s="53" t="s">
        <v>41</v>
      </c>
      <c r="D16" s="46" t="s">
        <v>47</v>
      </c>
      <c r="E16" s="47" t="s">
        <v>48</v>
      </c>
      <c r="F16" s="34"/>
      <c r="G16" s="48" t="s">
        <v>49</v>
      </c>
      <c r="H16" s="49" t="s">
        <v>50</v>
      </c>
      <c r="I16" s="34"/>
      <c r="J16" s="50" t="s">
        <v>51</v>
      </c>
      <c r="K16" s="30"/>
      <c r="L16" s="30"/>
      <c r="M16" s="30"/>
      <c r="N16" s="30"/>
      <c r="O16" s="30"/>
      <c r="P16" s="30"/>
      <c r="Q16" s="30"/>
      <c r="R16" s="30"/>
      <c r="S16" s="30"/>
      <c r="T16" s="30"/>
      <c r="U16" s="30"/>
      <c r="V16" s="30"/>
      <c r="W16" s="30"/>
      <c r="X16" s="30"/>
      <c r="Y16" s="30"/>
      <c r="Z16" s="30"/>
    </row>
    <row r="17">
      <c r="A17" s="30"/>
      <c r="B17" s="51"/>
      <c r="C17" s="52" t="str">
        <f>D16 &amp; " " &amp; E16 &amp; " " &amp;G16&amp; " " &amp;H16&amp; " " </f>
        <v>Convierte valores numéricos entre sistemas de numeración decimal, binario, octal y hexadecimal aplicando los métodos de conversión posicional y los estándares de codificación ASCII, UNICODE e ISO-8859 para representar datos primitivos, imágenes, audio y video en formato digital </v>
      </c>
      <c r="D17" s="33"/>
      <c r="E17" s="33"/>
      <c r="F17" s="33"/>
      <c r="G17" s="33"/>
      <c r="H17" s="33"/>
      <c r="I17" s="33"/>
      <c r="J17" s="34"/>
      <c r="K17" s="30"/>
      <c r="L17" s="30"/>
      <c r="M17" s="30"/>
      <c r="N17" s="30"/>
      <c r="O17" s="30"/>
      <c r="P17" s="30"/>
      <c r="Q17" s="30"/>
      <c r="R17" s="30"/>
      <c r="S17" s="30"/>
      <c r="T17" s="30"/>
      <c r="U17" s="30"/>
      <c r="V17" s="30"/>
      <c r="W17" s="30"/>
      <c r="X17" s="30"/>
      <c r="Y17" s="30"/>
      <c r="Z17" s="30"/>
    </row>
    <row r="18">
      <c r="A18" s="30"/>
      <c r="B18" s="44">
        <v>4.0</v>
      </c>
      <c r="C18" s="53" t="s">
        <v>41</v>
      </c>
      <c r="D18" s="54" t="s">
        <v>52</v>
      </c>
      <c r="E18" s="47" t="s">
        <v>53</v>
      </c>
      <c r="F18" s="34"/>
      <c r="G18" s="48" t="s">
        <v>54</v>
      </c>
      <c r="H18" s="49" t="s">
        <v>55</v>
      </c>
      <c r="I18" s="34"/>
      <c r="J18" s="50" t="s">
        <v>40</v>
      </c>
      <c r="K18" s="30"/>
      <c r="L18" s="30"/>
      <c r="M18" s="30"/>
      <c r="N18" s="30"/>
      <c r="O18" s="30"/>
      <c r="P18" s="30"/>
      <c r="Q18" s="30"/>
      <c r="R18" s="30"/>
      <c r="S18" s="30"/>
      <c r="T18" s="30"/>
      <c r="U18" s="30"/>
      <c r="V18" s="30"/>
      <c r="W18" s="30"/>
      <c r="X18" s="30"/>
      <c r="Y18" s="30"/>
      <c r="Z18" s="30"/>
    </row>
    <row r="19">
      <c r="A19" s="30"/>
      <c r="B19" s="51"/>
      <c r="C19" s="52" t="str">
        <f>D18 &amp; " " &amp; E18 &amp; " " &amp;G18&amp; " " &amp;H18&amp; " " </f>
        <v>Descompone problemas computacionales en subproblemas definidos mediante técnicas de descomposición, reconocimiento de patrones y abstracción para estructurar soluciones algorítmicas a partir de instancias y contextos concretos </v>
      </c>
      <c r="D19" s="33"/>
      <c r="E19" s="33"/>
      <c r="F19" s="33"/>
      <c r="G19" s="33"/>
      <c r="H19" s="33"/>
      <c r="I19" s="33"/>
      <c r="J19" s="34"/>
      <c r="K19" s="30"/>
      <c r="L19" s="30"/>
      <c r="M19" s="30"/>
      <c r="N19" s="30"/>
      <c r="O19" s="30"/>
      <c r="P19" s="30"/>
      <c r="Q19" s="30"/>
      <c r="R19" s="30"/>
      <c r="S19" s="30"/>
      <c r="T19" s="30"/>
      <c r="U19" s="30"/>
      <c r="V19" s="30"/>
      <c r="W19" s="30"/>
      <c r="X19" s="30"/>
      <c r="Y19" s="30"/>
      <c r="Z19" s="30"/>
    </row>
    <row r="20">
      <c r="A20" s="30"/>
      <c r="B20" s="44">
        <v>5.0</v>
      </c>
      <c r="C20" s="53" t="s">
        <v>41</v>
      </c>
      <c r="D20" s="46" t="s">
        <v>56</v>
      </c>
      <c r="E20" s="47" t="s">
        <v>57</v>
      </c>
      <c r="F20" s="55"/>
      <c r="G20" s="48" t="s">
        <v>58</v>
      </c>
      <c r="H20" s="49" t="s">
        <v>59</v>
      </c>
      <c r="I20" s="56"/>
      <c r="J20" s="50" t="s">
        <v>60</v>
      </c>
      <c r="K20" s="30"/>
      <c r="L20" s="30"/>
      <c r="M20" s="30"/>
      <c r="N20" s="30"/>
      <c r="O20" s="30"/>
      <c r="P20" s="30"/>
      <c r="Q20" s="30"/>
      <c r="R20" s="30"/>
      <c r="S20" s="30"/>
      <c r="T20" s="30"/>
      <c r="U20" s="30"/>
      <c r="V20" s="30"/>
      <c r="W20" s="30"/>
      <c r="X20" s="30"/>
      <c r="Y20" s="30"/>
      <c r="Z20" s="30"/>
    </row>
    <row r="21">
      <c r="A21" s="30"/>
      <c r="B21" s="51"/>
      <c r="C21" s="52" t="str">
        <f>D20 &amp; " " &amp; E20 &amp; " " &amp;G20&amp; " " &amp;H20&amp; " " </f>
        <v>Diseña algoritmos que resuelven problemas determinísticos, condicionales y cíclicos empleando estructuras de control secuenciales, condicionales y repetitivas en pseudocódigo para producir soluciones correctas, legibles y verificables en un entorno de desarrollo introductorio </v>
      </c>
      <c r="D21" s="33"/>
      <c r="E21" s="33"/>
      <c r="F21" s="33"/>
      <c r="G21" s="33"/>
      <c r="H21" s="33"/>
      <c r="I21" s="33"/>
      <c r="J21" s="34"/>
      <c r="K21" s="30"/>
      <c r="L21" s="30"/>
      <c r="M21" s="30"/>
      <c r="N21" s="30"/>
      <c r="O21" s="30"/>
      <c r="P21" s="30"/>
      <c r="Q21" s="30"/>
      <c r="R21" s="30"/>
      <c r="S21" s="30"/>
      <c r="T21" s="30"/>
      <c r="U21" s="30"/>
      <c r="V21" s="30"/>
      <c r="W21" s="30"/>
      <c r="X21" s="30"/>
      <c r="Y21" s="30"/>
      <c r="Z21" s="30"/>
    </row>
    <row r="22">
      <c r="A22" s="30"/>
      <c r="B22" s="44">
        <v>6.0</v>
      </c>
      <c r="C22" s="53" t="s">
        <v>41</v>
      </c>
      <c r="D22" s="46" t="s">
        <v>61</v>
      </c>
      <c r="E22" s="47" t="s">
        <v>62</v>
      </c>
      <c r="F22" s="55"/>
      <c r="G22" s="48" t="s">
        <v>63</v>
      </c>
      <c r="H22" s="49" t="s">
        <v>64</v>
      </c>
      <c r="I22" s="56"/>
      <c r="J22" s="50" t="s">
        <v>51</v>
      </c>
      <c r="K22" s="30"/>
      <c r="L22" s="30"/>
      <c r="M22" s="30"/>
      <c r="N22" s="30"/>
      <c r="O22" s="30"/>
      <c r="P22" s="30"/>
      <c r="Q22" s="30"/>
      <c r="R22" s="30"/>
      <c r="S22" s="30"/>
      <c r="T22" s="30"/>
      <c r="U22" s="30"/>
      <c r="V22" s="30"/>
      <c r="W22" s="30"/>
      <c r="X22" s="30"/>
      <c r="Y22" s="30"/>
      <c r="Z22" s="30"/>
    </row>
    <row r="23">
      <c r="A23" s="30"/>
      <c r="B23" s="51"/>
      <c r="C23" s="52" t="str">
        <f>D22 &amp; " " &amp; E22 &amp; " " &amp;G22&amp; " " &amp;H22&amp; " " </f>
        <v>Implementa algoritmos con manejo de arreglos unidimensionales y multidimensionales utilizando herramientas de pseudocódigo y diagramas de flujo para representar y administrar colecciones de datos de forma estructurada </v>
      </c>
      <c r="D23" s="33"/>
      <c r="E23" s="33"/>
      <c r="F23" s="33"/>
      <c r="G23" s="33"/>
      <c r="H23" s="33"/>
      <c r="I23" s="33"/>
      <c r="J23" s="34"/>
      <c r="K23" s="30"/>
      <c r="L23" s="30"/>
      <c r="M23" s="30"/>
      <c r="N23" s="30"/>
      <c r="O23" s="30"/>
      <c r="P23" s="30"/>
      <c r="Q23" s="30"/>
      <c r="R23" s="30"/>
      <c r="S23" s="30"/>
      <c r="T23" s="30"/>
      <c r="U23" s="30"/>
      <c r="V23" s="30"/>
      <c r="W23" s="30"/>
      <c r="X23" s="30"/>
      <c r="Y23" s="30"/>
      <c r="Z23" s="30"/>
    </row>
    <row r="24">
      <c r="A24" s="30"/>
      <c r="B24" s="44">
        <v>7.0</v>
      </c>
      <c r="C24" s="53" t="s">
        <v>41</v>
      </c>
      <c r="D24" s="46" t="s">
        <v>65</v>
      </c>
      <c r="E24" s="47" t="s">
        <v>66</v>
      </c>
      <c r="F24" s="55"/>
      <c r="G24" s="48" t="s">
        <v>67</v>
      </c>
      <c r="H24" s="49" t="s">
        <v>68</v>
      </c>
      <c r="I24" s="56"/>
      <c r="J24" s="50" t="s">
        <v>69</v>
      </c>
      <c r="K24" s="30"/>
      <c r="L24" s="30"/>
      <c r="M24" s="30"/>
      <c r="N24" s="30"/>
      <c r="O24" s="30"/>
      <c r="P24" s="30"/>
      <c r="Q24" s="30"/>
      <c r="R24" s="30"/>
      <c r="S24" s="30"/>
      <c r="T24" s="30"/>
      <c r="U24" s="30"/>
      <c r="V24" s="30"/>
      <c r="W24" s="30"/>
      <c r="X24" s="30"/>
      <c r="Y24" s="30"/>
      <c r="Z24" s="30"/>
    </row>
    <row r="25">
      <c r="A25" s="30"/>
      <c r="B25" s="51"/>
      <c r="C25" s="52" t="str">
        <f>D24 &amp; " " &amp; E24 &amp; " " &amp;G24&amp; " " &amp;H24&amp; " " </f>
        <v>Evalúa la calidad y corrección de algoritmos propios y de pares aplicando criterios de claridad, eficiencia estructural y conformidad con las características de un buen algoritmo para mejorar la solución antes de su implementación en un lenguaje de programación formal </v>
      </c>
      <c r="D25" s="33"/>
      <c r="E25" s="33"/>
      <c r="F25" s="33"/>
      <c r="G25" s="33"/>
      <c r="H25" s="33"/>
      <c r="I25" s="33"/>
      <c r="J25" s="34"/>
      <c r="K25" s="30"/>
      <c r="L25" s="30"/>
      <c r="M25" s="30"/>
      <c r="N25" s="30"/>
      <c r="O25" s="30"/>
      <c r="P25" s="30"/>
      <c r="Q25" s="30"/>
      <c r="R25" s="30"/>
      <c r="S25" s="30"/>
      <c r="T25" s="30"/>
      <c r="U25" s="30"/>
      <c r="V25" s="30"/>
      <c r="W25" s="30"/>
      <c r="X25" s="30"/>
      <c r="Y25" s="30"/>
      <c r="Z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57" t="s">
        <v>70</v>
      </c>
      <c r="C28" s="33"/>
      <c r="D28" s="33"/>
      <c r="E28" s="33"/>
      <c r="F28" s="33"/>
      <c r="G28" s="33"/>
      <c r="H28" s="33"/>
      <c r="I28" s="33"/>
      <c r="J28" s="34"/>
      <c r="K28" s="30"/>
      <c r="L28" s="30"/>
      <c r="M28" s="30"/>
      <c r="N28" s="30"/>
      <c r="O28" s="30"/>
      <c r="P28" s="30"/>
      <c r="Q28" s="30"/>
      <c r="R28" s="30"/>
      <c r="S28" s="30"/>
      <c r="T28" s="30"/>
      <c r="U28" s="30"/>
      <c r="V28" s="30"/>
      <c r="W28" s="30"/>
      <c r="X28" s="30"/>
      <c r="Y28" s="30"/>
      <c r="Z28" s="30"/>
    </row>
    <row r="29">
      <c r="A29" s="30"/>
      <c r="B29" s="58"/>
      <c r="C29" s="59"/>
      <c r="D29" s="59"/>
      <c r="E29" s="59"/>
      <c r="F29" s="59"/>
      <c r="G29" s="59"/>
      <c r="H29" s="59"/>
      <c r="I29" s="59"/>
      <c r="J29" s="60"/>
      <c r="K29" s="30"/>
      <c r="L29" s="30"/>
      <c r="M29" s="30"/>
      <c r="N29" s="30"/>
      <c r="O29" s="30"/>
      <c r="P29" s="30"/>
      <c r="Q29" s="30"/>
      <c r="R29" s="30"/>
      <c r="S29" s="30"/>
      <c r="T29" s="30"/>
      <c r="U29" s="30"/>
      <c r="V29" s="30"/>
      <c r="W29" s="30"/>
      <c r="X29" s="30"/>
      <c r="Y29" s="30"/>
      <c r="Z29" s="30"/>
    </row>
    <row r="30">
      <c r="A30" s="30"/>
      <c r="B30" s="61"/>
      <c r="C30" s="62"/>
      <c r="D30" s="62"/>
      <c r="E30" s="62"/>
      <c r="F30" s="62"/>
      <c r="G30" s="62"/>
      <c r="H30" s="62"/>
      <c r="I30" s="62"/>
      <c r="J30" s="63"/>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row>
  </sheetData>
  <mergeCells count="30">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H18:I18"/>
    <mergeCell ref="C19:J19"/>
    <mergeCell ref="C21:J21"/>
    <mergeCell ref="C23:J23"/>
    <mergeCell ref="C25:J25"/>
    <mergeCell ref="B28:J28"/>
    <mergeCell ref="B29:J30"/>
    <mergeCell ref="E14:F14"/>
    <mergeCell ref="H14:I14"/>
    <mergeCell ref="C15:J15"/>
    <mergeCell ref="E16:F16"/>
    <mergeCell ref="H16:I16"/>
    <mergeCell ref="C17:J17"/>
    <mergeCell ref="E18:F18"/>
  </mergeCells>
  <dataValidations>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33.25"/>
    <col customWidth="1" min="5" max="5" width="21.88"/>
    <col customWidth="1" min="6" max="6" width="34.25"/>
  </cols>
  <sheetData>
    <row r="1" ht="15.75" customHeight="1"/>
    <row r="2" ht="15.75" customHeight="1">
      <c r="A2" s="64"/>
      <c r="B2" s="65" t="s">
        <v>71</v>
      </c>
    </row>
    <row r="3" ht="15.75" customHeight="1"/>
    <row r="4" ht="15.75" customHeight="1">
      <c r="B4" s="3" t="s">
        <v>1</v>
      </c>
      <c r="C4" s="4" t="s">
        <v>2</v>
      </c>
    </row>
    <row r="5" ht="15.75" customHeight="1">
      <c r="B5" s="3" t="s">
        <v>72</v>
      </c>
      <c r="C5" s="6" t="s">
        <v>4</v>
      </c>
    </row>
    <row r="6" ht="15.75" customHeight="1">
      <c r="H6" s="66"/>
    </row>
    <row r="7" ht="15.75" customHeight="1">
      <c r="H7" s="66"/>
    </row>
    <row r="8" ht="15.75" customHeight="1">
      <c r="A8" s="67"/>
      <c r="B8" s="68" t="s">
        <v>73</v>
      </c>
      <c r="C8" s="68" t="s">
        <v>74</v>
      </c>
      <c r="D8" s="68" t="s">
        <v>75</v>
      </c>
      <c r="E8" s="68" t="s">
        <v>76</v>
      </c>
      <c r="F8" s="68" t="s">
        <v>77</v>
      </c>
      <c r="G8" s="68" t="s">
        <v>78</v>
      </c>
      <c r="H8" s="68" t="s">
        <v>79</v>
      </c>
      <c r="I8" s="69"/>
      <c r="J8" s="69"/>
    </row>
    <row r="9">
      <c r="B9" s="70">
        <v>1.0</v>
      </c>
      <c r="C9" s="71" t="s">
        <v>80</v>
      </c>
      <c r="D9" s="71" t="s">
        <v>81</v>
      </c>
      <c r="E9" s="71" t="s">
        <v>82</v>
      </c>
      <c r="F9" s="71" t="s">
        <v>83</v>
      </c>
      <c r="G9" s="71" t="s">
        <v>84</v>
      </c>
      <c r="H9" s="70">
        <v>2.0</v>
      </c>
      <c r="I9" s="69"/>
      <c r="J9" s="69"/>
    </row>
    <row r="10">
      <c r="B10" s="70">
        <v>2.0</v>
      </c>
      <c r="C10" s="71" t="s">
        <v>80</v>
      </c>
      <c r="D10" s="72" t="s">
        <v>85</v>
      </c>
      <c r="E10" s="72" t="s">
        <v>86</v>
      </c>
      <c r="F10" s="72" t="s">
        <v>87</v>
      </c>
      <c r="G10" s="72" t="s">
        <v>84</v>
      </c>
      <c r="H10" s="71">
        <v>2.0</v>
      </c>
      <c r="I10" s="69"/>
      <c r="J10" s="69"/>
    </row>
    <row r="11">
      <c r="B11" s="70">
        <v>3.0</v>
      </c>
      <c r="C11" s="71" t="s">
        <v>88</v>
      </c>
      <c r="D11" s="72" t="s">
        <v>85</v>
      </c>
      <c r="E11" s="72" t="s">
        <v>89</v>
      </c>
      <c r="F11" s="72" t="s">
        <v>90</v>
      </c>
      <c r="G11" s="72" t="s">
        <v>84</v>
      </c>
      <c r="H11" s="71">
        <v>2.0</v>
      </c>
      <c r="I11" s="69"/>
      <c r="J11" s="69"/>
    </row>
    <row r="12">
      <c r="B12" s="70">
        <v>4.0</v>
      </c>
      <c r="C12" s="71" t="s">
        <v>88</v>
      </c>
      <c r="D12" s="72" t="s">
        <v>85</v>
      </c>
      <c r="E12" s="72" t="s">
        <v>86</v>
      </c>
      <c r="F12" s="72" t="s">
        <v>91</v>
      </c>
      <c r="G12" s="72" t="s">
        <v>84</v>
      </c>
      <c r="H12" s="71">
        <v>3.0</v>
      </c>
      <c r="I12" s="69"/>
      <c r="J12" s="69"/>
    </row>
    <row r="13">
      <c r="B13" s="70">
        <v>5.0</v>
      </c>
      <c r="C13" s="71" t="s">
        <v>88</v>
      </c>
      <c r="D13" s="72" t="s">
        <v>85</v>
      </c>
      <c r="E13" s="72" t="s">
        <v>92</v>
      </c>
      <c r="F13" s="72" t="s">
        <v>93</v>
      </c>
      <c r="G13" s="72" t="s">
        <v>84</v>
      </c>
      <c r="H13" s="71">
        <v>3.0</v>
      </c>
      <c r="I13" s="69"/>
      <c r="J13" s="69"/>
    </row>
    <row r="14">
      <c r="B14" s="70">
        <v>6.0</v>
      </c>
      <c r="C14" s="71" t="s">
        <v>88</v>
      </c>
      <c r="D14" s="72" t="s">
        <v>85</v>
      </c>
      <c r="E14" s="72" t="s">
        <v>94</v>
      </c>
      <c r="F14" s="72" t="s">
        <v>95</v>
      </c>
      <c r="G14" s="72" t="s">
        <v>84</v>
      </c>
      <c r="H14" s="71">
        <v>3.0</v>
      </c>
      <c r="I14" s="69"/>
      <c r="J14" s="69"/>
    </row>
    <row r="15">
      <c r="B15" s="70">
        <v>7.0</v>
      </c>
      <c r="C15" s="71" t="s">
        <v>88</v>
      </c>
      <c r="D15" s="72" t="s">
        <v>85</v>
      </c>
      <c r="E15" s="72" t="s">
        <v>96</v>
      </c>
      <c r="F15" s="72" t="s">
        <v>97</v>
      </c>
      <c r="G15" s="72" t="s">
        <v>84</v>
      </c>
      <c r="H15" s="71">
        <v>3.0</v>
      </c>
      <c r="I15" s="69"/>
      <c r="J15" s="69"/>
    </row>
    <row r="16">
      <c r="B16" s="70">
        <v>8.0</v>
      </c>
      <c r="C16" s="71" t="s">
        <v>80</v>
      </c>
      <c r="D16" s="72" t="s">
        <v>85</v>
      </c>
      <c r="E16" s="72" t="s">
        <v>98</v>
      </c>
      <c r="F16" s="72" t="s">
        <v>99</v>
      </c>
      <c r="G16" s="72" t="s">
        <v>84</v>
      </c>
      <c r="H16" s="71">
        <v>4.0</v>
      </c>
      <c r="I16" s="69"/>
      <c r="J16" s="69"/>
    </row>
    <row r="17">
      <c r="B17" s="70">
        <v>9.0</v>
      </c>
      <c r="C17" s="71" t="s">
        <v>88</v>
      </c>
      <c r="D17" s="72" t="s">
        <v>85</v>
      </c>
      <c r="E17" s="72" t="s">
        <v>100</v>
      </c>
      <c r="F17" s="72" t="s">
        <v>101</v>
      </c>
      <c r="G17" s="72" t="s">
        <v>84</v>
      </c>
      <c r="H17" s="71">
        <v>4.0</v>
      </c>
      <c r="I17" s="69"/>
      <c r="J17" s="69"/>
    </row>
    <row r="18">
      <c r="B18" s="70">
        <v>10.0</v>
      </c>
      <c r="C18" s="71" t="s">
        <v>80</v>
      </c>
      <c r="D18" s="72" t="s">
        <v>85</v>
      </c>
      <c r="E18" s="72" t="s">
        <v>102</v>
      </c>
      <c r="F18" s="72" t="s">
        <v>103</v>
      </c>
      <c r="G18" s="72" t="s">
        <v>84</v>
      </c>
      <c r="H18" s="71">
        <v>4.0</v>
      </c>
      <c r="I18" s="69"/>
      <c r="J18" s="69"/>
    </row>
    <row r="19">
      <c r="B19" s="70">
        <v>11.0</v>
      </c>
      <c r="C19" s="71" t="s">
        <v>88</v>
      </c>
      <c r="D19" s="72" t="s">
        <v>85</v>
      </c>
      <c r="E19" s="72" t="s">
        <v>104</v>
      </c>
      <c r="F19" s="72" t="s">
        <v>105</v>
      </c>
      <c r="G19" s="72" t="s">
        <v>84</v>
      </c>
      <c r="H19" s="71">
        <v>4.0</v>
      </c>
      <c r="I19" s="69"/>
      <c r="J19" s="69"/>
    </row>
    <row r="20">
      <c r="B20" s="70">
        <v>12.0</v>
      </c>
      <c r="C20" s="71" t="s">
        <v>80</v>
      </c>
      <c r="D20" s="72" t="s">
        <v>85</v>
      </c>
      <c r="E20" s="72" t="s">
        <v>106</v>
      </c>
      <c r="F20" s="72" t="s">
        <v>107</v>
      </c>
      <c r="G20" s="72" t="s">
        <v>84</v>
      </c>
      <c r="H20" s="71">
        <v>4.0</v>
      </c>
      <c r="I20" s="69"/>
      <c r="J20" s="69"/>
    </row>
    <row r="21">
      <c r="B21" s="70">
        <v>13.0</v>
      </c>
      <c r="C21" s="71" t="s">
        <v>108</v>
      </c>
      <c r="D21" s="72" t="s">
        <v>109</v>
      </c>
      <c r="E21" s="72" t="s">
        <v>110</v>
      </c>
      <c r="F21" s="72" t="s">
        <v>111</v>
      </c>
      <c r="G21" s="72" t="s">
        <v>84</v>
      </c>
      <c r="H21" s="71">
        <v>5.0</v>
      </c>
      <c r="I21" s="69"/>
      <c r="J21" s="69"/>
    </row>
    <row r="22">
      <c r="B22" s="70">
        <v>14.0</v>
      </c>
      <c r="C22" s="71" t="s">
        <v>108</v>
      </c>
      <c r="D22" s="72" t="s">
        <v>109</v>
      </c>
      <c r="E22" s="72" t="s">
        <v>112</v>
      </c>
      <c r="F22" s="72" t="s">
        <v>113</v>
      </c>
      <c r="G22" s="72" t="s">
        <v>84</v>
      </c>
      <c r="H22" s="71">
        <v>5.0</v>
      </c>
      <c r="I22" s="69"/>
      <c r="J22" s="69"/>
    </row>
    <row r="23">
      <c r="B23" s="70">
        <v>15.0</v>
      </c>
      <c r="C23" s="71" t="s">
        <v>108</v>
      </c>
      <c r="D23" s="72" t="s">
        <v>109</v>
      </c>
      <c r="E23" s="72" t="s">
        <v>114</v>
      </c>
      <c r="F23" s="72" t="s">
        <v>115</v>
      </c>
      <c r="G23" s="72" t="s">
        <v>84</v>
      </c>
      <c r="H23" s="71">
        <v>5.0</v>
      </c>
      <c r="I23" s="69"/>
      <c r="J23" s="69"/>
    </row>
    <row r="24">
      <c r="B24" s="70">
        <v>16.0</v>
      </c>
      <c r="C24" s="71" t="s">
        <v>116</v>
      </c>
      <c r="D24" s="72" t="s">
        <v>117</v>
      </c>
      <c r="E24" s="72" t="s">
        <v>118</v>
      </c>
      <c r="F24" s="72" t="s">
        <v>119</v>
      </c>
      <c r="G24" s="72" t="s">
        <v>84</v>
      </c>
      <c r="H24" s="71">
        <v>6.0</v>
      </c>
      <c r="I24" s="69"/>
      <c r="J24" s="69"/>
    </row>
    <row r="25">
      <c r="B25" s="70">
        <v>17.0</v>
      </c>
      <c r="C25" s="71" t="s">
        <v>116</v>
      </c>
      <c r="D25" s="72" t="s">
        <v>117</v>
      </c>
      <c r="E25" s="72" t="s">
        <v>120</v>
      </c>
      <c r="F25" s="72" t="s">
        <v>121</v>
      </c>
      <c r="G25" s="72" t="s">
        <v>84</v>
      </c>
      <c r="H25" s="71">
        <v>6.0</v>
      </c>
      <c r="I25" s="69"/>
      <c r="J25" s="69"/>
    </row>
    <row r="26">
      <c r="B26" s="70">
        <v>18.0</v>
      </c>
      <c r="C26" s="71" t="s">
        <v>116</v>
      </c>
      <c r="D26" s="72" t="s">
        <v>117</v>
      </c>
      <c r="E26" s="72" t="s">
        <v>122</v>
      </c>
      <c r="F26" s="72" t="s">
        <v>123</v>
      </c>
      <c r="G26" s="72" t="s">
        <v>84</v>
      </c>
      <c r="H26" s="71">
        <v>6.0</v>
      </c>
      <c r="I26" s="69"/>
      <c r="J26" s="69"/>
    </row>
    <row r="27">
      <c r="B27" s="70">
        <v>19.0</v>
      </c>
      <c r="C27" s="71" t="s">
        <v>116</v>
      </c>
      <c r="D27" s="72" t="s">
        <v>117</v>
      </c>
      <c r="E27" s="72" t="s">
        <v>124</v>
      </c>
      <c r="F27" s="72" t="s">
        <v>125</v>
      </c>
      <c r="G27" s="72" t="s">
        <v>126</v>
      </c>
      <c r="H27" s="71">
        <v>7.0</v>
      </c>
      <c r="I27" s="69"/>
      <c r="J27" s="69"/>
    </row>
    <row r="28">
      <c r="B28" s="70">
        <v>20.0</v>
      </c>
      <c r="C28" s="71" t="s">
        <v>127</v>
      </c>
      <c r="D28" s="72" t="s">
        <v>117</v>
      </c>
      <c r="E28" s="72" t="s">
        <v>128</v>
      </c>
      <c r="F28" s="72" t="s">
        <v>129</v>
      </c>
      <c r="G28" s="72" t="s">
        <v>126</v>
      </c>
      <c r="H28" s="71">
        <v>7.0</v>
      </c>
      <c r="I28" s="69"/>
      <c r="J28" s="69"/>
    </row>
    <row r="29">
      <c r="B29" s="70">
        <v>21.0</v>
      </c>
      <c r="C29" s="71" t="s">
        <v>127</v>
      </c>
      <c r="D29" s="72" t="s">
        <v>117</v>
      </c>
      <c r="E29" s="72" t="s">
        <v>130</v>
      </c>
      <c r="F29" s="72" t="s">
        <v>131</v>
      </c>
      <c r="G29" s="72" t="s">
        <v>126</v>
      </c>
      <c r="H29" s="71">
        <v>7.0</v>
      </c>
      <c r="I29" s="69"/>
      <c r="J29" s="69"/>
    </row>
    <row r="30">
      <c r="B30" s="70">
        <v>22.0</v>
      </c>
      <c r="C30" s="71" t="s">
        <v>127</v>
      </c>
      <c r="D30" s="72" t="s">
        <v>132</v>
      </c>
      <c r="E30" s="72" t="s">
        <v>133</v>
      </c>
      <c r="F30" s="72" t="s">
        <v>134</v>
      </c>
      <c r="G30" s="72" t="s">
        <v>126</v>
      </c>
      <c r="H30" s="71">
        <v>8.0</v>
      </c>
      <c r="I30" s="69"/>
      <c r="J30" s="69"/>
    </row>
    <row r="31">
      <c r="B31" s="70">
        <v>23.0</v>
      </c>
      <c r="C31" s="71" t="s">
        <v>127</v>
      </c>
      <c r="D31" s="72" t="s">
        <v>132</v>
      </c>
      <c r="E31" s="72" t="s">
        <v>133</v>
      </c>
      <c r="F31" s="72" t="s">
        <v>135</v>
      </c>
      <c r="G31" s="72" t="s">
        <v>126</v>
      </c>
      <c r="H31" s="71">
        <v>8.0</v>
      </c>
      <c r="I31" s="69"/>
      <c r="J31" s="69"/>
    </row>
    <row r="32">
      <c r="B32" s="70">
        <v>24.0</v>
      </c>
      <c r="C32" s="71" t="s">
        <v>127</v>
      </c>
      <c r="D32" s="72" t="s">
        <v>132</v>
      </c>
      <c r="E32" s="72" t="s">
        <v>133</v>
      </c>
      <c r="F32" s="72" t="s">
        <v>136</v>
      </c>
      <c r="G32" s="72" t="s">
        <v>126</v>
      </c>
      <c r="H32" s="71">
        <v>8.0</v>
      </c>
      <c r="I32" s="69"/>
      <c r="J32" s="69"/>
    </row>
    <row r="33">
      <c r="B33" s="70">
        <v>25.0</v>
      </c>
      <c r="C33" s="71" t="s">
        <v>127</v>
      </c>
      <c r="D33" s="72" t="s">
        <v>132</v>
      </c>
      <c r="E33" s="72" t="s">
        <v>133</v>
      </c>
      <c r="F33" s="72" t="s">
        <v>137</v>
      </c>
      <c r="G33" s="72" t="s">
        <v>126</v>
      </c>
      <c r="H33" s="71">
        <v>9.0</v>
      </c>
      <c r="I33" s="69"/>
      <c r="J33" s="69"/>
    </row>
    <row r="34">
      <c r="B34" s="70">
        <v>26.0</v>
      </c>
      <c r="C34" s="71" t="s">
        <v>127</v>
      </c>
      <c r="D34" s="72" t="s">
        <v>132</v>
      </c>
      <c r="E34" s="72" t="s">
        <v>133</v>
      </c>
      <c r="F34" s="72" t="s">
        <v>138</v>
      </c>
      <c r="G34" s="72" t="s">
        <v>126</v>
      </c>
      <c r="H34" s="71">
        <v>9.0</v>
      </c>
      <c r="I34" s="69"/>
      <c r="J34" s="69"/>
    </row>
    <row r="35">
      <c r="B35" s="70">
        <v>27.0</v>
      </c>
      <c r="C35" s="71" t="s">
        <v>127</v>
      </c>
      <c r="D35" s="72" t="s">
        <v>132</v>
      </c>
      <c r="E35" s="72" t="s">
        <v>139</v>
      </c>
      <c r="F35" s="72" t="s">
        <v>140</v>
      </c>
      <c r="G35" s="72" t="s">
        <v>126</v>
      </c>
      <c r="H35" s="71">
        <v>9.0</v>
      </c>
      <c r="I35" s="69"/>
      <c r="J35" s="69"/>
    </row>
    <row r="36" ht="30.75" customHeight="1">
      <c r="B36" s="70">
        <v>28.0</v>
      </c>
      <c r="C36" s="71" t="s">
        <v>141</v>
      </c>
      <c r="D36" s="72" t="s">
        <v>132</v>
      </c>
      <c r="E36" s="72" t="s">
        <v>142</v>
      </c>
      <c r="F36" s="72" t="s">
        <v>143</v>
      </c>
      <c r="G36" s="72" t="s">
        <v>144</v>
      </c>
      <c r="H36" s="71">
        <v>10.0</v>
      </c>
      <c r="I36" s="69"/>
      <c r="J36" s="69"/>
    </row>
    <row r="37">
      <c r="B37" s="70">
        <v>29.0</v>
      </c>
      <c r="C37" s="71" t="s">
        <v>141</v>
      </c>
      <c r="D37" s="72" t="s">
        <v>132</v>
      </c>
      <c r="E37" s="72" t="s">
        <v>145</v>
      </c>
      <c r="F37" s="72" t="s">
        <v>146</v>
      </c>
      <c r="G37" s="72" t="s">
        <v>144</v>
      </c>
      <c r="H37" s="71">
        <v>10.0</v>
      </c>
      <c r="I37" s="69"/>
      <c r="J37" s="69"/>
    </row>
    <row r="38">
      <c r="B38" s="70">
        <v>30.0</v>
      </c>
      <c r="C38" s="71" t="s">
        <v>141</v>
      </c>
      <c r="D38" s="72" t="s">
        <v>132</v>
      </c>
      <c r="E38" s="72" t="s">
        <v>145</v>
      </c>
      <c r="F38" s="72" t="s">
        <v>147</v>
      </c>
      <c r="G38" s="72" t="s">
        <v>144</v>
      </c>
      <c r="H38" s="71">
        <v>10.0</v>
      </c>
      <c r="I38" s="69"/>
      <c r="J38" s="69"/>
    </row>
    <row r="39">
      <c r="B39" s="70">
        <v>31.0</v>
      </c>
      <c r="C39" s="71" t="s">
        <v>148</v>
      </c>
      <c r="D39" s="72" t="s">
        <v>149</v>
      </c>
      <c r="E39" s="72" t="s">
        <v>150</v>
      </c>
      <c r="F39" s="72" t="s">
        <v>151</v>
      </c>
      <c r="G39" s="72" t="s">
        <v>144</v>
      </c>
      <c r="H39" s="71">
        <v>11.0</v>
      </c>
      <c r="I39" s="69"/>
      <c r="J39" s="69"/>
    </row>
    <row r="40">
      <c r="B40" s="70">
        <v>32.0</v>
      </c>
      <c r="C40" s="71" t="s">
        <v>148</v>
      </c>
      <c r="D40" s="72" t="s">
        <v>149</v>
      </c>
      <c r="E40" s="72" t="s">
        <v>150</v>
      </c>
      <c r="F40" s="72" t="s">
        <v>152</v>
      </c>
      <c r="G40" s="72" t="s">
        <v>144</v>
      </c>
      <c r="H40" s="71">
        <v>11.0</v>
      </c>
      <c r="I40" s="69"/>
      <c r="J40" s="69"/>
    </row>
    <row r="41">
      <c r="B41" s="70">
        <v>33.0</v>
      </c>
      <c r="C41" s="71" t="s">
        <v>148</v>
      </c>
      <c r="D41" s="72" t="s">
        <v>149</v>
      </c>
      <c r="E41" s="72" t="s">
        <v>150</v>
      </c>
      <c r="F41" s="72" t="s">
        <v>153</v>
      </c>
      <c r="G41" s="72" t="s">
        <v>144</v>
      </c>
      <c r="H41" s="71">
        <v>11.0</v>
      </c>
      <c r="I41" s="69"/>
      <c r="J41" s="69"/>
    </row>
    <row r="42" ht="15.75" customHeight="1">
      <c r="B42" s="73">
        <v>34.0</v>
      </c>
      <c r="C42" s="73"/>
      <c r="D42" s="69"/>
      <c r="E42" s="69"/>
      <c r="F42" s="69"/>
      <c r="G42" s="74"/>
      <c r="H42" s="75"/>
      <c r="I42" s="69"/>
      <c r="J42" s="69"/>
    </row>
    <row r="43" ht="15.75" customHeight="1">
      <c r="B43" s="73">
        <v>35.0</v>
      </c>
      <c r="C43" s="73"/>
      <c r="D43" s="69"/>
      <c r="E43" s="69"/>
      <c r="F43" s="69"/>
      <c r="G43" s="74"/>
      <c r="H43" s="75"/>
      <c r="I43" s="69"/>
      <c r="J43" s="69"/>
    </row>
    <row r="44" ht="15.75" customHeight="1">
      <c r="B44" s="73">
        <v>36.0</v>
      </c>
      <c r="C44" s="73"/>
      <c r="D44" s="69"/>
      <c r="E44" s="69"/>
      <c r="F44" s="69"/>
      <c r="G44" s="69"/>
      <c r="H44" s="73"/>
      <c r="I44" s="69"/>
      <c r="J44" s="69"/>
    </row>
    <row r="45" ht="15.75" customHeight="1">
      <c r="B45" s="73">
        <v>37.0</v>
      </c>
      <c r="C45" s="73"/>
      <c r="D45" s="69"/>
      <c r="E45" s="69"/>
      <c r="F45" s="69"/>
      <c r="G45" s="69"/>
      <c r="H45" s="73"/>
      <c r="I45" s="69"/>
      <c r="J45" s="69"/>
    </row>
    <row r="46" ht="15.75" customHeight="1">
      <c r="B46" s="73">
        <v>38.0</v>
      </c>
      <c r="C46" s="73"/>
      <c r="D46" s="69"/>
      <c r="E46" s="69"/>
      <c r="F46" s="69"/>
      <c r="G46" s="69"/>
      <c r="H46" s="73"/>
      <c r="I46" s="69"/>
      <c r="J46" s="69"/>
    </row>
    <row r="47" ht="15.75" customHeight="1">
      <c r="B47" s="73">
        <v>39.0</v>
      </c>
      <c r="C47" s="73"/>
      <c r="D47" s="69"/>
      <c r="E47" s="69"/>
      <c r="F47" s="69"/>
      <c r="G47" s="69"/>
      <c r="H47" s="73"/>
      <c r="I47" s="69"/>
      <c r="J47" s="69"/>
    </row>
    <row r="48" ht="15.75" customHeight="1">
      <c r="B48" s="73">
        <v>40.0</v>
      </c>
      <c r="C48" s="73"/>
      <c r="D48" s="69"/>
      <c r="E48" s="69"/>
      <c r="F48" s="69"/>
      <c r="G48" s="69"/>
      <c r="H48" s="73"/>
      <c r="I48" s="69"/>
      <c r="J48" s="69"/>
    </row>
    <row r="49" ht="15.75" customHeight="1">
      <c r="B49" s="73">
        <v>41.0</v>
      </c>
      <c r="C49" s="73"/>
      <c r="D49" s="69"/>
      <c r="E49" s="69"/>
      <c r="F49" s="69"/>
      <c r="G49" s="69"/>
      <c r="H49" s="73"/>
      <c r="I49" s="69"/>
      <c r="J49" s="69"/>
    </row>
    <row r="50" ht="15.75" customHeight="1">
      <c r="B50" s="73">
        <v>42.0</v>
      </c>
      <c r="C50" s="73"/>
      <c r="D50" s="69"/>
      <c r="E50" s="69"/>
      <c r="F50" s="69"/>
      <c r="G50" s="69"/>
      <c r="H50" s="73"/>
      <c r="I50" s="69"/>
      <c r="J50" s="69"/>
    </row>
    <row r="51" ht="15.75" customHeight="1">
      <c r="B51" s="73">
        <v>43.0</v>
      </c>
      <c r="C51" s="73"/>
      <c r="D51" s="69"/>
      <c r="E51" s="69"/>
      <c r="F51" s="69"/>
      <c r="G51" s="69"/>
      <c r="H51" s="73"/>
      <c r="I51" s="69"/>
      <c r="J51" s="69"/>
    </row>
    <row r="52" ht="15.75" customHeight="1">
      <c r="B52" s="73">
        <v>44.0</v>
      </c>
      <c r="C52" s="73"/>
      <c r="D52" s="69"/>
      <c r="E52" s="69"/>
      <c r="F52" s="69"/>
      <c r="G52" s="69"/>
      <c r="H52" s="73"/>
      <c r="I52" s="69"/>
      <c r="J52" s="69"/>
    </row>
    <row r="53" ht="15.75" customHeight="1">
      <c r="B53" s="73">
        <v>45.0</v>
      </c>
      <c r="C53" s="73"/>
      <c r="D53" s="69"/>
      <c r="E53" s="69"/>
      <c r="F53" s="69"/>
      <c r="G53" s="69"/>
      <c r="H53" s="73"/>
      <c r="I53" s="69"/>
      <c r="J53" s="69"/>
    </row>
    <row r="54" ht="15.75" customHeight="1">
      <c r="B54" s="73">
        <v>46.0</v>
      </c>
      <c r="C54" s="73"/>
      <c r="D54" s="69"/>
      <c r="E54" s="69"/>
      <c r="F54" s="69"/>
      <c r="G54" s="69"/>
      <c r="H54" s="73"/>
      <c r="I54" s="69"/>
      <c r="J54" s="69"/>
    </row>
    <row r="55" ht="15.75" customHeight="1">
      <c r="B55" s="73">
        <v>47.0</v>
      </c>
      <c r="C55" s="73"/>
      <c r="D55" s="69"/>
      <c r="E55" s="69"/>
      <c r="F55" s="69"/>
      <c r="G55" s="69"/>
      <c r="H55" s="73"/>
      <c r="I55" s="69"/>
      <c r="J55" s="69"/>
    </row>
    <row r="56" ht="15.75" customHeight="1">
      <c r="B56" s="73">
        <v>48.0</v>
      </c>
      <c r="C56" s="73"/>
      <c r="D56" s="69"/>
      <c r="E56" s="69"/>
      <c r="F56" s="69"/>
      <c r="G56" s="69"/>
      <c r="H56" s="73"/>
      <c r="I56" s="69"/>
      <c r="J56" s="69"/>
    </row>
    <row r="57" ht="15.75" customHeight="1">
      <c r="B57" s="73">
        <v>49.0</v>
      </c>
      <c r="C57" s="73"/>
      <c r="D57" s="69"/>
      <c r="E57" s="69"/>
      <c r="F57" s="69"/>
      <c r="G57" s="69"/>
      <c r="H57" s="73"/>
      <c r="I57" s="69"/>
      <c r="J57" s="69"/>
    </row>
    <row r="58" ht="15.75" customHeight="1">
      <c r="B58" s="73">
        <v>50.0</v>
      </c>
      <c r="C58" s="73"/>
      <c r="D58" s="69"/>
      <c r="E58" s="69"/>
      <c r="F58" s="69"/>
      <c r="G58" s="69"/>
      <c r="H58" s="73"/>
      <c r="I58" s="69"/>
      <c r="J58" s="69"/>
    </row>
    <row r="59" ht="15.75" customHeight="1">
      <c r="B59" s="73">
        <v>51.0</v>
      </c>
      <c r="C59" s="73"/>
      <c r="D59" s="69"/>
      <c r="E59" s="69"/>
      <c r="F59" s="69"/>
      <c r="G59" s="69"/>
      <c r="H59" s="73"/>
      <c r="I59" s="69"/>
      <c r="J59" s="69"/>
    </row>
    <row r="60" ht="15.75" customHeight="1">
      <c r="B60" s="73">
        <v>52.0</v>
      </c>
      <c r="C60" s="73"/>
      <c r="D60" s="69"/>
      <c r="E60" s="69"/>
      <c r="F60" s="69"/>
      <c r="G60" s="69"/>
      <c r="H60" s="73"/>
      <c r="I60" s="69"/>
      <c r="J60" s="69"/>
    </row>
    <row r="61" ht="15.75" customHeight="1">
      <c r="B61" s="73">
        <v>53.0</v>
      </c>
      <c r="C61" s="73"/>
      <c r="D61" s="69"/>
      <c r="E61" s="69"/>
      <c r="F61" s="69"/>
      <c r="G61" s="69"/>
      <c r="H61" s="73"/>
      <c r="I61" s="69"/>
      <c r="J61" s="69"/>
    </row>
    <row r="62" ht="15.75" customHeight="1">
      <c r="B62" s="73">
        <v>54.0</v>
      </c>
      <c r="C62" s="73"/>
      <c r="D62" s="69"/>
      <c r="E62" s="69"/>
      <c r="F62" s="69"/>
      <c r="G62" s="69"/>
      <c r="H62" s="73"/>
      <c r="I62" s="69"/>
      <c r="J62" s="69"/>
    </row>
    <row r="63" ht="15.75" customHeight="1">
      <c r="B63" s="73">
        <v>55.0</v>
      </c>
      <c r="C63" s="73"/>
      <c r="D63" s="69"/>
      <c r="E63" s="69"/>
      <c r="F63" s="69"/>
      <c r="G63" s="69"/>
      <c r="H63" s="73"/>
      <c r="I63" s="69"/>
      <c r="J63" s="69"/>
    </row>
    <row r="64" ht="15.75" customHeight="1">
      <c r="B64" s="73">
        <v>56.0</v>
      </c>
      <c r="C64" s="73"/>
      <c r="D64" s="69"/>
      <c r="E64" s="69"/>
      <c r="F64" s="69"/>
      <c r="G64" s="69"/>
      <c r="H64" s="73"/>
      <c r="I64" s="69"/>
      <c r="J64" s="69"/>
    </row>
    <row r="65" ht="15.75" customHeight="1">
      <c r="B65" s="73">
        <v>57.0</v>
      </c>
      <c r="C65" s="73"/>
      <c r="D65" s="69"/>
      <c r="E65" s="69"/>
      <c r="F65" s="69"/>
      <c r="G65" s="69"/>
      <c r="H65" s="73"/>
      <c r="I65" s="69"/>
      <c r="J65" s="69"/>
    </row>
    <row r="66" ht="15.75" customHeight="1">
      <c r="B66" s="73">
        <v>58.0</v>
      </c>
      <c r="C66" s="73"/>
      <c r="D66" s="69"/>
      <c r="E66" s="69"/>
      <c r="F66" s="69"/>
      <c r="G66" s="69"/>
      <c r="H66" s="73"/>
      <c r="I66" s="69"/>
      <c r="J66" s="69"/>
    </row>
    <row r="67" ht="15.75" customHeight="1">
      <c r="B67" s="73">
        <v>59.0</v>
      </c>
      <c r="C67" s="73"/>
      <c r="D67" s="69"/>
      <c r="E67" s="69"/>
      <c r="F67" s="69"/>
      <c r="G67" s="69"/>
      <c r="H67" s="73"/>
      <c r="I67" s="69"/>
      <c r="J67" s="69"/>
    </row>
    <row r="68" ht="15.75" customHeight="1">
      <c r="B68" s="73">
        <v>60.0</v>
      </c>
      <c r="C68" s="73"/>
      <c r="D68" s="69"/>
      <c r="E68" s="69"/>
      <c r="F68" s="69"/>
      <c r="G68" s="69"/>
      <c r="H68" s="73"/>
      <c r="I68" s="69"/>
      <c r="J68" s="69"/>
    </row>
    <row r="69" ht="15.75" customHeight="1">
      <c r="B69" s="73">
        <v>61.0</v>
      </c>
      <c r="C69" s="73"/>
      <c r="D69" s="69"/>
      <c r="E69" s="69"/>
      <c r="F69" s="69"/>
      <c r="G69" s="69"/>
      <c r="H69" s="73"/>
      <c r="I69" s="69"/>
      <c r="J69" s="69"/>
    </row>
    <row r="70" ht="15.75" customHeight="1">
      <c r="B70" s="73">
        <v>62.0</v>
      </c>
      <c r="C70" s="73"/>
      <c r="D70" s="69"/>
      <c r="E70" s="69"/>
      <c r="F70" s="69"/>
      <c r="G70" s="69"/>
      <c r="H70" s="73"/>
      <c r="I70" s="69"/>
      <c r="J70" s="69"/>
    </row>
    <row r="71" ht="15.75" customHeight="1">
      <c r="B71" s="73">
        <v>63.0</v>
      </c>
      <c r="C71" s="73"/>
      <c r="D71" s="69"/>
      <c r="E71" s="69"/>
      <c r="F71" s="69"/>
      <c r="G71" s="69"/>
      <c r="H71" s="73"/>
      <c r="I71" s="69"/>
      <c r="J71" s="69"/>
    </row>
    <row r="72" ht="15.75" customHeight="1">
      <c r="B72" s="73">
        <v>64.0</v>
      </c>
      <c r="C72" s="73"/>
      <c r="D72" s="69"/>
      <c r="E72" s="69"/>
      <c r="F72" s="69"/>
      <c r="G72" s="69"/>
      <c r="H72" s="73"/>
      <c r="I72" s="69"/>
      <c r="J72" s="69"/>
    </row>
    <row r="73" ht="15.75" customHeight="1">
      <c r="B73" s="73">
        <v>65.0</v>
      </c>
      <c r="C73" s="73"/>
      <c r="D73" s="69"/>
      <c r="E73" s="69"/>
      <c r="F73" s="69"/>
      <c r="G73" s="69"/>
      <c r="H73" s="73"/>
      <c r="I73" s="69"/>
      <c r="J73" s="69"/>
    </row>
    <row r="74" ht="15.75" customHeight="1">
      <c r="B74" s="73">
        <v>66.0</v>
      </c>
      <c r="C74" s="73"/>
      <c r="D74" s="69"/>
      <c r="E74" s="69"/>
      <c r="F74" s="69"/>
      <c r="G74" s="69"/>
      <c r="H74" s="73"/>
      <c r="I74" s="69"/>
      <c r="J74" s="69"/>
    </row>
    <row r="75" ht="15.75" customHeight="1">
      <c r="B75" s="73">
        <v>67.0</v>
      </c>
      <c r="C75" s="73"/>
      <c r="D75" s="69"/>
      <c r="E75" s="69"/>
      <c r="F75" s="69"/>
      <c r="G75" s="69"/>
      <c r="H75" s="73"/>
      <c r="I75" s="69"/>
      <c r="J75" s="69"/>
    </row>
    <row r="76" ht="15.75" customHeight="1">
      <c r="B76" s="73">
        <v>68.0</v>
      </c>
      <c r="C76" s="73"/>
      <c r="D76" s="69"/>
      <c r="E76" s="69"/>
      <c r="F76" s="69"/>
      <c r="G76" s="69"/>
      <c r="H76" s="73"/>
      <c r="I76" s="69"/>
      <c r="J76" s="69"/>
    </row>
    <row r="77" ht="15.75" customHeight="1">
      <c r="B77" s="73">
        <v>69.0</v>
      </c>
      <c r="C77" s="73"/>
      <c r="D77" s="69"/>
      <c r="E77" s="69"/>
      <c r="F77" s="69"/>
      <c r="G77" s="69"/>
      <c r="H77" s="73"/>
      <c r="I77" s="69"/>
      <c r="J77" s="69"/>
    </row>
    <row r="78" ht="15.75" customHeight="1">
      <c r="B78" s="73">
        <v>70.0</v>
      </c>
      <c r="C78" s="73"/>
      <c r="D78" s="69"/>
      <c r="E78" s="69"/>
      <c r="F78" s="69"/>
      <c r="G78" s="69"/>
      <c r="H78" s="73"/>
      <c r="I78" s="69"/>
      <c r="J78" s="69"/>
    </row>
    <row r="79" ht="15.75" customHeight="1">
      <c r="B79" s="73">
        <v>71.0</v>
      </c>
      <c r="C79" s="73"/>
      <c r="D79" s="69"/>
      <c r="E79" s="69"/>
      <c r="F79" s="69"/>
      <c r="G79" s="69"/>
      <c r="H79" s="73"/>
      <c r="I79" s="69"/>
      <c r="J79" s="69"/>
    </row>
    <row r="80" ht="15.75" customHeight="1">
      <c r="B80" s="73">
        <v>72.0</v>
      </c>
      <c r="C80" s="73"/>
      <c r="D80" s="69"/>
      <c r="E80" s="69"/>
      <c r="F80" s="69"/>
      <c r="G80" s="69"/>
      <c r="H80" s="73"/>
      <c r="I80" s="69"/>
      <c r="J80" s="69"/>
    </row>
    <row r="81" ht="15.75" customHeight="1">
      <c r="B81" s="73">
        <v>73.0</v>
      </c>
      <c r="C81" s="73"/>
      <c r="D81" s="69"/>
      <c r="E81" s="69"/>
      <c r="F81" s="69"/>
      <c r="G81" s="69"/>
      <c r="H81" s="73"/>
      <c r="I81" s="69"/>
      <c r="J81" s="69"/>
    </row>
    <row r="82" ht="15.75" customHeight="1">
      <c r="B82" s="73">
        <v>74.0</v>
      </c>
      <c r="C82" s="73"/>
      <c r="D82" s="69"/>
      <c r="E82" s="69"/>
      <c r="F82" s="69"/>
      <c r="G82" s="69"/>
      <c r="H82" s="73"/>
      <c r="I82" s="69"/>
      <c r="J82" s="69"/>
    </row>
    <row r="83" ht="15.75" customHeight="1">
      <c r="B83" s="73">
        <v>75.0</v>
      </c>
      <c r="C83" s="73"/>
      <c r="D83" s="69"/>
      <c r="E83" s="69"/>
      <c r="F83" s="69"/>
      <c r="G83" s="69"/>
      <c r="H83" s="73"/>
      <c r="I83" s="69"/>
      <c r="J83" s="69"/>
    </row>
    <row r="84" ht="15.75" customHeight="1">
      <c r="B84" s="73">
        <v>76.0</v>
      </c>
      <c r="C84" s="73"/>
      <c r="D84" s="69"/>
      <c r="E84" s="69"/>
      <c r="F84" s="69"/>
      <c r="G84" s="69"/>
      <c r="H84" s="73"/>
      <c r="I84" s="69"/>
      <c r="J84" s="69"/>
    </row>
    <row r="85" ht="15.75" customHeight="1">
      <c r="B85" s="73">
        <v>77.0</v>
      </c>
      <c r="C85" s="73"/>
      <c r="D85" s="69"/>
      <c r="E85" s="69"/>
      <c r="F85" s="69"/>
      <c r="G85" s="69"/>
      <c r="H85" s="73"/>
      <c r="I85" s="69"/>
      <c r="J85" s="69"/>
    </row>
    <row r="86" ht="15.75" customHeight="1">
      <c r="B86" s="73">
        <v>78.0</v>
      </c>
      <c r="C86" s="73"/>
      <c r="D86" s="69"/>
      <c r="E86" s="69"/>
      <c r="F86" s="69"/>
      <c r="G86" s="69"/>
      <c r="H86" s="73"/>
      <c r="I86" s="69"/>
      <c r="J86" s="69"/>
    </row>
    <row r="87" ht="15.75" customHeight="1">
      <c r="B87" s="73">
        <v>79.0</v>
      </c>
      <c r="C87" s="73"/>
      <c r="D87" s="69"/>
      <c r="E87" s="69"/>
      <c r="F87" s="69"/>
      <c r="G87" s="69"/>
      <c r="H87" s="73"/>
      <c r="I87" s="69"/>
      <c r="J87" s="69"/>
    </row>
    <row r="88" ht="15.75" customHeight="1">
      <c r="B88" s="73">
        <v>80.0</v>
      </c>
      <c r="C88" s="73"/>
      <c r="D88" s="69"/>
      <c r="E88" s="69"/>
      <c r="F88" s="69"/>
      <c r="G88" s="69"/>
      <c r="H88" s="73"/>
      <c r="I88" s="69"/>
      <c r="J88" s="69"/>
    </row>
    <row r="89" ht="15.75" customHeight="1">
      <c r="B89" s="73">
        <v>81.0</v>
      </c>
      <c r="C89" s="73"/>
      <c r="D89" s="69"/>
      <c r="E89" s="69"/>
      <c r="F89" s="69"/>
      <c r="G89" s="69"/>
      <c r="H89" s="73"/>
      <c r="I89" s="69"/>
      <c r="J89" s="69"/>
    </row>
    <row r="90" ht="15.75" customHeight="1">
      <c r="B90" s="73">
        <v>82.0</v>
      </c>
      <c r="C90" s="73"/>
      <c r="D90" s="69"/>
      <c r="E90" s="69"/>
      <c r="F90" s="69"/>
      <c r="G90" s="69"/>
      <c r="H90" s="73"/>
      <c r="I90" s="69"/>
      <c r="J90" s="69"/>
    </row>
    <row r="91" ht="15.75" customHeight="1">
      <c r="B91" s="73">
        <v>83.0</v>
      </c>
      <c r="C91" s="73"/>
      <c r="D91" s="69"/>
      <c r="E91" s="69"/>
      <c r="F91" s="69"/>
      <c r="G91" s="69"/>
      <c r="H91" s="73"/>
      <c r="I91" s="69"/>
      <c r="J91" s="69"/>
    </row>
    <row r="92" ht="15.75" customHeight="1">
      <c r="B92" s="73">
        <v>84.0</v>
      </c>
      <c r="C92" s="73"/>
      <c r="D92" s="69"/>
      <c r="E92" s="69"/>
      <c r="F92" s="69"/>
      <c r="G92" s="69"/>
      <c r="H92" s="73"/>
      <c r="I92" s="69"/>
      <c r="J92" s="69"/>
    </row>
    <row r="93" ht="15.75" customHeight="1">
      <c r="B93" s="73">
        <v>85.0</v>
      </c>
      <c r="C93" s="73"/>
      <c r="D93" s="69"/>
      <c r="E93" s="69"/>
      <c r="F93" s="69"/>
      <c r="G93" s="69"/>
      <c r="H93" s="73"/>
      <c r="I93" s="69"/>
      <c r="J93" s="69"/>
    </row>
    <row r="94" ht="15.75" customHeight="1">
      <c r="B94" s="73">
        <v>86.0</v>
      </c>
      <c r="C94" s="73"/>
      <c r="D94" s="69"/>
      <c r="E94" s="69"/>
      <c r="F94" s="69"/>
      <c r="G94" s="69"/>
      <c r="H94" s="73"/>
      <c r="I94" s="69"/>
      <c r="J94" s="69"/>
    </row>
    <row r="95" ht="15.75" customHeight="1">
      <c r="B95" s="73">
        <v>87.0</v>
      </c>
      <c r="C95" s="73"/>
      <c r="D95" s="69"/>
      <c r="E95" s="69"/>
      <c r="F95" s="69"/>
      <c r="G95" s="69"/>
      <c r="H95" s="73"/>
      <c r="I95" s="69"/>
      <c r="J95" s="69"/>
    </row>
    <row r="96" ht="15.75" customHeight="1">
      <c r="B96" s="73">
        <v>88.0</v>
      </c>
      <c r="C96" s="73"/>
      <c r="D96" s="69"/>
      <c r="E96" s="69"/>
      <c r="F96" s="69"/>
      <c r="G96" s="69"/>
      <c r="H96" s="73"/>
      <c r="I96" s="69"/>
      <c r="J96" s="69"/>
    </row>
    <row r="97" ht="15.75" customHeight="1">
      <c r="B97" s="73">
        <v>89.0</v>
      </c>
      <c r="C97" s="73"/>
      <c r="D97" s="69"/>
      <c r="E97" s="69"/>
      <c r="F97" s="69"/>
      <c r="G97" s="69"/>
      <c r="H97" s="73"/>
      <c r="I97" s="69"/>
      <c r="J97" s="69"/>
    </row>
    <row r="98" ht="15.75" customHeight="1">
      <c r="B98" s="73">
        <v>90.0</v>
      </c>
      <c r="C98" s="73"/>
      <c r="D98" s="69"/>
      <c r="E98" s="69"/>
      <c r="F98" s="69"/>
      <c r="G98" s="69"/>
      <c r="H98" s="73"/>
      <c r="I98" s="69"/>
      <c r="J98" s="69"/>
    </row>
    <row r="99" ht="15.75" customHeight="1">
      <c r="B99" s="73">
        <v>91.0</v>
      </c>
      <c r="C99" s="73"/>
      <c r="D99" s="69"/>
      <c r="E99" s="69"/>
      <c r="F99" s="69"/>
      <c r="G99" s="69"/>
      <c r="H99" s="73"/>
      <c r="I99" s="69"/>
      <c r="J99" s="69"/>
    </row>
    <row r="100" ht="15.75" customHeight="1">
      <c r="B100" s="73">
        <v>92.0</v>
      </c>
      <c r="C100" s="73"/>
      <c r="D100" s="69"/>
      <c r="E100" s="69"/>
      <c r="F100" s="69"/>
      <c r="G100" s="69"/>
      <c r="H100" s="73"/>
      <c r="I100" s="69"/>
      <c r="J100" s="69"/>
    </row>
    <row r="101" ht="15.75" customHeight="1">
      <c r="B101" s="73">
        <v>93.0</v>
      </c>
      <c r="C101" s="73"/>
      <c r="D101" s="69"/>
      <c r="E101" s="69"/>
      <c r="F101" s="69"/>
      <c r="G101" s="69"/>
      <c r="H101" s="73"/>
      <c r="I101" s="69"/>
      <c r="J101" s="69"/>
    </row>
    <row r="102" ht="15.75" customHeight="1">
      <c r="B102" s="73">
        <v>94.0</v>
      </c>
      <c r="C102" s="73"/>
      <c r="D102" s="69"/>
      <c r="E102" s="69"/>
      <c r="F102" s="69"/>
      <c r="G102" s="69"/>
      <c r="H102" s="73"/>
      <c r="I102" s="69"/>
      <c r="J102" s="69"/>
    </row>
    <row r="103" ht="15.75" customHeight="1">
      <c r="B103" s="73">
        <v>95.0</v>
      </c>
      <c r="C103" s="73"/>
      <c r="D103" s="69"/>
      <c r="E103" s="69"/>
      <c r="F103" s="69"/>
      <c r="G103" s="69"/>
      <c r="H103" s="69"/>
      <c r="I103" s="69"/>
      <c r="J103" s="69"/>
    </row>
    <row r="104" ht="15.75" customHeight="1">
      <c r="B104" s="73">
        <v>96.0</v>
      </c>
      <c r="C104" s="73"/>
      <c r="D104" s="69"/>
      <c r="E104" s="69"/>
      <c r="F104" s="69"/>
      <c r="G104" s="69"/>
      <c r="H104" s="69"/>
      <c r="I104" s="69"/>
      <c r="J104" s="69"/>
    </row>
    <row r="105" ht="15.75" customHeight="1">
      <c r="B105" s="73">
        <v>97.0</v>
      </c>
      <c r="C105" s="73"/>
      <c r="D105" s="69"/>
      <c r="E105" s="69"/>
      <c r="F105" s="69"/>
      <c r="G105" s="69"/>
      <c r="H105" s="69"/>
      <c r="I105" s="69"/>
      <c r="J105" s="69"/>
    </row>
    <row r="106" ht="15.75" customHeight="1">
      <c r="B106" s="73">
        <v>98.0</v>
      </c>
      <c r="C106" s="73"/>
      <c r="D106" s="69"/>
      <c r="E106" s="69"/>
      <c r="F106" s="69"/>
      <c r="G106" s="69"/>
      <c r="H106" s="69"/>
      <c r="I106" s="69"/>
      <c r="J106" s="69"/>
    </row>
    <row r="107" ht="15.75" customHeight="1">
      <c r="B107" s="73">
        <v>99.0</v>
      </c>
      <c r="C107" s="73"/>
      <c r="D107" s="69"/>
      <c r="E107" s="69"/>
      <c r="F107" s="69"/>
      <c r="G107" s="69"/>
      <c r="H107" s="69"/>
      <c r="I107" s="69"/>
      <c r="J107" s="69"/>
    </row>
    <row r="108" ht="15.75" customHeight="1">
      <c r="B108" s="73">
        <v>100.0</v>
      </c>
      <c r="C108" s="73"/>
      <c r="D108" s="69"/>
      <c r="E108" s="69"/>
      <c r="F108" s="69"/>
      <c r="G108" s="69"/>
      <c r="H108" s="69"/>
      <c r="I108" s="69"/>
      <c r="J108" s="69"/>
    </row>
    <row r="109" ht="15.75" customHeight="1">
      <c r="B109" s="69"/>
      <c r="C109" s="73"/>
      <c r="D109" s="69"/>
      <c r="E109" s="69"/>
      <c r="F109" s="69"/>
      <c r="G109" s="69"/>
      <c r="H109" s="69"/>
      <c r="I109" s="69"/>
      <c r="J109" s="69"/>
    </row>
    <row r="110" ht="15.75" customHeight="1">
      <c r="B110" s="69"/>
      <c r="C110" s="73"/>
      <c r="D110" s="69"/>
      <c r="E110" s="69"/>
      <c r="F110" s="69"/>
      <c r="G110" s="69"/>
      <c r="H110" s="69"/>
      <c r="I110" s="69"/>
      <c r="J110" s="69"/>
    </row>
    <row r="111" ht="15.75" customHeight="1">
      <c r="B111" s="69"/>
      <c r="C111" s="73"/>
      <c r="D111" s="69"/>
      <c r="E111" s="69"/>
      <c r="F111" s="69"/>
      <c r="G111" s="69"/>
      <c r="H111" s="69"/>
      <c r="I111" s="69"/>
      <c r="J111" s="69"/>
    </row>
    <row r="112" ht="15.75" customHeight="1">
      <c r="B112" s="69"/>
      <c r="C112" s="73"/>
      <c r="D112" s="69"/>
      <c r="E112" s="69"/>
      <c r="F112" s="69"/>
      <c r="G112" s="69"/>
      <c r="H112" s="69"/>
      <c r="I112" s="69"/>
      <c r="J112" s="69"/>
    </row>
    <row r="113" ht="15.75" customHeight="1">
      <c r="B113" s="69"/>
      <c r="C113" s="73"/>
      <c r="D113" s="69"/>
      <c r="E113" s="69"/>
      <c r="F113" s="69"/>
      <c r="G113" s="69"/>
      <c r="H113" s="69"/>
      <c r="I113" s="69"/>
      <c r="J113" s="69"/>
    </row>
    <row r="114" ht="15.75" customHeight="1">
      <c r="B114" s="69"/>
      <c r="C114" s="73"/>
      <c r="D114" s="69"/>
      <c r="E114" s="69"/>
      <c r="F114" s="69"/>
      <c r="G114" s="69"/>
      <c r="H114" s="69"/>
      <c r="I114" s="69"/>
      <c r="J114" s="69"/>
    </row>
    <row r="115" ht="15.75" customHeight="1">
      <c r="B115" s="69"/>
      <c r="C115" s="73"/>
      <c r="D115" s="69"/>
      <c r="E115" s="69"/>
      <c r="F115" s="69"/>
      <c r="G115" s="69"/>
      <c r="H115" s="69"/>
      <c r="I115" s="69"/>
      <c r="J115" s="69"/>
    </row>
    <row r="116" ht="15.75" customHeight="1">
      <c r="B116" s="69"/>
      <c r="C116" s="73"/>
      <c r="D116" s="69"/>
      <c r="E116" s="69"/>
      <c r="F116" s="69"/>
      <c r="G116" s="69"/>
      <c r="H116" s="69"/>
      <c r="I116" s="69"/>
      <c r="J116" s="69"/>
    </row>
    <row r="117" ht="15.75" customHeight="1">
      <c r="B117" s="69"/>
      <c r="C117" s="73"/>
      <c r="D117" s="69"/>
      <c r="E117" s="69"/>
      <c r="F117" s="69"/>
      <c r="G117" s="69"/>
      <c r="H117" s="69"/>
      <c r="I117" s="69"/>
      <c r="J117" s="69"/>
    </row>
    <row r="118" ht="15.75" customHeight="1">
      <c r="B118" s="69"/>
      <c r="C118" s="73"/>
      <c r="D118" s="69"/>
      <c r="E118" s="69"/>
      <c r="F118" s="69"/>
      <c r="G118" s="69"/>
      <c r="H118" s="69"/>
      <c r="I118" s="69"/>
      <c r="J118" s="69"/>
    </row>
    <row r="119" ht="15.75" customHeight="1">
      <c r="B119" s="69"/>
      <c r="C119" s="73"/>
      <c r="D119" s="69"/>
      <c r="E119" s="69"/>
      <c r="F119" s="69"/>
      <c r="G119" s="69"/>
      <c r="H119" s="69"/>
      <c r="I119" s="69"/>
      <c r="J119" s="69"/>
    </row>
    <row r="120" ht="15.75" customHeight="1">
      <c r="B120" s="69"/>
      <c r="C120" s="73"/>
      <c r="D120" s="69"/>
      <c r="E120" s="69"/>
      <c r="F120" s="69"/>
      <c r="G120" s="69"/>
      <c r="H120" s="69"/>
      <c r="I120" s="69"/>
      <c r="J120" s="69"/>
    </row>
    <row r="121" ht="15.75" customHeight="1">
      <c r="B121" s="69"/>
      <c r="C121" s="73"/>
      <c r="D121" s="69"/>
      <c r="E121" s="69"/>
      <c r="F121" s="69"/>
      <c r="G121" s="69"/>
      <c r="H121" s="69"/>
      <c r="I121" s="69"/>
      <c r="J121" s="69"/>
    </row>
    <row r="122" ht="15.75" customHeight="1">
      <c r="B122" s="69"/>
      <c r="C122" s="73"/>
      <c r="D122" s="69"/>
      <c r="E122" s="69"/>
      <c r="F122" s="69"/>
      <c r="G122" s="69"/>
      <c r="H122" s="69"/>
      <c r="I122" s="69"/>
      <c r="J122" s="69"/>
    </row>
    <row r="123" ht="15.75" customHeight="1">
      <c r="B123" s="69"/>
      <c r="C123" s="73"/>
      <c r="D123" s="69"/>
      <c r="E123" s="69"/>
      <c r="F123" s="69"/>
      <c r="G123" s="69"/>
      <c r="H123" s="69"/>
      <c r="I123" s="69"/>
      <c r="J123" s="69"/>
    </row>
    <row r="124" ht="15.75" customHeight="1">
      <c r="B124" s="69"/>
      <c r="C124" s="73"/>
      <c r="D124" s="69"/>
      <c r="E124" s="69"/>
      <c r="F124" s="69"/>
      <c r="G124" s="69"/>
      <c r="H124" s="69"/>
      <c r="I124" s="69"/>
      <c r="J124" s="69"/>
    </row>
    <row r="125" ht="15.75" customHeight="1">
      <c r="B125" s="69"/>
      <c r="C125" s="73"/>
      <c r="D125" s="69"/>
      <c r="E125" s="69"/>
      <c r="F125" s="69"/>
      <c r="G125" s="69"/>
      <c r="H125" s="69"/>
      <c r="I125" s="69"/>
      <c r="J125" s="69"/>
    </row>
    <row r="126" ht="15.75" customHeight="1">
      <c r="B126" s="69"/>
      <c r="C126" s="73"/>
      <c r="D126" s="69"/>
      <c r="E126" s="69"/>
      <c r="F126" s="69"/>
      <c r="G126" s="69"/>
      <c r="H126" s="69"/>
      <c r="I126" s="69"/>
      <c r="J126" s="69"/>
    </row>
    <row r="127" ht="15.75" customHeight="1">
      <c r="B127" s="69"/>
      <c r="C127" s="73"/>
      <c r="D127" s="69"/>
      <c r="E127" s="69"/>
      <c r="F127" s="69"/>
      <c r="G127" s="69"/>
      <c r="H127" s="69"/>
      <c r="I127" s="69"/>
      <c r="J127" s="69"/>
    </row>
    <row r="128" ht="15.75" customHeight="1">
      <c r="B128" s="69"/>
      <c r="C128" s="73"/>
      <c r="D128" s="69"/>
      <c r="E128" s="69"/>
      <c r="F128" s="69"/>
      <c r="G128" s="69"/>
      <c r="H128" s="69"/>
      <c r="I128" s="69"/>
      <c r="J128" s="69"/>
    </row>
    <row r="129" ht="15.75" customHeight="1">
      <c r="B129" s="69"/>
      <c r="C129" s="73"/>
      <c r="D129" s="69"/>
      <c r="E129" s="69"/>
      <c r="F129" s="69"/>
      <c r="G129" s="69"/>
      <c r="H129" s="69"/>
      <c r="I129" s="69"/>
      <c r="J129" s="69"/>
    </row>
    <row r="130" ht="15.75" customHeight="1">
      <c r="B130" s="69"/>
      <c r="C130" s="73"/>
      <c r="D130" s="69"/>
      <c r="E130" s="69"/>
      <c r="F130" s="69"/>
      <c r="G130" s="69"/>
      <c r="H130" s="69"/>
      <c r="I130" s="69"/>
      <c r="J130" s="69"/>
    </row>
    <row r="131" ht="15.75" customHeight="1">
      <c r="B131" s="69"/>
      <c r="C131" s="73"/>
      <c r="D131" s="69"/>
      <c r="E131" s="69"/>
      <c r="F131" s="69"/>
      <c r="G131" s="69"/>
      <c r="H131" s="69"/>
      <c r="I131" s="69"/>
      <c r="J131" s="69"/>
    </row>
    <row r="132" ht="15.75" customHeight="1">
      <c r="B132" s="69"/>
      <c r="C132" s="73"/>
      <c r="D132" s="69"/>
      <c r="E132" s="69"/>
      <c r="F132" s="69"/>
      <c r="G132" s="69"/>
      <c r="H132" s="69"/>
      <c r="I132" s="69"/>
      <c r="J132" s="69"/>
    </row>
    <row r="133" ht="15.75" customHeight="1">
      <c r="B133" s="69"/>
      <c r="C133" s="73"/>
      <c r="D133" s="69"/>
      <c r="E133" s="69"/>
      <c r="F133" s="69"/>
      <c r="G133" s="69"/>
      <c r="H133" s="69"/>
      <c r="I133" s="69"/>
      <c r="J133" s="69"/>
    </row>
    <row r="134" ht="15.75" customHeight="1">
      <c r="B134" s="69"/>
      <c r="C134" s="73"/>
      <c r="D134" s="69"/>
      <c r="E134" s="69"/>
      <c r="F134" s="69"/>
      <c r="G134" s="69"/>
      <c r="H134" s="69"/>
      <c r="I134" s="69"/>
      <c r="J134" s="69"/>
    </row>
    <row r="135" ht="15.75" customHeight="1">
      <c r="C135" s="1"/>
    </row>
    <row r="136" ht="15.75" customHeight="1">
      <c r="C136" s="1"/>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108">
      <formula1>Metadata!$B$2:$B$12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65" t="s">
        <v>71</v>
      </c>
    </row>
    <row r="3" ht="15.75" customHeight="1"/>
    <row r="4" ht="15.75" customHeight="1">
      <c r="B4" s="76" t="s">
        <v>1</v>
      </c>
      <c r="C4" s="77" t="str">
        <f>'Diseño'!C4</f>
        <v>768 - Algoritmos</v>
      </c>
      <c r="D4" s="33"/>
      <c r="E4" s="33"/>
      <c r="F4" s="33"/>
      <c r="G4" s="34"/>
    </row>
    <row r="5" ht="15.75" customHeight="1">
      <c r="B5" s="78" t="s">
        <v>79</v>
      </c>
      <c r="C5" s="77">
        <v>1.0</v>
      </c>
      <c r="D5" s="33"/>
      <c r="E5" s="33"/>
      <c r="F5" s="33"/>
      <c r="G5" s="34"/>
    </row>
    <row r="6" ht="15.75" customHeight="1">
      <c r="B6" s="78" t="s">
        <v>154</v>
      </c>
      <c r="C6" s="77">
        <f>B15+B22+B29+B41+B47+C48</f>
        <v>70</v>
      </c>
      <c r="D6" s="33"/>
      <c r="E6" s="33"/>
      <c r="F6" s="33"/>
      <c r="G6" s="34"/>
    </row>
    <row r="7" ht="15.75" customHeight="1"/>
    <row r="8" ht="15.75" customHeight="1">
      <c r="K8" s="79" t="s">
        <v>155</v>
      </c>
    </row>
    <row r="9" ht="15.75" customHeight="1">
      <c r="A9" s="80" t="s">
        <v>156</v>
      </c>
      <c r="G9" s="81" t="s">
        <v>157</v>
      </c>
      <c r="H9" s="82">
        <f>B15</f>
        <v>10</v>
      </c>
    </row>
    <row r="10" ht="15.75" customHeight="1">
      <c r="G10" s="83" t="s">
        <v>158</v>
      </c>
    </row>
    <row r="11" ht="24.75" customHeight="1">
      <c r="A11" s="84" t="s">
        <v>159</v>
      </c>
      <c r="B11" s="85"/>
      <c r="C11" s="33"/>
      <c r="D11" s="33"/>
      <c r="E11" s="33"/>
      <c r="F11" s="33"/>
      <c r="G11" s="33"/>
      <c r="H11" s="34"/>
    </row>
    <row r="12">
      <c r="A12" s="84" t="s">
        <v>160</v>
      </c>
      <c r="B12" s="85"/>
      <c r="C12" s="33"/>
      <c r="D12" s="33"/>
      <c r="E12" s="33"/>
      <c r="F12" s="33"/>
      <c r="G12" s="33"/>
      <c r="H12" s="34"/>
    </row>
    <row r="13">
      <c r="A13" s="86" t="s">
        <v>161</v>
      </c>
      <c r="B13" s="77"/>
      <c r="C13" s="33"/>
      <c r="D13" s="33"/>
      <c r="E13" s="33"/>
      <c r="F13" s="33"/>
      <c r="G13" s="33"/>
      <c r="H13" s="34"/>
    </row>
    <row r="14">
      <c r="A14" s="86" t="s">
        <v>162</v>
      </c>
      <c r="B14" s="77"/>
      <c r="C14" s="33"/>
      <c r="D14" s="33"/>
      <c r="E14" s="33"/>
      <c r="F14" s="33"/>
      <c r="G14" s="33"/>
      <c r="H14" s="34"/>
    </row>
    <row r="15" ht="15.75" customHeight="1">
      <c r="A15" s="87" t="s">
        <v>163</v>
      </c>
      <c r="B15" s="88">
        <v>10.0</v>
      </c>
      <c r="C15" s="33"/>
      <c r="D15" s="33"/>
      <c r="E15" s="33"/>
      <c r="F15" s="33"/>
      <c r="G15" s="33"/>
      <c r="H15" s="34"/>
    </row>
    <row r="16" ht="15.75" customHeight="1"/>
    <row r="17" ht="15.75" customHeight="1"/>
    <row r="18" ht="15.75" customHeight="1">
      <c r="A18" s="89" t="s">
        <v>164</v>
      </c>
      <c r="G18" s="81" t="s">
        <v>157</v>
      </c>
      <c r="H18" s="82" t="str">
        <f>B22</f>
        <v/>
      </c>
    </row>
    <row r="19" ht="15.75" customHeight="1">
      <c r="G19" s="83" t="s">
        <v>165</v>
      </c>
      <c r="K19" s="79" t="s">
        <v>166</v>
      </c>
    </row>
    <row r="20">
      <c r="A20" s="84" t="s">
        <v>167</v>
      </c>
      <c r="B20" s="90" t="s">
        <v>168</v>
      </c>
      <c r="C20" s="33"/>
      <c r="D20" s="33"/>
      <c r="E20" s="33"/>
      <c r="F20" s="33"/>
      <c r="G20" s="33"/>
      <c r="H20" s="34"/>
    </row>
    <row r="21">
      <c r="A21" s="84" t="s">
        <v>169</v>
      </c>
      <c r="B21" s="85"/>
      <c r="C21" s="33"/>
      <c r="D21" s="33"/>
      <c r="E21" s="33"/>
      <c r="F21" s="33"/>
      <c r="G21" s="33"/>
      <c r="H21" s="34"/>
    </row>
    <row r="22">
      <c r="A22" s="87" t="s">
        <v>163</v>
      </c>
      <c r="B22" s="77"/>
      <c r="C22" s="33"/>
      <c r="D22" s="33"/>
      <c r="E22" s="33"/>
      <c r="F22" s="33"/>
      <c r="G22" s="33"/>
      <c r="H22" s="34"/>
    </row>
    <row r="23" ht="15.75" customHeight="1"/>
    <row r="24" ht="15.75" customHeight="1"/>
    <row r="25" ht="15.75" customHeight="1">
      <c r="A25" s="89" t="s">
        <v>170</v>
      </c>
      <c r="G25" s="91" t="s">
        <v>157</v>
      </c>
      <c r="H25" s="82">
        <f>B29</f>
        <v>20</v>
      </c>
    </row>
    <row r="26" ht="15.75" customHeight="1">
      <c r="G26" s="83" t="s">
        <v>171</v>
      </c>
      <c r="H26" s="83"/>
      <c r="I26" s="83"/>
      <c r="J26" s="83"/>
    </row>
    <row r="27" ht="39.75" customHeight="1">
      <c r="A27" s="84" t="s">
        <v>172</v>
      </c>
      <c r="B27" s="85"/>
      <c r="C27" s="33"/>
      <c r="D27" s="33"/>
      <c r="E27" s="33"/>
      <c r="F27" s="33"/>
      <c r="G27" s="33"/>
      <c r="H27" s="34"/>
      <c r="K27" s="79" t="s">
        <v>173</v>
      </c>
    </row>
    <row r="28" ht="69.75" customHeight="1">
      <c r="A28" s="84" t="s">
        <v>174</v>
      </c>
      <c r="B28" s="92" t="s">
        <v>175</v>
      </c>
      <c r="C28" s="33"/>
      <c r="D28" s="33"/>
      <c r="E28" s="33"/>
      <c r="F28" s="33"/>
      <c r="G28" s="33"/>
      <c r="H28" s="34"/>
    </row>
    <row r="29" ht="15.75" customHeight="1">
      <c r="A29" s="87" t="s">
        <v>163</v>
      </c>
      <c r="B29" s="88">
        <v>20.0</v>
      </c>
      <c r="C29" s="33"/>
      <c r="D29" s="33"/>
      <c r="E29" s="33"/>
      <c r="F29" s="33"/>
      <c r="G29" s="33"/>
      <c r="H29" s="34"/>
    </row>
    <row r="30" ht="15.75" customHeight="1"/>
    <row r="31" ht="15.75" customHeight="1"/>
    <row r="32" ht="15.75" customHeight="1">
      <c r="A32" s="93" t="s">
        <v>176</v>
      </c>
      <c r="G32" s="91" t="s">
        <v>157</v>
      </c>
      <c r="H32" s="82">
        <f>B36</f>
        <v>10</v>
      </c>
    </row>
    <row r="33" ht="15.75" customHeight="1">
      <c r="A33" s="66" t="s">
        <v>177</v>
      </c>
      <c r="G33" s="66" t="s">
        <v>178</v>
      </c>
    </row>
    <row r="34">
      <c r="A34" s="84" t="s">
        <v>179</v>
      </c>
      <c r="B34" s="94" t="s">
        <v>180</v>
      </c>
      <c r="C34" s="33"/>
      <c r="D34" s="33"/>
      <c r="E34" s="33"/>
      <c r="F34" s="33"/>
      <c r="G34" s="33"/>
      <c r="H34" s="34"/>
      <c r="K34" s="79" t="s">
        <v>181</v>
      </c>
    </row>
    <row r="35">
      <c r="A35" s="84" t="s">
        <v>182</v>
      </c>
      <c r="B35" s="36" t="s">
        <v>183</v>
      </c>
      <c r="C35" s="33"/>
      <c r="D35" s="33"/>
      <c r="E35" s="33"/>
      <c r="F35" s="33"/>
      <c r="G35" s="33"/>
      <c r="H35" s="34"/>
    </row>
    <row r="36" ht="15.75" customHeight="1">
      <c r="A36" s="87" t="s">
        <v>163</v>
      </c>
      <c r="B36" s="88">
        <v>10.0</v>
      </c>
      <c r="C36" s="33"/>
      <c r="D36" s="33"/>
      <c r="E36" s="33"/>
      <c r="F36" s="33"/>
      <c r="G36" s="33"/>
      <c r="H36" s="34"/>
    </row>
    <row r="37" ht="15.75" customHeight="1"/>
    <row r="38" ht="15.75" customHeight="1"/>
    <row r="39" ht="15.75" customHeight="1">
      <c r="A39" s="89" t="s">
        <v>184</v>
      </c>
      <c r="G39" s="91" t="s">
        <v>157</v>
      </c>
      <c r="H39" s="82">
        <f>B41</f>
        <v>25</v>
      </c>
    </row>
    <row r="40" ht="15.75" customHeight="1">
      <c r="G40" s="83" t="s">
        <v>185</v>
      </c>
    </row>
    <row r="41" ht="15.75" customHeight="1">
      <c r="A41" s="87" t="s">
        <v>163</v>
      </c>
      <c r="B41" s="88">
        <v>25.0</v>
      </c>
      <c r="C41" s="33"/>
      <c r="D41" s="33"/>
      <c r="E41" s="33"/>
      <c r="F41" s="33"/>
      <c r="G41" s="33"/>
      <c r="H41" s="34"/>
    </row>
    <row r="42" ht="15.75" customHeight="1"/>
    <row r="43" ht="15.75" customHeight="1"/>
    <row r="44" ht="15.75" customHeight="1">
      <c r="A44" s="89" t="s">
        <v>186</v>
      </c>
      <c r="G44" s="91" t="s">
        <v>157</v>
      </c>
      <c r="H44" s="95">
        <f>B47</f>
        <v>15</v>
      </c>
    </row>
    <row r="45" ht="15.75" customHeight="1">
      <c r="G45" s="83" t="s">
        <v>158</v>
      </c>
    </row>
    <row r="46">
      <c r="A46" s="84" t="s">
        <v>187</v>
      </c>
      <c r="B46" s="36" t="s">
        <v>188</v>
      </c>
      <c r="C46" s="33"/>
      <c r="D46" s="33"/>
      <c r="E46" s="33"/>
      <c r="F46" s="33"/>
      <c r="G46" s="33"/>
      <c r="H46" s="34"/>
    </row>
    <row r="47" ht="15.75" customHeight="1">
      <c r="A47" s="87" t="s">
        <v>163</v>
      </c>
      <c r="B47" s="88">
        <v>15.0</v>
      </c>
      <c r="C47" s="33"/>
      <c r="D47" s="33"/>
      <c r="E47" s="33"/>
      <c r="F47" s="33"/>
      <c r="G47" s="33"/>
      <c r="H47" s="34"/>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hyperlinks>
    <hyperlink r:id="rId2" ref="B34"/>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189</v>
      </c>
    </row>
    <row r="3" ht="15.75" customHeight="1"/>
    <row r="4" ht="15.75" customHeight="1">
      <c r="B4" s="76" t="s">
        <v>1</v>
      </c>
      <c r="C4" s="96" t="str">
        <f>'Diseño'!C4</f>
        <v>768 - Algoritmos</v>
      </c>
      <c r="D4" s="33"/>
      <c r="E4" s="33"/>
      <c r="F4" s="33"/>
      <c r="G4" s="34"/>
    </row>
    <row r="5" ht="15.75" customHeight="1">
      <c r="B5" s="78" t="s">
        <v>79</v>
      </c>
      <c r="C5" s="77">
        <v>2.0</v>
      </c>
      <c r="D5" s="33"/>
      <c r="E5" s="33"/>
      <c r="F5" s="33"/>
      <c r="G5" s="34"/>
    </row>
    <row r="6" ht="15.75" customHeight="1">
      <c r="B6" s="97" t="s">
        <v>154</v>
      </c>
      <c r="C6" s="77">
        <f>H10+H21+H44+H68</f>
        <v>100</v>
      </c>
      <c r="D6" s="33"/>
      <c r="E6" s="33"/>
      <c r="F6" s="33"/>
      <c r="G6" s="34"/>
      <c r="I6" s="6"/>
    </row>
    <row r="7" ht="15.75" customHeight="1">
      <c r="B7" s="97" t="s">
        <v>190</v>
      </c>
      <c r="C7" s="77">
        <f>B49+B60</f>
        <v>0</v>
      </c>
      <c r="D7" s="33"/>
      <c r="E7" s="33"/>
      <c r="F7" s="33"/>
      <c r="G7" s="34"/>
    </row>
    <row r="8">
      <c r="B8" s="97" t="s">
        <v>191</v>
      </c>
      <c r="C8" s="98" t="str">
        <f>IF(H44&lt;=0, "❌ ERROR: La Actividad 1 debe tener un tiempo mayor a 0.", IF(H21&gt;60, "❌ ERROR: El 'Área de Conocimiento' no puede exceder los 60 min.", IF((H10+H21+H44+H68)&lt;100, "❌ ERROR: El tiempo total debe ser de al menos 100 min.", "✅ VALIDACIÓN CORRECTA")))</f>
        <v>✅ VALIDACIÓN CORRECTA</v>
      </c>
      <c r="D8" s="33"/>
      <c r="E8" s="33"/>
      <c r="F8" s="33"/>
      <c r="G8" s="34"/>
      <c r="I8" s="6"/>
      <c r="J8" s="6"/>
      <c r="K8" s="6"/>
    </row>
    <row r="9" ht="15.75" customHeight="1"/>
    <row r="10" ht="15.75" customHeight="1">
      <c r="A10" s="99" t="s">
        <v>192</v>
      </c>
      <c r="G10" s="91" t="s">
        <v>157</v>
      </c>
      <c r="H10" s="100">
        <f>B13</f>
        <v>5</v>
      </c>
    </row>
    <row r="11" ht="15.75" customHeight="1">
      <c r="G11" s="83" t="s">
        <v>193</v>
      </c>
    </row>
    <row r="12" ht="15.75" customHeight="1">
      <c r="A12" s="86" t="s">
        <v>194</v>
      </c>
      <c r="B12" s="88" t="s">
        <v>195</v>
      </c>
      <c r="C12" s="33"/>
      <c r="D12" s="33"/>
      <c r="E12" s="33"/>
      <c r="F12" s="33"/>
      <c r="G12" s="33"/>
      <c r="H12" s="34"/>
    </row>
    <row r="13" ht="15.75" customHeight="1">
      <c r="A13" s="87" t="s">
        <v>157</v>
      </c>
      <c r="B13" s="88">
        <v>5.0</v>
      </c>
      <c r="C13" s="33"/>
      <c r="D13" s="33"/>
      <c r="E13" s="33"/>
      <c r="F13" s="33"/>
      <c r="G13" s="33"/>
      <c r="H13" s="34"/>
    </row>
    <row r="14" ht="15.75" customHeight="1">
      <c r="A14" s="101" t="s">
        <v>196</v>
      </c>
      <c r="B14" s="33"/>
      <c r="C14" s="33"/>
      <c r="D14" s="33"/>
      <c r="E14" s="33"/>
      <c r="F14" s="33"/>
      <c r="G14" s="33"/>
      <c r="H14" s="34"/>
    </row>
    <row r="15" ht="15.75" customHeight="1">
      <c r="A15" s="102" t="s">
        <v>197</v>
      </c>
      <c r="B15" s="59"/>
      <c r="C15" s="59"/>
      <c r="D15" s="59"/>
      <c r="E15" s="59"/>
      <c r="F15" s="59"/>
      <c r="G15" s="59"/>
      <c r="H15" s="60"/>
    </row>
    <row r="16" ht="15.75" customHeight="1">
      <c r="A16" s="61"/>
      <c r="B16" s="62"/>
      <c r="C16" s="62"/>
      <c r="D16" s="62"/>
      <c r="E16" s="62"/>
      <c r="F16" s="62"/>
      <c r="G16" s="62"/>
      <c r="H16" s="63"/>
    </row>
    <row r="17" ht="15.75" customHeight="1">
      <c r="A17" s="101" t="s">
        <v>198</v>
      </c>
      <c r="B17" s="33"/>
      <c r="C17" s="33"/>
      <c r="D17" s="33"/>
      <c r="E17" s="33"/>
      <c r="F17" s="33"/>
      <c r="G17" s="33"/>
      <c r="H17" s="34"/>
    </row>
    <row r="18" ht="15.75" customHeight="1">
      <c r="A18" s="102" t="s">
        <v>199</v>
      </c>
      <c r="B18" s="59"/>
      <c r="C18" s="59"/>
      <c r="D18" s="59"/>
      <c r="E18" s="59"/>
      <c r="F18" s="59"/>
      <c r="G18" s="59"/>
      <c r="H18" s="60"/>
    </row>
    <row r="19" ht="15.75" customHeight="1">
      <c r="A19" s="61"/>
      <c r="B19" s="62"/>
      <c r="C19" s="62"/>
      <c r="D19" s="62"/>
      <c r="E19" s="62"/>
      <c r="F19" s="62"/>
      <c r="G19" s="62"/>
      <c r="H19" s="63"/>
    </row>
    <row r="20" ht="15.75" customHeight="1"/>
    <row r="21" ht="15.75" customHeight="1">
      <c r="A21" s="99" t="s">
        <v>200</v>
      </c>
      <c r="G21" s="91" t="s">
        <v>157</v>
      </c>
      <c r="H21" s="103">
        <f>SUM(D39:H42)</f>
        <v>60</v>
      </c>
      <c r="I21" s="6"/>
    </row>
    <row r="22" ht="15.75" customHeight="1">
      <c r="G22" s="83" t="s">
        <v>201</v>
      </c>
    </row>
    <row r="23" ht="15.75" customHeight="1">
      <c r="A23" s="86" t="s">
        <v>202</v>
      </c>
      <c r="B23" s="88" t="s">
        <v>80</v>
      </c>
      <c r="C23" s="33"/>
      <c r="D23" s="33"/>
      <c r="E23" s="33"/>
      <c r="F23" s="33"/>
      <c r="G23" s="33"/>
      <c r="H23" s="34"/>
    </row>
    <row r="24" ht="15.75" customHeight="1">
      <c r="A24" s="86" t="s">
        <v>202</v>
      </c>
      <c r="B24" s="77"/>
      <c r="C24" s="33"/>
      <c r="D24" s="33"/>
      <c r="E24" s="33"/>
      <c r="F24" s="33"/>
      <c r="G24" s="33"/>
      <c r="H24" s="34"/>
    </row>
    <row r="25" ht="15.75" customHeight="1"/>
    <row r="26" ht="15.75" customHeight="1">
      <c r="A26" s="104" t="s">
        <v>203</v>
      </c>
      <c r="B26" s="6"/>
      <c r="C26" s="6"/>
      <c r="D26" s="6"/>
    </row>
    <row r="27" ht="15.75" customHeight="1">
      <c r="A27" s="105" t="s">
        <v>73</v>
      </c>
      <c r="B27" s="106" t="s">
        <v>204</v>
      </c>
      <c r="C27" s="34"/>
      <c r="D27" s="106" t="s">
        <v>205</v>
      </c>
      <c r="E27" s="34"/>
      <c r="F27" s="106" t="s">
        <v>206</v>
      </c>
      <c r="G27" s="33"/>
      <c r="H27" s="34"/>
    </row>
    <row r="28" ht="15.75" customHeight="1">
      <c r="A28" s="78">
        <v>1.0</v>
      </c>
      <c r="B28" s="77" t="str">
        <f>IFERROR(__xludf.DUMMYFUNCTION("FILTER('Diseño'!D:D,'Diseño'!H:H=$C$5)"),"Unidad 1 - La computadora")</f>
        <v>Unidad 1 - La computadora</v>
      </c>
      <c r="C28" s="34"/>
      <c r="D28" s="77" t="str">
        <f>IFERROR(__xludf.DUMMYFUNCTION("FILTER('Diseño'!E:E,'Diseño'!H:H=$C$5)"),"La computadora")</f>
        <v>La computadora</v>
      </c>
      <c r="E28" s="34"/>
      <c r="F28" s="77" t="str">
        <f>IFERROR(__xludf.DUMMYFUNCTION("FILTER('Diseño'!F:F,'Diseño'!H:H=$C$5)"),"Definición y evolución de la computadora")</f>
        <v>Definición y evolución de la computadora</v>
      </c>
      <c r="G28" s="33"/>
      <c r="H28" s="34"/>
    </row>
    <row r="29" ht="15.75" customHeight="1">
      <c r="A29" s="78">
        <v>2.0</v>
      </c>
      <c r="B29" s="77" t="str">
        <f>IFERROR(__xludf.DUMMYFUNCTION("""COMPUTED_VALUE"""),"Unidad 2 - Arquitectura y organización VNA")</f>
        <v>Unidad 2 - Arquitectura y organización VNA</v>
      </c>
      <c r="C29" s="34"/>
      <c r="D29" s="77" t="str">
        <f>IFERROR(__xludf.DUMMYFUNCTION("""COMPUTED_VALUE"""),"Hardware de procesamiento")</f>
        <v>Hardware de procesamiento</v>
      </c>
      <c r="E29" s="34"/>
      <c r="F29" s="77" t="str">
        <f>IFERROR(__xludf.DUMMYFUNCTION("""COMPUTED_VALUE"""),"Ciclo fetch - decode - execute")</f>
        <v>Ciclo fetch - decode - execute</v>
      </c>
      <c r="G29" s="33"/>
      <c r="H29" s="34"/>
    </row>
    <row r="30" ht="15.75" customHeight="1">
      <c r="A30" s="78">
        <v>3.0</v>
      </c>
      <c r="B30" s="77" t="str">
        <f>IFERROR(__xludf.DUMMYFUNCTION("""COMPUTED_VALUE"""),"Unidad 2 - Arquitectura y organización VNA")</f>
        <v>Unidad 2 - Arquitectura y organización VNA</v>
      </c>
      <c r="C30" s="34"/>
      <c r="D30" s="77" t="str">
        <f>IFERROR(__xludf.DUMMYFUNCTION("""COMPUTED_VALUE"""),"Hardware de procesamiento
")</f>
        <v>Hardware de procesamiento
</v>
      </c>
      <c r="E30" s="34"/>
      <c r="F30" s="77" t="str">
        <f>IFERROR(__xludf.DUMMYFUNCTION("""COMPUTED_VALUE"""),"Componentes de la unidad de control y ALU
")</f>
        <v>Componentes de la unidad de control y ALU
</v>
      </c>
      <c r="G30" s="33"/>
      <c r="H30" s="34"/>
    </row>
    <row r="31" ht="15.75" customHeight="1">
      <c r="A31" s="78">
        <v>4.0</v>
      </c>
      <c r="B31" s="77"/>
      <c r="C31" s="34"/>
      <c r="D31" s="77"/>
      <c r="E31" s="34"/>
      <c r="F31" s="77"/>
      <c r="G31" s="33"/>
      <c r="H31" s="34"/>
    </row>
    <row r="32" ht="15.75" customHeight="1">
      <c r="A32" s="78">
        <v>5.0</v>
      </c>
      <c r="B32" s="77"/>
      <c r="C32" s="34"/>
      <c r="D32" s="77"/>
      <c r="E32" s="34"/>
      <c r="F32" s="77"/>
      <c r="G32" s="33"/>
      <c r="H32" s="34"/>
    </row>
    <row r="33" ht="15.75" customHeight="1">
      <c r="A33" s="78">
        <v>6.0</v>
      </c>
      <c r="B33" s="77"/>
      <c r="C33" s="34"/>
      <c r="D33" s="77"/>
      <c r="E33" s="34"/>
      <c r="F33" s="77"/>
      <c r="G33" s="33"/>
      <c r="H33" s="34"/>
    </row>
    <row r="34" ht="15.75" customHeight="1">
      <c r="A34" s="78">
        <v>7.0</v>
      </c>
      <c r="B34" s="77"/>
      <c r="C34" s="34"/>
      <c r="D34" s="77"/>
      <c r="E34" s="34"/>
      <c r="F34" s="77"/>
      <c r="G34" s="33"/>
      <c r="H34" s="34"/>
    </row>
    <row r="35" ht="15.75" customHeight="1"/>
    <row r="36" ht="15.75" customHeight="1">
      <c r="A36" s="104" t="s">
        <v>207</v>
      </c>
    </row>
    <row r="37" ht="15.75" customHeight="1">
      <c r="A37" s="6"/>
      <c r="B37" s="6"/>
      <c r="C37" s="6"/>
      <c r="D37" s="6"/>
      <c r="E37" s="6"/>
      <c r="F37" s="6"/>
      <c r="G37" s="6"/>
      <c r="H37" s="6"/>
    </row>
    <row r="38">
      <c r="A38" s="105" t="s">
        <v>208</v>
      </c>
      <c r="B38" s="105" t="s">
        <v>29</v>
      </c>
      <c r="C38" s="107" t="s">
        <v>209</v>
      </c>
      <c r="D38" s="108" t="s">
        <v>210</v>
      </c>
      <c r="E38" s="33"/>
      <c r="F38" s="33"/>
      <c r="G38" s="33"/>
      <c r="H38" s="34"/>
      <c r="I38" s="109" t="s">
        <v>18</v>
      </c>
    </row>
    <row r="39" ht="15.75" customHeight="1">
      <c r="A39" s="78" t="s">
        <v>211</v>
      </c>
      <c r="B39" s="78" t="s">
        <v>212</v>
      </c>
      <c r="C39" s="78">
        <v>30.0</v>
      </c>
      <c r="D39" s="88">
        <v>25.0</v>
      </c>
      <c r="E39" s="33"/>
      <c r="F39" s="33"/>
      <c r="G39" s="33"/>
      <c r="H39" s="34"/>
      <c r="I39" s="78" t="str">
        <f t="shared" ref="I39:I42" si="1">IF(D39&lt;=C39,"Correcto", "Corregir")</f>
        <v>Correcto</v>
      </c>
    </row>
    <row r="40" ht="15.75" customHeight="1">
      <c r="A40" s="78" t="s">
        <v>213</v>
      </c>
      <c r="B40" s="78" t="s">
        <v>212</v>
      </c>
      <c r="C40" s="78">
        <v>6.0</v>
      </c>
      <c r="D40" s="88">
        <v>5.0</v>
      </c>
      <c r="E40" s="33"/>
      <c r="F40" s="33"/>
      <c r="G40" s="33"/>
      <c r="H40" s="34"/>
      <c r="I40" s="78" t="str">
        <f t="shared" si="1"/>
        <v>Correcto</v>
      </c>
    </row>
    <row r="41" ht="15.75" customHeight="1">
      <c r="A41" s="78" t="s">
        <v>214</v>
      </c>
      <c r="B41" s="78" t="s">
        <v>215</v>
      </c>
      <c r="C41" s="78">
        <v>10.0</v>
      </c>
      <c r="D41" s="88">
        <v>5.0</v>
      </c>
      <c r="E41" s="33"/>
      <c r="F41" s="33"/>
      <c r="G41" s="33"/>
      <c r="H41" s="34"/>
      <c r="I41" s="78" t="str">
        <f t="shared" si="1"/>
        <v>Correcto</v>
      </c>
    </row>
    <row r="42" ht="15.75" customHeight="1">
      <c r="A42" s="78" t="s">
        <v>216</v>
      </c>
      <c r="B42" s="78" t="s">
        <v>212</v>
      </c>
      <c r="C42" s="78">
        <v>30.0</v>
      </c>
      <c r="D42" s="88">
        <v>25.0</v>
      </c>
      <c r="E42" s="33"/>
      <c r="F42" s="33"/>
      <c r="G42" s="33"/>
      <c r="H42" s="34"/>
      <c r="I42" s="78" t="str">
        <f t="shared" si="1"/>
        <v>Correcto</v>
      </c>
    </row>
    <row r="43" ht="15.75" customHeight="1"/>
    <row r="44" ht="15.75" customHeight="1">
      <c r="A44" s="99" t="s">
        <v>217</v>
      </c>
      <c r="G44" s="91" t="s">
        <v>157</v>
      </c>
      <c r="H44" s="103">
        <f>B50</f>
        <v>25</v>
      </c>
    </row>
    <row r="45" ht="15.75" customHeight="1">
      <c r="G45" s="83" t="s">
        <v>218</v>
      </c>
    </row>
    <row r="46" ht="15.75" customHeight="1">
      <c r="A46" s="83" t="s">
        <v>219</v>
      </c>
    </row>
    <row r="47">
      <c r="A47" s="86" t="s">
        <v>220</v>
      </c>
      <c r="B47" s="88" t="s">
        <v>80</v>
      </c>
      <c r="C47" s="33"/>
      <c r="D47" s="33"/>
      <c r="E47" s="33"/>
      <c r="F47" s="33"/>
      <c r="G47" s="33"/>
      <c r="H47" s="34"/>
    </row>
    <row r="48" ht="15.75" customHeight="1">
      <c r="A48" s="86" t="s">
        <v>8</v>
      </c>
      <c r="B48" s="88" t="s">
        <v>221</v>
      </c>
      <c r="C48" s="33"/>
      <c r="D48" s="33"/>
      <c r="E48" s="33"/>
      <c r="F48" s="33"/>
      <c r="G48" s="33"/>
      <c r="H48" s="34"/>
    </row>
    <row r="49" ht="15.75" customHeight="1">
      <c r="A49" s="86" t="s">
        <v>190</v>
      </c>
      <c r="B49" s="110">
        <v>0.0</v>
      </c>
      <c r="C49" s="33"/>
      <c r="D49" s="33"/>
      <c r="E49" s="33"/>
      <c r="F49" s="33"/>
      <c r="G49" s="33"/>
      <c r="H49" s="34"/>
    </row>
    <row r="50" ht="15.75" customHeight="1">
      <c r="A50" s="86" t="s">
        <v>157</v>
      </c>
      <c r="B50" s="88">
        <v>25.0</v>
      </c>
      <c r="C50" s="33"/>
      <c r="D50" s="33"/>
      <c r="E50" s="33"/>
      <c r="F50" s="33"/>
      <c r="G50" s="33"/>
      <c r="H50" s="34"/>
    </row>
    <row r="51" ht="15.75" customHeight="1">
      <c r="A51" s="111" t="s">
        <v>222</v>
      </c>
      <c r="B51" s="6"/>
      <c r="C51" s="6"/>
      <c r="D51" s="6"/>
      <c r="E51" s="6"/>
      <c r="F51" s="6"/>
      <c r="G51" s="6"/>
      <c r="H51" s="6"/>
    </row>
    <row r="52" ht="15.75" customHeight="1">
      <c r="A52" s="101" t="s">
        <v>223</v>
      </c>
      <c r="B52" s="33"/>
      <c r="C52" s="33"/>
      <c r="D52" s="33"/>
      <c r="E52" s="33"/>
      <c r="F52" s="33"/>
      <c r="G52" s="33"/>
      <c r="H52" s="34"/>
    </row>
    <row r="53" ht="15.75" customHeight="1">
      <c r="A53" s="112"/>
      <c r="B53" s="59"/>
      <c r="C53" s="59"/>
      <c r="D53" s="59"/>
      <c r="E53" s="59"/>
      <c r="F53" s="59"/>
      <c r="G53" s="59"/>
      <c r="H53" s="60"/>
    </row>
    <row r="54" ht="15.75" customHeight="1">
      <c r="A54" s="113"/>
      <c r="H54" s="114"/>
    </row>
    <row r="55" ht="15.75" customHeight="1">
      <c r="A55" s="61"/>
      <c r="B55" s="62"/>
      <c r="C55" s="62"/>
      <c r="D55" s="62"/>
      <c r="E55" s="62"/>
      <c r="F55" s="62"/>
      <c r="G55" s="62"/>
      <c r="H55" s="63"/>
    </row>
    <row r="56" ht="15.75" customHeight="1"/>
    <row r="57" ht="15.75" customHeight="1">
      <c r="A57" s="83" t="s">
        <v>224</v>
      </c>
    </row>
    <row r="58">
      <c r="A58" s="86" t="s">
        <v>220</v>
      </c>
      <c r="B58" s="77"/>
      <c r="C58" s="33"/>
      <c r="D58" s="33"/>
      <c r="E58" s="33"/>
      <c r="F58" s="33"/>
      <c r="G58" s="33"/>
      <c r="H58" s="34"/>
    </row>
    <row r="59" ht="15.75" customHeight="1">
      <c r="A59" s="86" t="s">
        <v>8</v>
      </c>
      <c r="B59" s="77"/>
      <c r="C59" s="33"/>
      <c r="D59" s="33"/>
      <c r="E59" s="33"/>
      <c r="F59" s="33"/>
      <c r="G59" s="33"/>
      <c r="H59" s="34"/>
    </row>
    <row r="60" ht="15.75" customHeight="1">
      <c r="A60" s="86" t="s">
        <v>190</v>
      </c>
      <c r="B60" s="115"/>
      <c r="C60" s="33"/>
      <c r="D60" s="33"/>
      <c r="E60" s="33"/>
      <c r="F60" s="33"/>
      <c r="G60" s="33"/>
      <c r="H60" s="34"/>
    </row>
    <row r="61" ht="15.75" customHeight="1">
      <c r="A61" s="86" t="s">
        <v>157</v>
      </c>
      <c r="B61" s="115"/>
      <c r="C61" s="33"/>
      <c r="D61" s="33"/>
      <c r="E61" s="33"/>
      <c r="F61" s="33"/>
      <c r="G61" s="33"/>
      <c r="H61" s="34"/>
    </row>
    <row r="62" ht="15.75" customHeight="1">
      <c r="A62" s="116" t="s">
        <v>225</v>
      </c>
      <c r="B62" s="6"/>
      <c r="C62" s="6"/>
      <c r="D62" s="6"/>
      <c r="E62" s="6"/>
      <c r="F62" s="6"/>
      <c r="G62" s="6"/>
      <c r="H62" s="6"/>
    </row>
    <row r="63" ht="15.75" customHeight="1">
      <c r="A63" s="101" t="s">
        <v>223</v>
      </c>
      <c r="B63" s="33"/>
      <c r="C63" s="33"/>
      <c r="D63" s="33"/>
      <c r="E63" s="33"/>
      <c r="F63" s="33"/>
      <c r="G63" s="33"/>
      <c r="H63" s="34"/>
    </row>
    <row r="64" ht="15.75" customHeight="1">
      <c r="A64" s="112"/>
      <c r="B64" s="59"/>
      <c r="C64" s="59"/>
      <c r="D64" s="59"/>
      <c r="E64" s="59"/>
      <c r="F64" s="59"/>
      <c r="G64" s="59"/>
      <c r="H64" s="60"/>
    </row>
    <row r="65" ht="15.75" customHeight="1">
      <c r="A65" s="113"/>
      <c r="H65" s="114"/>
    </row>
    <row r="66" ht="15.75" customHeight="1">
      <c r="A66" s="61"/>
      <c r="B66" s="62"/>
      <c r="C66" s="62"/>
      <c r="D66" s="62"/>
      <c r="E66" s="62"/>
      <c r="F66" s="62"/>
      <c r="G66" s="62"/>
      <c r="H66" s="63"/>
    </row>
    <row r="67" ht="15.75" customHeight="1"/>
    <row r="68" ht="15.75" customHeight="1">
      <c r="A68" s="99" t="s">
        <v>226</v>
      </c>
      <c r="G68" s="91" t="s">
        <v>157</v>
      </c>
      <c r="H68" s="103">
        <f>B70</f>
        <v>10</v>
      </c>
    </row>
    <row r="69" ht="15.75" customHeight="1">
      <c r="G69" s="83" t="s">
        <v>227</v>
      </c>
    </row>
    <row r="70" ht="15.75" customHeight="1">
      <c r="A70" s="86" t="s">
        <v>157</v>
      </c>
      <c r="B70" s="110">
        <v>10.0</v>
      </c>
      <c r="C70" s="33"/>
      <c r="D70" s="33"/>
      <c r="E70" s="33"/>
      <c r="F70" s="33"/>
      <c r="G70" s="33"/>
      <c r="H70" s="34"/>
    </row>
    <row r="71" ht="15.75" customHeight="1">
      <c r="A71" s="108" t="s">
        <v>228</v>
      </c>
      <c r="B71" s="33"/>
      <c r="C71" s="33"/>
      <c r="D71" s="33"/>
      <c r="E71" s="33"/>
      <c r="F71" s="33"/>
      <c r="G71" s="33"/>
      <c r="H71" s="34"/>
    </row>
    <row r="72" ht="15.75" customHeight="1">
      <c r="A72" s="102" t="s">
        <v>229</v>
      </c>
      <c r="B72" s="59"/>
      <c r="C72" s="59"/>
      <c r="D72" s="59"/>
      <c r="E72" s="59"/>
      <c r="F72" s="59"/>
      <c r="G72" s="59"/>
      <c r="H72" s="60"/>
    </row>
    <row r="73" ht="15.75" customHeight="1">
      <c r="A73" s="61"/>
      <c r="B73" s="62"/>
      <c r="C73" s="62"/>
      <c r="D73" s="62"/>
      <c r="E73" s="62"/>
      <c r="F73" s="62"/>
      <c r="G73" s="62"/>
      <c r="H73" s="63"/>
    </row>
    <row r="74" ht="15.75" customHeight="1">
      <c r="A74" s="83"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189</v>
      </c>
    </row>
    <row r="3" ht="15.75" customHeight="1"/>
    <row r="4" ht="15.75" customHeight="1">
      <c r="B4" s="76" t="s">
        <v>1</v>
      </c>
      <c r="C4" s="96" t="str">
        <f>'Diseño'!C4</f>
        <v>768 - Algoritmos</v>
      </c>
      <c r="D4" s="33"/>
      <c r="E4" s="33"/>
      <c r="F4" s="33"/>
      <c r="G4" s="34"/>
    </row>
    <row r="5" ht="15.75" customHeight="1">
      <c r="B5" s="78" t="s">
        <v>79</v>
      </c>
      <c r="C5" s="77">
        <v>3.0</v>
      </c>
      <c r="D5" s="33"/>
      <c r="E5" s="33"/>
      <c r="F5" s="33"/>
      <c r="G5" s="34"/>
    </row>
    <row r="6" ht="15.75" customHeight="1">
      <c r="B6" s="97" t="s">
        <v>154</v>
      </c>
      <c r="C6" s="77">
        <f>H10+H21+H44+H68</f>
        <v>100</v>
      </c>
      <c r="D6" s="33"/>
      <c r="E6" s="33"/>
      <c r="F6" s="33"/>
      <c r="G6" s="34"/>
      <c r="I6" s="6"/>
    </row>
    <row r="7" ht="15.75" customHeight="1">
      <c r="B7" s="97" t="s">
        <v>190</v>
      </c>
      <c r="C7" s="77">
        <f>B49+B60</f>
        <v>2</v>
      </c>
      <c r="D7" s="33"/>
      <c r="E7" s="33"/>
      <c r="F7" s="33"/>
      <c r="G7" s="34"/>
    </row>
    <row r="8" ht="15.75" customHeight="1">
      <c r="B8" s="97" t="s">
        <v>191</v>
      </c>
      <c r="C8" s="98" t="str">
        <f>IF(H44&lt;=0, "❌ ERROR: La Actividad 1 debe tener un tiempo mayor a 0.", IF(H21&gt;60, "❌ ERROR: El 'Área de Conocimiento' no puede exceder los 60 min.", IF((H10+H21+H44+H68)&lt;100, "❌ ERROR: El tiempo total debe ser de al menos 100 min.", "✅ VALIDACIÓN CORRECTA")))</f>
        <v>✅ VALIDACIÓN CORRECTA</v>
      </c>
      <c r="D8" s="33"/>
      <c r="E8" s="33"/>
      <c r="F8" s="33"/>
      <c r="G8" s="34"/>
      <c r="I8" s="6"/>
      <c r="J8" s="6"/>
      <c r="K8" s="6"/>
    </row>
    <row r="9" ht="15.75" customHeight="1"/>
    <row r="10" ht="15.75" customHeight="1">
      <c r="A10" s="99" t="s">
        <v>192</v>
      </c>
      <c r="G10" s="91" t="s">
        <v>157</v>
      </c>
      <c r="H10" s="100">
        <f>B13</f>
        <v>5</v>
      </c>
    </row>
    <row r="11" ht="15.75" customHeight="1">
      <c r="G11" s="83" t="s">
        <v>193</v>
      </c>
    </row>
    <row r="12" ht="15.75" customHeight="1">
      <c r="A12" s="86" t="s">
        <v>194</v>
      </c>
      <c r="B12" s="88" t="s">
        <v>231</v>
      </c>
      <c r="C12" s="33"/>
      <c r="D12" s="33"/>
      <c r="E12" s="33"/>
      <c r="F12" s="33"/>
      <c r="G12" s="33"/>
      <c r="H12" s="34"/>
    </row>
    <row r="13" ht="15.75" customHeight="1">
      <c r="A13" s="87" t="s">
        <v>157</v>
      </c>
      <c r="B13" s="88">
        <v>5.0</v>
      </c>
      <c r="C13" s="33"/>
      <c r="D13" s="33"/>
      <c r="E13" s="33"/>
      <c r="F13" s="33"/>
      <c r="G13" s="33"/>
      <c r="H13" s="34"/>
    </row>
    <row r="14" ht="15.75" customHeight="1">
      <c r="A14" s="101" t="s">
        <v>196</v>
      </c>
      <c r="B14" s="33"/>
      <c r="C14" s="33"/>
      <c r="D14" s="33"/>
      <c r="E14" s="33"/>
      <c r="F14" s="33"/>
      <c r="G14" s="33"/>
      <c r="H14" s="34"/>
    </row>
    <row r="15" ht="15.75" customHeight="1">
      <c r="A15" s="102" t="s">
        <v>232</v>
      </c>
      <c r="B15" s="59"/>
      <c r="C15" s="59"/>
      <c r="D15" s="59"/>
      <c r="E15" s="59"/>
      <c r="F15" s="59"/>
      <c r="G15" s="59"/>
      <c r="H15" s="60"/>
    </row>
    <row r="16" ht="15.75" customHeight="1">
      <c r="A16" s="61"/>
      <c r="B16" s="62"/>
      <c r="C16" s="62"/>
      <c r="D16" s="62"/>
      <c r="E16" s="62"/>
      <c r="F16" s="62"/>
      <c r="G16" s="62"/>
      <c r="H16" s="63"/>
    </row>
    <row r="17" ht="15.75" customHeight="1">
      <c r="A17" s="101" t="s">
        <v>198</v>
      </c>
      <c r="B17" s="33"/>
      <c r="C17" s="33"/>
      <c r="D17" s="33"/>
      <c r="E17" s="33"/>
      <c r="F17" s="33"/>
      <c r="G17" s="33"/>
      <c r="H17" s="34"/>
    </row>
    <row r="18" ht="15.75" customHeight="1">
      <c r="A18" s="102" t="s">
        <v>233</v>
      </c>
      <c r="B18" s="59"/>
      <c r="C18" s="59"/>
      <c r="D18" s="59"/>
      <c r="E18" s="59"/>
      <c r="F18" s="59"/>
      <c r="G18" s="59"/>
      <c r="H18" s="60"/>
    </row>
    <row r="19" ht="15.75" customHeight="1">
      <c r="A19" s="61"/>
      <c r="B19" s="62"/>
      <c r="C19" s="62"/>
      <c r="D19" s="62"/>
      <c r="E19" s="62"/>
      <c r="F19" s="62"/>
      <c r="G19" s="62"/>
      <c r="H19" s="63"/>
    </row>
    <row r="20" ht="15.75" customHeight="1"/>
    <row r="21" ht="15.75" customHeight="1">
      <c r="A21" s="99" t="s">
        <v>200</v>
      </c>
      <c r="G21" s="91" t="s">
        <v>157</v>
      </c>
      <c r="H21" s="103">
        <f>SUM(D39:H42)</f>
        <v>60</v>
      </c>
      <c r="I21" s="6"/>
    </row>
    <row r="22" ht="15.75" customHeight="1">
      <c r="G22" s="83" t="s">
        <v>201</v>
      </c>
    </row>
    <row r="23" ht="15.75" customHeight="1">
      <c r="A23" s="86" t="s">
        <v>202</v>
      </c>
      <c r="B23" s="88" t="s">
        <v>88</v>
      </c>
      <c r="C23" s="33"/>
      <c r="D23" s="33"/>
      <c r="E23" s="33"/>
      <c r="F23" s="33"/>
      <c r="G23" s="33"/>
      <c r="H23" s="34"/>
    </row>
    <row r="24" ht="15.75" customHeight="1">
      <c r="A24" s="86" t="s">
        <v>202</v>
      </c>
      <c r="B24" s="77"/>
      <c r="C24" s="33"/>
      <c r="D24" s="33"/>
      <c r="E24" s="33"/>
      <c r="F24" s="33"/>
      <c r="G24" s="33"/>
      <c r="H24" s="34"/>
    </row>
    <row r="25" ht="15.75" customHeight="1"/>
    <row r="26" ht="15.75" customHeight="1">
      <c r="A26" s="104" t="s">
        <v>203</v>
      </c>
      <c r="B26" s="6"/>
      <c r="C26" s="6"/>
      <c r="D26" s="6"/>
    </row>
    <row r="27" ht="15.75" customHeight="1">
      <c r="A27" s="105" t="s">
        <v>73</v>
      </c>
      <c r="B27" s="106" t="s">
        <v>204</v>
      </c>
      <c r="C27" s="34"/>
      <c r="D27" s="106" t="s">
        <v>205</v>
      </c>
      <c r="E27" s="34"/>
      <c r="F27" s="106" t="s">
        <v>206</v>
      </c>
      <c r="G27" s="33"/>
      <c r="H27" s="34"/>
    </row>
    <row r="28" ht="15.75" customHeight="1">
      <c r="A28" s="78">
        <v>1.0</v>
      </c>
      <c r="B28" s="77" t="str">
        <f>IFERROR(__xludf.DUMMYFUNCTION("FILTER('Diseño'!D:D,'Diseño'!H:H=$C$5)"),"Unidad 2 - Arquitectura y organización VNA")</f>
        <v>Unidad 2 - Arquitectura y organización VNA</v>
      </c>
      <c r="C28" s="34"/>
      <c r="D28" s="77" t="str">
        <f>IFERROR(__xludf.DUMMYFUNCTION("FILTER('Diseño'!E:E,'Diseño'!H:H=$C$5)"),"Hardware de procesamiento")</f>
        <v>Hardware de procesamiento</v>
      </c>
      <c r="E28" s="34"/>
      <c r="F28" s="77" t="str">
        <f>IFERROR(__xludf.DUMMYFUNCTION("FILTER('Diseño'!F:F,'Diseño'!H:H=$C$5)"),"Tecnologías RISC/CISC")</f>
        <v>Tecnologías RISC/CISC</v>
      </c>
      <c r="G28" s="33"/>
      <c r="H28" s="34"/>
    </row>
    <row r="29" ht="15.75" customHeight="1">
      <c r="A29" s="78">
        <v>2.0</v>
      </c>
      <c r="B29" s="77" t="str">
        <f>IFERROR(__xludf.DUMMYFUNCTION("""COMPUTED_VALUE"""),"Unidad 2 - Arquitectura y organización VNA")</f>
        <v>Unidad 2 - Arquitectura y organización VNA</v>
      </c>
      <c r="C29" s="34"/>
      <c r="D29" s="77" t="str">
        <f>IFERROR(__xludf.DUMMYFUNCTION("""COMPUTED_VALUE"""),"Hardware de almacenamiento")</f>
        <v>Hardware de almacenamiento</v>
      </c>
      <c r="E29" s="34"/>
      <c r="F29" s="77" t="str">
        <f>IFERROR(__xludf.DUMMYFUNCTION("""COMPUTED_VALUE"""),"Memoria principal y secundaria")</f>
        <v>Memoria principal y secundaria</v>
      </c>
      <c r="G29" s="33"/>
      <c r="H29" s="34"/>
    </row>
    <row r="30" ht="15.75" customHeight="1">
      <c r="A30" s="78">
        <v>3.0</v>
      </c>
      <c r="B30" s="77" t="str">
        <f>IFERROR(__xludf.DUMMYFUNCTION("""COMPUTED_VALUE"""),"Unidad 2 - Arquitectura y organización VNA")</f>
        <v>Unidad 2 - Arquitectura y organización VNA</v>
      </c>
      <c r="C30" s="34"/>
      <c r="D30" s="77" t="str">
        <f>IFERROR(__xludf.DUMMYFUNCTION("""COMPUTED_VALUE"""),"Hardware de comunicación")</f>
        <v>Hardware de comunicación</v>
      </c>
      <c r="E30" s="34"/>
      <c r="F30" s="77" t="str">
        <f>IFERROR(__xludf.DUMMYFUNCTION("""COMPUTED_VALUE"""),"Tarjetas de red, routers, switches, APs, HW de seguridad (firewall y otros)")</f>
        <v>Tarjetas de red, routers, switches, APs, HW de seguridad (firewall y otros)</v>
      </c>
      <c r="G30" s="33"/>
      <c r="H30" s="34"/>
    </row>
    <row r="31" ht="15.75" customHeight="1">
      <c r="A31" s="78">
        <v>4.0</v>
      </c>
      <c r="B31" s="77" t="str">
        <f>IFERROR(__xludf.DUMMYFUNCTION("""COMPUTED_VALUE"""),"Unidad 2 - Arquitectura y organización VNA")</f>
        <v>Unidad 2 - Arquitectura y organización VNA</v>
      </c>
      <c r="C31" s="34"/>
      <c r="D31" s="77" t="str">
        <f>IFERROR(__xludf.DUMMYFUNCTION("""COMPUTED_VALUE"""),"Buses")</f>
        <v>Buses</v>
      </c>
      <c r="E31" s="34"/>
      <c r="F31" s="77" t="str">
        <f>IFERROR(__xludf.DUMMYFUNCTION("""COMPUTED_VALUE"""),"Bus de control, bus de datos y bus de dirección")</f>
        <v>Bus de control, bus de datos y bus de dirección</v>
      </c>
      <c r="G31" s="33"/>
      <c r="H31" s="34"/>
    </row>
    <row r="32" ht="15.75" customHeight="1">
      <c r="A32" s="78">
        <v>5.0</v>
      </c>
      <c r="B32" s="77"/>
      <c r="C32" s="34"/>
      <c r="D32" s="77"/>
      <c r="E32" s="34"/>
      <c r="F32" s="77"/>
      <c r="G32" s="33"/>
      <c r="H32" s="34"/>
    </row>
    <row r="33" ht="15.75" customHeight="1">
      <c r="A33" s="78">
        <v>6.0</v>
      </c>
      <c r="B33" s="77"/>
      <c r="C33" s="34"/>
      <c r="D33" s="77"/>
      <c r="E33" s="34"/>
      <c r="F33" s="77"/>
      <c r="G33" s="33"/>
      <c r="H33" s="34"/>
    </row>
    <row r="34" ht="15.75" customHeight="1">
      <c r="A34" s="78">
        <v>7.0</v>
      </c>
      <c r="B34" s="77"/>
      <c r="C34" s="34"/>
      <c r="D34" s="77"/>
      <c r="E34" s="34"/>
      <c r="F34" s="77"/>
      <c r="G34" s="33"/>
      <c r="H34" s="34"/>
    </row>
    <row r="35" ht="15.75" customHeight="1"/>
    <row r="36" ht="15.75" customHeight="1">
      <c r="A36" s="104" t="s">
        <v>207</v>
      </c>
    </row>
    <row r="37" ht="15.75" customHeight="1">
      <c r="A37" s="6"/>
      <c r="B37" s="6"/>
      <c r="C37" s="6"/>
      <c r="D37" s="6"/>
      <c r="E37" s="6"/>
      <c r="F37" s="6"/>
      <c r="G37" s="6"/>
      <c r="H37" s="6"/>
    </row>
    <row r="38">
      <c r="A38" s="105" t="s">
        <v>208</v>
      </c>
      <c r="B38" s="105" t="s">
        <v>29</v>
      </c>
      <c r="C38" s="107" t="s">
        <v>209</v>
      </c>
      <c r="D38" s="108" t="s">
        <v>210</v>
      </c>
      <c r="E38" s="33"/>
      <c r="F38" s="33"/>
      <c r="G38" s="33"/>
      <c r="H38" s="34"/>
      <c r="I38" s="109" t="s">
        <v>18</v>
      </c>
    </row>
    <row r="39" ht="15.75" customHeight="1">
      <c r="A39" s="78" t="s">
        <v>211</v>
      </c>
      <c r="B39" s="78" t="s">
        <v>212</v>
      </c>
      <c r="C39" s="78">
        <v>30.0</v>
      </c>
      <c r="D39" s="88">
        <v>25.0</v>
      </c>
      <c r="E39" s="33"/>
      <c r="F39" s="33"/>
      <c r="G39" s="33"/>
      <c r="H39" s="34"/>
      <c r="I39" s="78" t="str">
        <f t="shared" ref="I39:I42" si="1">IF(D39&lt;=C39,"Correcto", "Corregir")</f>
        <v>Correcto</v>
      </c>
    </row>
    <row r="40" ht="15.75" customHeight="1">
      <c r="A40" s="78" t="s">
        <v>213</v>
      </c>
      <c r="B40" s="78" t="s">
        <v>212</v>
      </c>
      <c r="C40" s="78">
        <v>6.0</v>
      </c>
      <c r="D40" s="88">
        <v>5.0</v>
      </c>
      <c r="E40" s="33"/>
      <c r="F40" s="33"/>
      <c r="G40" s="33"/>
      <c r="H40" s="34"/>
      <c r="I40" s="78" t="str">
        <f t="shared" si="1"/>
        <v>Correcto</v>
      </c>
    </row>
    <row r="41" ht="15.75" customHeight="1">
      <c r="A41" s="78" t="s">
        <v>214</v>
      </c>
      <c r="B41" s="78" t="s">
        <v>215</v>
      </c>
      <c r="C41" s="78">
        <v>10.0</v>
      </c>
      <c r="D41" s="88">
        <v>5.0</v>
      </c>
      <c r="E41" s="33"/>
      <c r="F41" s="33"/>
      <c r="G41" s="33"/>
      <c r="H41" s="34"/>
      <c r="I41" s="78" t="str">
        <f t="shared" si="1"/>
        <v>Correcto</v>
      </c>
    </row>
    <row r="42" ht="15.75" customHeight="1">
      <c r="A42" s="78" t="s">
        <v>216</v>
      </c>
      <c r="B42" s="78" t="s">
        <v>212</v>
      </c>
      <c r="C42" s="78">
        <v>30.0</v>
      </c>
      <c r="D42" s="88">
        <v>25.0</v>
      </c>
      <c r="E42" s="33"/>
      <c r="F42" s="33"/>
      <c r="G42" s="33"/>
      <c r="H42" s="34"/>
      <c r="I42" s="78" t="str">
        <f t="shared" si="1"/>
        <v>Correcto</v>
      </c>
    </row>
    <row r="43" ht="15.75" customHeight="1"/>
    <row r="44" ht="15.75" customHeight="1">
      <c r="A44" s="99" t="s">
        <v>217</v>
      </c>
      <c r="G44" s="91" t="s">
        <v>157</v>
      </c>
      <c r="H44" s="103">
        <f>B50</f>
        <v>20</v>
      </c>
    </row>
    <row r="45" ht="15.75" customHeight="1">
      <c r="G45" s="83" t="s">
        <v>218</v>
      </c>
    </row>
    <row r="46" ht="15.75" customHeight="1">
      <c r="A46" s="83" t="s">
        <v>219</v>
      </c>
    </row>
    <row r="47">
      <c r="A47" s="86" t="s">
        <v>220</v>
      </c>
      <c r="B47" s="88" t="s">
        <v>88</v>
      </c>
      <c r="C47" s="33"/>
      <c r="D47" s="33"/>
      <c r="E47" s="33"/>
      <c r="F47" s="33"/>
      <c r="G47" s="33"/>
      <c r="H47" s="34"/>
    </row>
    <row r="48" ht="15.75" customHeight="1">
      <c r="A48" s="86" t="s">
        <v>8</v>
      </c>
      <c r="B48" s="88" t="s">
        <v>234</v>
      </c>
      <c r="C48" s="33"/>
      <c r="D48" s="33"/>
      <c r="E48" s="33"/>
      <c r="F48" s="33"/>
      <c r="G48" s="33"/>
      <c r="H48" s="34"/>
    </row>
    <row r="49" ht="15.75" customHeight="1">
      <c r="A49" s="86" t="s">
        <v>190</v>
      </c>
      <c r="B49" s="110">
        <v>2.0</v>
      </c>
      <c r="C49" s="33"/>
      <c r="D49" s="33"/>
      <c r="E49" s="33"/>
      <c r="F49" s="33"/>
      <c r="G49" s="33"/>
      <c r="H49" s="34"/>
    </row>
    <row r="50" ht="15.75" customHeight="1">
      <c r="A50" s="86" t="s">
        <v>157</v>
      </c>
      <c r="B50" s="88">
        <v>20.0</v>
      </c>
      <c r="C50" s="33"/>
      <c r="D50" s="33"/>
      <c r="E50" s="33"/>
      <c r="F50" s="33"/>
      <c r="G50" s="33"/>
      <c r="H50" s="34"/>
    </row>
    <row r="51" ht="15.75" customHeight="1">
      <c r="A51" s="111" t="s">
        <v>222</v>
      </c>
      <c r="B51" s="6"/>
      <c r="C51" s="6"/>
      <c r="D51" s="6"/>
      <c r="E51" s="6"/>
      <c r="F51" s="6"/>
      <c r="G51" s="6"/>
      <c r="H51" s="6"/>
    </row>
    <row r="52" ht="15.75" customHeight="1">
      <c r="A52" s="101" t="s">
        <v>223</v>
      </c>
      <c r="B52" s="33"/>
      <c r="C52" s="33"/>
      <c r="D52" s="33"/>
      <c r="E52" s="33"/>
      <c r="F52" s="33"/>
      <c r="G52" s="33"/>
      <c r="H52" s="34"/>
    </row>
    <row r="53" ht="15.75" customHeight="1">
      <c r="A53" s="112"/>
      <c r="B53" s="59"/>
      <c r="C53" s="59"/>
      <c r="D53" s="59"/>
      <c r="E53" s="59"/>
      <c r="F53" s="59"/>
      <c r="G53" s="59"/>
      <c r="H53" s="60"/>
    </row>
    <row r="54" ht="15.75" customHeight="1">
      <c r="A54" s="113"/>
      <c r="H54" s="114"/>
    </row>
    <row r="55" ht="15.75" customHeight="1">
      <c r="A55" s="61"/>
      <c r="B55" s="62"/>
      <c r="C55" s="62"/>
      <c r="D55" s="62"/>
      <c r="E55" s="62"/>
      <c r="F55" s="62"/>
      <c r="G55" s="62"/>
      <c r="H55" s="63"/>
    </row>
    <row r="56" ht="15.75" customHeight="1"/>
    <row r="57" ht="15.75" customHeight="1">
      <c r="A57" s="83" t="s">
        <v>224</v>
      </c>
    </row>
    <row r="58">
      <c r="A58" s="86" t="s">
        <v>220</v>
      </c>
      <c r="B58" s="77"/>
      <c r="C58" s="33"/>
      <c r="D58" s="33"/>
      <c r="E58" s="33"/>
      <c r="F58" s="33"/>
      <c r="G58" s="33"/>
      <c r="H58" s="34"/>
    </row>
    <row r="59" ht="15.75" customHeight="1">
      <c r="A59" s="86" t="s">
        <v>8</v>
      </c>
      <c r="B59" s="77"/>
      <c r="C59" s="33"/>
      <c r="D59" s="33"/>
      <c r="E59" s="33"/>
      <c r="F59" s="33"/>
      <c r="G59" s="33"/>
      <c r="H59" s="34"/>
    </row>
    <row r="60" ht="15.75" customHeight="1">
      <c r="A60" s="86" t="s">
        <v>190</v>
      </c>
      <c r="B60" s="115"/>
      <c r="C60" s="33"/>
      <c r="D60" s="33"/>
      <c r="E60" s="33"/>
      <c r="F60" s="33"/>
      <c r="G60" s="33"/>
      <c r="H60" s="34"/>
    </row>
    <row r="61" ht="15.75" customHeight="1">
      <c r="A61" s="86" t="s">
        <v>157</v>
      </c>
      <c r="B61" s="115"/>
      <c r="C61" s="33"/>
      <c r="D61" s="33"/>
      <c r="E61" s="33"/>
      <c r="F61" s="33"/>
      <c r="G61" s="33"/>
      <c r="H61" s="34"/>
    </row>
    <row r="62" ht="15.75" customHeight="1">
      <c r="A62" s="116" t="s">
        <v>225</v>
      </c>
      <c r="B62" s="6"/>
      <c r="C62" s="6"/>
      <c r="D62" s="6"/>
      <c r="E62" s="6"/>
      <c r="F62" s="6"/>
      <c r="G62" s="6"/>
      <c r="H62" s="6"/>
    </row>
    <row r="63" ht="15.75" customHeight="1">
      <c r="A63" s="101" t="s">
        <v>223</v>
      </c>
      <c r="B63" s="33"/>
      <c r="C63" s="33"/>
      <c r="D63" s="33"/>
      <c r="E63" s="33"/>
      <c r="F63" s="33"/>
      <c r="G63" s="33"/>
      <c r="H63" s="34"/>
    </row>
    <row r="64" ht="15.75" customHeight="1">
      <c r="A64" s="112"/>
      <c r="B64" s="59"/>
      <c r="C64" s="59"/>
      <c r="D64" s="59"/>
      <c r="E64" s="59"/>
      <c r="F64" s="59"/>
      <c r="G64" s="59"/>
      <c r="H64" s="60"/>
    </row>
    <row r="65" ht="15.75" customHeight="1">
      <c r="A65" s="113"/>
      <c r="H65" s="114"/>
    </row>
    <row r="66" ht="15.75" customHeight="1">
      <c r="A66" s="61"/>
      <c r="B66" s="62"/>
      <c r="C66" s="62"/>
      <c r="D66" s="62"/>
      <c r="E66" s="62"/>
      <c r="F66" s="62"/>
      <c r="G66" s="62"/>
      <c r="H66" s="63"/>
    </row>
    <row r="67" ht="15.75" customHeight="1"/>
    <row r="68" ht="15.75" customHeight="1">
      <c r="A68" s="99" t="s">
        <v>226</v>
      </c>
      <c r="G68" s="91" t="s">
        <v>157</v>
      </c>
      <c r="H68" s="100">
        <f>B70</f>
        <v>15</v>
      </c>
    </row>
    <row r="69" ht="15.75" customHeight="1">
      <c r="G69" s="83" t="s">
        <v>227</v>
      </c>
    </row>
    <row r="70" ht="15.75" customHeight="1">
      <c r="A70" s="86" t="s">
        <v>157</v>
      </c>
      <c r="B70" s="110">
        <v>15.0</v>
      </c>
      <c r="C70" s="33"/>
      <c r="D70" s="33"/>
      <c r="E70" s="33"/>
      <c r="F70" s="33"/>
      <c r="G70" s="33"/>
      <c r="H70" s="34"/>
    </row>
    <row r="71" ht="15.75" customHeight="1">
      <c r="A71" s="108" t="s">
        <v>228</v>
      </c>
      <c r="B71" s="33"/>
      <c r="C71" s="33"/>
      <c r="D71" s="33"/>
      <c r="E71" s="33"/>
      <c r="F71" s="33"/>
      <c r="G71" s="33"/>
      <c r="H71" s="34"/>
    </row>
    <row r="72" ht="15.75" customHeight="1">
      <c r="A72" s="102" t="s">
        <v>235</v>
      </c>
      <c r="B72" s="59"/>
      <c r="C72" s="59"/>
      <c r="D72" s="59"/>
      <c r="E72" s="59"/>
      <c r="F72" s="59"/>
      <c r="G72" s="59"/>
      <c r="H72" s="60"/>
    </row>
    <row r="73" ht="15.75" customHeight="1">
      <c r="A73" s="61"/>
      <c r="B73" s="62"/>
      <c r="C73" s="62"/>
      <c r="D73" s="62"/>
      <c r="E73" s="62"/>
      <c r="F73" s="62"/>
      <c r="G73" s="62"/>
      <c r="H73" s="63"/>
    </row>
    <row r="74" ht="15.75" customHeight="1">
      <c r="A74" s="83"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189</v>
      </c>
    </row>
    <row r="3" ht="15.75" customHeight="1"/>
    <row r="4" ht="15.75" customHeight="1">
      <c r="B4" s="76" t="s">
        <v>1</v>
      </c>
      <c r="C4" s="96" t="str">
        <f>'Diseño'!C4</f>
        <v>768 - Algoritmos</v>
      </c>
      <c r="D4" s="33"/>
      <c r="E4" s="33"/>
      <c r="F4" s="33"/>
      <c r="G4" s="34"/>
    </row>
    <row r="5" ht="15.75" customHeight="1">
      <c r="B5" s="78" t="s">
        <v>79</v>
      </c>
      <c r="C5" s="77">
        <v>4.0</v>
      </c>
      <c r="D5" s="33"/>
      <c r="E5" s="33"/>
      <c r="F5" s="33"/>
      <c r="G5" s="34"/>
    </row>
    <row r="6" ht="15.75" customHeight="1">
      <c r="B6" s="97" t="s">
        <v>154</v>
      </c>
      <c r="C6" s="77">
        <f>H10+H21+H44+H68</f>
        <v>100</v>
      </c>
      <c r="D6" s="33"/>
      <c r="E6" s="33"/>
      <c r="F6" s="33"/>
      <c r="G6" s="34"/>
      <c r="I6" s="6"/>
    </row>
    <row r="7" ht="15.75" customHeight="1">
      <c r="B7" s="97" t="s">
        <v>190</v>
      </c>
      <c r="C7" s="77">
        <f>B49+B60</f>
        <v>0</v>
      </c>
      <c r="D7" s="33"/>
      <c r="E7" s="33"/>
      <c r="F7" s="33"/>
      <c r="G7" s="34"/>
    </row>
    <row r="8" ht="15.75" customHeight="1">
      <c r="B8" s="97" t="s">
        <v>191</v>
      </c>
      <c r="C8" s="98" t="str">
        <f>IF(H44&lt;=0, "❌ ERROR: La Actividad 1 debe tener un tiempo mayor a 0.", IF(H21&gt;60, "❌ ERROR: El 'Área de Conocimiento' no puede exceder los 60 min.", IF((H10+H21+H44+H68)&lt;100, "❌ ERROR: El tiempo total debe ser de al menos 100 min.", "✅ VALIDACIÓN CORRECTA")))</f>
        <v>✅ VALIDACIÓN CORRECTA</v>
      </c>
      <c r="D8" s="33"/>
      <c r="E8" s="33"/>
      <c r="F8" s="33"/>
      <c r="G8" s="34"/>
      <c r="I8" s="6"/>
      <c r="J8" s="6"/>
      <c r="K8" s="6"/>
    </row>
    <row r="9" ht="15.75" customHeight="1"/>
    <row r="10" ht="15.75" customHeight="1">
      <c r="A10" s="99" t="s">
        <v>192</v>
      </c>
      <c r="G10" s="91" t="s">
        <v>157</v>
      </c>
      <c r="H10" s="103">
        <f>B13</f>
        <v>5</v>
      </c>
    </row>
    <row r="11" ht="15.75" customHeight="1">
      <c r="G11" s="83" t="s">
        <v>193</v>
      </c>
    </row>
    <row r="12" ht="15.75" customHeight="1">
      <c r="A12" s="86" t="s">
        <v>194</v>
      </c>
      <c r="B12" s="88" t="s">
        <v>236</v>
      </c>
      <c r="C12" s="33"/>
      <c r="D12" s="33"/>
      <c r="E12" s="33"/>
      <c r="F12" s="33"/>
      <c r="G12" s="33"/>
      <c r="H12" s="34"/>
    </row>
    <row r="13" ht="15.75" customHeight="1">
      <c r="A13" s="87" t="s">
        <v>157</v>
      </c>
      <c r="B13" s="88">
        <v>5.0</v>
      </c>
      <c r="C13" s="33"/>
      <c r="D13" s="33"/>
      <c r="E13" s="33"/>
      <c r="F13" s="33"/>
      <c r="G13" s="33"/>
      <c r="H13" s="34"/>
    </row>
    <row r="14" ht="15.75" customHeight="1">
      <c r="A14" s="101" t="s">
        <v>196</v>
      </c>
      <c r="B14" s="33"/>
      <c r="C14" s="33"/>
      <c r="D14" s="33"/>
      <c r="E14" s="33"/>
      <c r="F14" s="33"/>
      <c r="G14" s="33"/>
      <c r="H14" s="34"/>
    </row>
    <row r="15" ht="15.75" customHeight="1">
      <c r="A15" s="102" t="s">
        <v>237</v>
      </c>
      <c r="B15" s="59"/>
      <c r="C15" s="59"/>
      <c r="D15" s="59"/>
      <c r="E15" s="59"/>
      <c r="F15" s="59"/>
      <c r="G15" s="59"/>
      <c r="H15" s="60"/>
    </row>
    <row r="16" ht="15.75" customHeight="1">
      <c r="A16" s="61"/>
      <c r="B16" s="62"/>
      <c r="C16" s="62"/>
      <c r="D16" s="62"/>
      <c r="E16" s="62"/>
      <c r="F16" s="62"/>
      <c r="G16" s="62"/>
      <c r="H16" s="63"/>
    </row>
    <row r="17" ht="15.75" customHeight="1">
      <c r="A17" s="101" t="s">
        <v>198</v>
      </c>
      <c r="B17" s="33"/>
      <c r="C17" s="33"/>
      <c r="D17" s="33"/>
      <c r="E17" s="33"/>
      <c r="F17" s="33"/>
      <c r="G17" s="33"/>
      <c r="H17" s="34"/>
    </row>
    <row r="18" ht="15.75" customHeight="1">
      <c r="A18" s="102" t="s">
        <v>238</v>
      </c>
      <c r="B18" s="59"/>
      <c r="C18" s="59"/>
      <c r="D18" s="59"/>
      <c r="E18" s="59"/>
      <c r="F18" s="59"/>
      <c r="G18" s="59"/>
      <c r="H18" s="60"/>
    </row>
    <row r="19" ht="15.75" customHeight="1">
      <c r="A19" s="61"/>
      <c r="B19" s="62"/>
      <c r="C19" s="62"/>
      <c r="D19" s="62"/>
      <c r="E19" s="62"/>
      <c r="F19" s="62"/>
      <c r="G19" s="62"/>
      <c r="H19" s="63"/>
    </row>
    <row r="20" ht="15.75" customHeight="1"/>
    <row r="21" ht="15.75" customHeight="1">
      <c r="A21" s="99" t="s">
        <v>200</v>
      </c>
      <c r="G21" s="91" t="s">
        <v>157</v>
      </c>
      <c r="H21" s="103">
        <f>SUM(D39:H42)</f>
        <v>60</v>
      </c>
      <c r="I21" s="6"/>
    </row>
    <row r="22" ht="15.75" customHeight="1">
      <c r="G22" s="83" t="s">
        <v>201</v>
      </c>
    </row>
    <row r="23" ht="15.75" customHeight="1">
      <c r="A23" s="86" t="s">
        <v>202</v>
      </c>
      <c r="B23" s="88" t="s">
        <v>88</v>
      </c>
      <c r="C23" s="33"/>
      <c r="D23" s="33"/>
      <c r="E23" s="33"/>
      <c r="F23" s="33"/>
      <c r="G23" s="33"/>
      <c r="H23" s="34"/>
    </row>
    <row r="24" ht="15.75" customHeight="1">
      <c r="A24" s="86" t="s">
        <v>202</v>
      </c>
      <c r="B24" s="88" t="s">
        <v>80</v>
      </c>
      <c r="C24" s="33"/>
      <c r="D24" s="33"/>
      <c r="E24" s="33"/>
      <c r="F24" s="33"/>
      <c r="G24" s="33"/>
      <c r="H24" s="34"/>
    </row>
    <row r="25" ht="15.75" customHeight="1"/>
    <row r="26" ht="15.75" customHeight="1">
      <c r="A26" s="104" t="s">
        <v>203</v>
      </c>
      <c r="B26" s="6"/>
      <c r="C26" s="6"/>
      <c r="D26" s="6"/>
    </row>
    <row r="27" ht="15.75" customHeight="1">
      <c r="A27" s="105" t="s">
        <v>73</v>
      </c>
      <c r="B27" s="106" t="s">
        <v>204</v>
      </c>
      <c r="C27" s="34"/>
      <c r="D27" s="106" t="s">
        <v>205</v>
      </c>
      <c r="E27" s="34"/>
      <c r="F27" s="106" t="s">
        <v>206</v>
      </c>
      <c r="G27" s="33"/>
      <c r="H27" s="34"/>
    </row>
    <row r="28" ht="15.75" customHeight="1">
      <c r="A28" s="78">
        <v>1.0</v>
      </c>
      <c r="B28" s="77" t="str">
        <f>IFERROR(__xludf.DUMMYFUNCTION("FILTER('Diseño'!D:D,'Diseño'!H:H=$C$5)"),"Unidad 2 - Arquitectura y organización VNA")</f>
        <v>Unidad 2 - Arquitectura y organización VNA</v>
      </c>
      <c r="C28" s="34"/>
      <c r="D28" s="77" t="str">
        <f>IFERROR(__xludf.DUMMYFUNCTION("FILTER('Diseño'!E:E,'Diseño'!H:H=$C$5)"),"Software de sistema")</f>
        <v>Software de sistema</v>
      </c>
      <c r="E28" s="34"/>
      <c r="F28" s="77" t="str">
        <f>IFERROR(__xludf.DUMMYFUNCTION("FILTER('Diseño'!F:F,'Diseño'!H:H=$C$5)"),"Sistemas operativos, hipervisores y utilitarios")</f>
        <v>Sistemas operativos, hipervisores y utilitarios</v>
      </c>
      <c r="G28" s="33"/>
      <c r="H28" s="34"/>
    </row>
    <row r="29" ht="15.75" customHeight="1">
      <c r="A29" s="78">
        <v>2.0</v>
      </c>
      <c r="B29" s="77" t="str">
        <f>IFERROR(__xludf.DUMMYFUNCTION("""COMPUTED_VALUE"""),"Unidad 2 - Arquitectura y organización VNA")</f>
        <v>Unidad 2 - Arquitectura y organización VNA</v>
      </c>
      <c r="C29" s="34"/>
      <c r="D29" s="77" t="str">
        <f>IFERROR(__xludf.DUMMYFUNCTION("""COMPUTED_VALUE"""),"Software de aplicación")</f>
        <v>Software de aplicación</v>
      </c>
      <c r="E29" s="34"/>
      <c r="F29" s="77" t="str">
        <f>IFERROR(__xludf.DUMMYFUNCTION("""COMPUTED_VALUE"""),"ERP, CRM, WMS y ofimática")</f>
        <v>ERP, CRM, WMS y ofimática</v>
      </c>
      <c r="G29" s="33"/>
      <c r="H29" s="34"/>
    </row>
    <row r="30" ht="15.75" customHeight="1">
      <c r="A30" s="78">
        <v>3.0</v>
      </c>
      <c r="B30" s="77" t="str">
        <f>IFERROR(__xludf.DUMMYFUNCTION("""COMPUTED_VALUE"""),"Unidad 2 - Arquitectura y organización VNA")</f>
        <v>Unidad 2 - Arquitectura y organización VNA</v>
      </c>
      <c r="C30" s="34"/>
      <c r="D30" s="77" t="str">
        <f>IFERROR(__xludf.DUMMYFUNCTION("""COMPUTED_VALUE"""),"Software de programación")</f>
        <v>Software de programación</v>
      </c>
      <c r="E30" s="34"/>
      <c r="F30" s="77" t="str">
        <f>IFERROR(__xludf.DUMMYFUNCTION("""COMPUTED_VALUE"""),"Lenguajes de programación y su clasificación")</f>
        <v>Lenguajes de programación y su clasificación</v>
      </c>
      <c r="G30" s="33"/>
      <c r="H30" s="34"/>
    </row>
    <row r="31" ht="15.75" customHeight="1">
      <c r="A31" s="78">
        <v>4.0</v>
      </c>
      <c r="B31" s="77" t="str">
        <f>IFERROR(__xludf.DUMMYFUNCTION("""COMPUTED_VALUE"""),"Unidad 2 - Arquitectura y organización VNA")</f>
        <v>Unidad 2 - Arquitectura y organización VNA</v>
      </c>
      <c r="C31" s="34"/>
      <c r="D31" s="77" t="str">
        <f>IFERROR(__xludf.DUMMYFUNCTION("""COMPUTED_VALUE"""),"Calidad y seguridad")</f>
        <v>Calidad y seguridad</v>
      </c>
      <c r="E31" s="34"/>
      <c r="F31" s="77" t="str">
        <f>IFERROR(__xludf.DUMMYFUNCTION("""COMPUTED_VALUE"""),"Normativas y estándares internacionales")</f>
        <v>Normativas y estándares internacionales</v>
      </c>
      <c r="G31" s="33"/>
      <c r="H31" s="34"/>
    </row>
    <row r="32" ht="15.75" customHeight="1">
      <c r="A32" s="78">
        <v>5.0</v>
      </c>
      <c r="B32" s="77" t="str">
        <f>IFERROR(__xludf.DUMMYFUNCTION("""COMPUTED_VALUE"""),"Unidad 2 - Arquitectura y organización VNA")</f>
        <v>Unidad 2 - Arquitectura y organización VNA</v>
      </c>
      <c r="C32" s="34"/>
      <c r="D32" s="77" t="str">
        <f>IFERROR(__xludf.DUMMYFUNCTION("""COMPUTED_VALUE"""),"Firmware")</f>
        <v>Firmware</v>
      </c>
      <c r="E32" s="34"/>
      <c r="F32" s="77" t="str">
        <f>IFERROR(__xludf.DUMMYFUNCTION("""COMPUTED_VALUE"""),"Programación y control del hardware a bajo nivel")</f>
        <v>Programación y control del hardware a bajo nivel</v>
      </c>
      <c r="G32" s="33"/>
      <c r="H32" s="34"/>
    </row>
    <row r="33" ht="15.75" customHeight="1">
      <c r="A33" s="78">
        <v>6.0</v>
      </c>
      <c r="B33" s="77"/>
      <c r="C33" s="34"/>
      <c r="D33" s="77"/>
      <c r="E33" s="34"/>
      <c r="F33" s="77"/>
      <c r="G33" s="33"/>
      <c r="H33" s="34"/>
    </row>
    <row r="34" ht="15.75" customHeight="1">
      <c r="A34" s="78">
        <v>7.0</v>
      </c>
      <c r="B34" s="77"/>
      <c r="C34" s="34"/>
      <c r="D34" s="77"/>
      <c r="E34" s="34"/>
      <c r="F34" s="77"/>
      <c r="G34" s="33"/>
      <c r="H34" s="34"/>
    </row>
    <row r="35" ht="15.75" customHeight="1"/>
    <row r="36" ht="15.75" customHeight="1">
      <c r="A36" s="104" t="s">
        <v>207</v>
      </c>
    </row>
    <row r="37" ht="15.75" customHeight="1">
      <c r="A37" s="6"/>
      <c r="B37" s="6"/>
      <c r="C37" s="6"/>
      <c r="D37" s="6"/>
      <c r="E37" s="6"/>
      <c r="F37" s="6"/>
      <c r="G37" s="6"/>
      <c r="H37" s="6"/>
    </row>
    <row r="38">
      <c r="A38" s="105" t="s">
        <v>208</v>
      </c>
      <c r="B38" s="105" t="s">
        <v>29</v>
      </c>
      <c r="C38" s="107" t="s">
        <v>209</v>
      </c>
      <c r="D38" s="108" t="s">
        <v>210</v>
      </c>
      <c r="E38" s="33"/>
      <c r="F38" s="33"/>
      <c r="G38" s="33"/>
      <c r="H38" s="34"/>
      <c r="I38" s="109" t="s">
        <v>18</v>
      </c>
    </row>
    <row r="39" ht="15.75" customHeight="1">
      <c r="A39" s="78" t="s">
        <v>211</v>
      </c>
      <c r="B39" s="78" t="s">
        <v>212</v>
      </c>
      <c r="C39" s="78">
        <v>30.0</v>
      </c>
      <c r="D39" s="88">
        <v>25.0</v>
      </c>
      <c r="E39" s="33"/>
      <c r="F39" s="33"/>
      <c r="G39" s="33"/>
      <c r="H39" s="34"/>
      <c r="I39" s="78" t="str">
        <f t="shared" ref="I39:I42" si="1">IF(D39&lt;=C39,"Correcto", "Corregir")</f>
        <v>Correcto</v>
      </c>
    </row>
    <row r="40" ht="15.75" customHeight="1">
      <c r="A40" s="78" t="s">
        <v>213</v>
      </c>
      <c r="B40" s="78" t="s">
        <v>212</v>
      </c>
      <c r="C40" s="78">
        <v>6.0</v>
      </c>
      <c r="D40" s="88">
        <v>5.0</v>
      </c>
      <c r="E40" s="33"/>
      <c r="F40" s="33"/>
      <c r="G40" s="33"/>
      <c r="H40" s="34"/>
      <c r="I40" s="78" t="str">
        <f t="shared" si="1"/>
        <v>Correcto</v>
      </c>
    </row>
    <row r="41" ht="15.75" customHeight="1">
      <c r="A41" s="78" t="s">
        <v>214</v>
      </c>
      <c r="B41" s="78" t="s">
        <v>215</v>
      </c>
      <c r="C41" s="78">
        <v>10.0</v>
      </c>
      <c r="D41" s="88">
        <v>5.0</v>
      </c>
      <c r="E41" s="33"/>
      <c r="F41" s="33"/>
      <c r="G41" s="33"/>
      <c r="H41" s="34"/>
      <c r="I41" s="78" t="str">
        <f t="shared" si="1"/>
        <v>Correcto</v>
      </c>
    </row>
    <row r="42" ht="15.75" customHeight="1">
      <c r="A42" s="78" t="s">
        <v>216</v>
      </c>
      <c r="B42" s="78" t="s">
        <v>212</v>
      </c>
      <c r="C42" s="78">
        <v>30.0</v>
      </c>
      <c r="D42" s="88">
        <v>25.0</v>
      </c>
      <c r="E42" s="33"/>
      <c r="F42" s="33"/>
      <c r="G42" s="33"/>
      <c r="H42" s="34"/>
      <c r="I42" s="78" t="str">
        <f t="shared" si="1"/>
        <v>Correcto</v>
      </c>
    </row>
    <row r="43" ht="15.75" customHeight="1"/>
    <row r="44" ht="15.75" customHeight="1">
      <c r="A44" s="99" t="s">
        <v>217</v>
      </c>
      <c r="G44" s="91" t="s">
        <v>157</v>
      </c>
      <c r="H44" s="103">
        <f>B50</f>
        <v>25</v>
      </c>
    </row>
    <row r="45" ht="15.75" customHeight="1">
      <c r="G45" s="83" t="s">
        <v>218</v>
      </c>
    </row>
    <row r="46" ht="15.75" customHeight="1">
      <c r="A46" s="83" t="s">
        <v>219</v>
      </c>
    </row>
    <row r="47">
      <c r="A47" s="86" t="s">
        <v>220</v>
      </c>
      <c r="B47" s="88" t="s">
        <v>88</v>
      </c>
      <c r="C47" s="33"/>
      <c r="D47" s="33"/>
      <c r="E47" s="33"/>
      <c r="F47" s="33"/>
      <c r="G47" s="33"/>
      <c r="H47" s="34"/>
    </row>
    <row r="48" ht="15.75" customHeight="1">
      <c r="A48" s="86" t="s">
        <v>8</v>
      </c>
      <c r="B48" s="88" t="s">
        <v>221</v>
      </c>
      <c r="C48" s="33"/>
      <c r="D48" s="33"/>
      <c r="E48" s="33"/>
      <c r="F48" s="33"/>
      <c r="G48" s="33"/>
      <c r="H48" s="34"/>
    </row>
    <row r="49" ht="15.75" customHeight="1">
      <c r="A49" s="86" t="s">
        <v>190</v>
      </c>
      <c r="B49" s="115">
        <v>0.0</v>
      </c>
      <c r="C49" s="33"/>
      <c r="D49" s="33"/>
      <c r="E49" s="33"/>
      <c r="F49" s="33"/>
      <c r="G49" s="33"/>
      <c r="H49" s="34"/>
    </row>
    <row r="50" ht="15.75" customHeight="1">
      <c r="A50" s="86" t="s">
        <v>157</v>
      </c>
      <c r="B50" s="88">
        <v>25.0</v>
      </c>
      <c r="C50" s="33"/>
      <c r="D50" s="33"/>
      <c r="E50" s="33"/>
      <c r="F50" s="33"/>
      <c r="G50" s="33"/>
      <c r="H50" s="34"/>
    </row>
    <row r="51" ht="15.75" customHeight="1">
      <c r="A51" s="111" t="s">
        <v>222</v>
      </c>
      <c r="B51" s="6"/>
      <c r="C51" s="6"/>
      <c r="D51" s="6"/>
      <c r="E51" s="6"/>
      <c r="F51" s="6"/>
      <c r="G51" s="6"/>
      <c r="H51" s="6"/>
    </row>
    <row r="52" ht="15.75" customHeight="1">
      <c r="A52" s="101" t="s">
        <v>223</v>
      </c>
      <c r="B52" s="33"/>
      <c r="C52" s="33"/>
      <c r="D52" s="33"/>
      <c r="E52" s="33"/>
      <c r="F52" s="33"/>
      <c r="G52" s="33"/>
      <c r="H52" s="34"/>
    </row>
    <row r="53" ht="15.75" customHeight="1">
      <c r="A53" s="112"/>
      <c r="B53" s="59"/>
      <c r="C53" s="59"/>
      <c r="D53" s="59"/>
      <c r="E53" s="59"/>
      <c r="F53" s="59"/>
      <c r="G53" s="59"/>
      <c r="H53" s="60"/>
    </row>
    <row r="54" ht="15.75" customHeight="1">
      <c r="A54" s="113"/>
      <c r="H54" s="114"/>
    </row>
    <row r="55" ht="15.75" customHeight="1">
      <c r="A55" s="61"/>
      <c r="B55" s="62"/>
      <c r="C55" s="62"/>
      <c r="D55" s="62"/>
      <c r="E55" s="62"/>
      <c r="F55" s="62"/>
      <c r="G55" s="62"/>
      <c r="H55" s="63"/>
    </row>
    <row r="56" ht="15.75" customHeight="1"/>
    <row r="57" ht="15.75" customHeight="1">
      <c r="A57" s="83" t="s">
        <v>224</v>
      </c>
    </row>
    <row r="58">
      <c r="A58" s="86" t="s">
        <v>220</v>
      </c>
      <c r="B58" s="77"/>
      <c r="C58" s="33"/>
      <c r="D58" s="33"/>
      <c r="E58" s="33"/>
      <c r="F58" s="33"/>
      <c r="G58" s="33"/>
      <c r="H58" s="34"/>
    </row>
    <row r="59" ht="15.75" customHeight="1">
      <c r="A59" s="86" t="s">
        <v>8</v>
      </c>
      <c r="B59" s="77"/>
      <c r="C59" s="33"/>
      <c r="D59" s="33"/>
      <c r="E59" s="33"/>
      <c r="F59" s="33"/>
      <c r="G59" s="33"/>
      <c r="H59" s="34"/>
    </row>
    <row r="60" ht="15.75" customHeight="1">
      <c r="A60" s="86" t="s">
        <v>190</v>
      </c>
      <c r="B60" s="115"/>
      <c r="C60" s="33"/>
      <c r="D60" s="33"/>
      <c r="E60" s="33"/>
      <c r="F60" s="33"/>
      <c r="G60" s="33"/>
      <c r="H60" s="34"/>
    </row>
    <row r="61" ht="15.75" customHeight="1">
      <c r="A61" s="86" t="s">
        <v>157</v>
      </c>
      <c r="B61" s="115"/>
      <c r="C61" s="33"/>
      <c r="D61" s="33"/>
      <c r="E61" s="33"/>
      <c r="F61" s="33"/>
      <c r="G61" s="33"/>
      <c r="H61" s="34"/>
    </row>
    <row r="62" ht="15.75" customHeight="1">
      <c r="A62" s="116" t="s">
        <v>225</v>
      </c>
      <c r="B62" s="6"/>
      <c r="C62" s="6"/>
      <c r="D62" s="6"/>
      <c r="E62" s="6"/>
      <c r="F62" s="6"/>
      <c r="G62" s="6"/>
      <c r="H62" s="6"/>
    </row>
    <row r="63" ht="15.75" customHeight="1">
      <c r="A63" s="101" t="s">
        <v>223</v>
      </c>
      <c r="B63" s="33"/>
      <c r="C63" s="33"/>
      <c r="D63" s="33"/>
      <c r="E63" s="33"/>
      <c r="F63" s="33"/>
      <c r="G63" s="33"/>
      <c r="H63" s="34"/>
    </row>
    <row r="64" ht="15.75" customHeight="1">
      <c r="A64" s="112"/>
      <c r="B64" s="59"/>
      <c r="C64" s="59"/>
      <c r="D64" s="59"/>
      <c r="E64" s="59"/>
      <c r="F64" s="59"/>
      <c r="G64" s="59"/>
      <c r="H64" s="60"/>
    </row>
    <row r="65" ht="15.75" customHeight="1">
      <c r="A65" s="113"/>
      <c r="H65" s="114"/>
    </row>
    <row r="66" ht="15.75" customHeight="1">
      <c r="A66" s="61"/>
      <c r="B66" s="62"/>
      <c r="C66" s="62"/>
      <c r="D66" s="62"/>
      <c r="E66" s="62"/>
      <c r="F66" s="62"/>
      <c r="G66" s="62"/>
      <c r="H66" s="63"/>
    </row>
    <row r="67" ht="15.75" customHeight="1"/>
    <row r="68" ht="15.75" customHeight="1">
      <c r="A68" s="99" t="s">
        <v>226</v>
      </c>
      <c r="G68" s="91" t="s">
        <v>157</v>
      </c>
      <c r="H68" s="103">
        <f>B70</f>
        <v>10</v>
      </c>
    </row>
    <row r="69" ht="15.75" customHeight="1">
      <c r="G69" s="83" t="s">
        <v>227</v>
      </c>
    </row>
    <row r="70" ht="15.75" customHeight="1">
      <c r="A70" s="86" t="s">
        <v>157</v>
      </c>
      <c r="B70" s="110">
        <v>10.0</v>
      </c>
      <c r="C70" s="33"/>
      <c r="D70" s="33"/>
      <c r="E70" s="33"/>
      <c r="F70" s="33"/>
      <c r="G70" s="33"/>
      <c r="H70" s="34"/>
    </row>
    <row r="71" ht="15.75" customHeight="1">
      <c r="A71" s="108" t="s">
        <v>228</v>
      </c>
      <c r="B71" s="33"/>
      <c r="C71" s="33"/>
      <c r="D71" s="33"/>
      <c r="E71" s="33"/>
      <c r="F71" s="33"/>
      <c r="G71" s="33"/>
      <c r="H71" s="34"/>
    </row>
    <row r="72" ht="15.75" customHeight="1">
      <c r="A72" s="102" t="s">
        <v>239</v>
      </c>
      <c r="B72" s="59"/>
      <c r="C72" s="59"/>
      <c r="D72" s="59"/>
      <c r="E72" s="59"/>
      <c r="F72" s="59"/>
      <c r="G72" s="59"/>
      <c r="H72" s="60"/>
    </row>
    <row r="73" ht="15.75" customHeight="1">
      <c r="A73" s="61"/>
      <c r="B73" s="62"/>
      <c r="C73" s="62"/>
      <c r="D73" s="62"/>
      <c r="E73" s="62"/>
      <c r="F73" s="62"/>
      <c r="G73" s="62"/>
      <c r="H73" s="63"/>
    </row>
    <row r="74" ht="15.75" customHeight="1">
      <c r="A74" s="83"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189</v>
      </c>
    </row>
    <row r="3" ht="15.75" customHeight="1"/>
    <row r="4" ht="15.75" customHeight="1">
      <c r="B4" s="76" t="s">
        <v>1</v>
      </c>
      <c r="C4" s="96" t="str">
        <f>'Diseño'!C4</f>
        <v>768 - Algoritmos</v>
      </c>
      <c r="D4" s="33"/>
      <c r="E4" s="33"/>
      <c r="F4" s="33"/>
      <c r="G4" s="34"/>
    </row>
    <row r="5" ht="15.75" customHeight="1">
      <c r="B5" s="78" t="s">
        <v>79</v>
      </c>
      <c r="C5" s="77">
        <v>5.0</v>
      </c>
      <c r="D5" s="33"/>
      <c r="E5" s="33"/>
      <c r="F5" s="33"/>
      <c r="G5" s="34"/>
    </row>
    <row r="6" ht="15.75" customHeight="1">
      <c r="B6" s="97" t="s">
        <v>154</v>
      </c>
      <c r="C6" s="77">
        <f>H10+H21+H44+H68</f>
        <v>100</v>
      </c>
      <c r="D6" s="33"/>
      <c r="E6" s="33"/>
      <c r="F6" s="33"/>
      <c r="G6" s="34"/>
      <c r="I6" s="6"/>
    </row>
    <row r="7" ht="15.75" customHeight="1">
      <c r="B7" s="97" t="s">
        <v>190</v>
      </c>
      <c r="C7" s="77">
        <f>B49+B60</f>
        <v>2</v>
      </c>
      <c r="D7" s="33"/>
      <c r="E7" s="33"/>
      <c r="F7" s="33"/>
      <c r="G7" s="34"/>
    </row>
    <row r="8" ht="15.75" customHeight="1">
      <c r="B8" s="97" t="s">
        <v>191</v>
      </c>
      <c r="C8" s="98" t="str">
        <f>IF(H44&lt;=0, "❌ ERROR: La Actividad 1 debe tener un tiempo mayor a 0.", IF(H21&gt;60, "❌ ERROR: El 'Área de Conocimiento' no puede exceder los 60 min.", IF((H10+H21+H44+H68)&lt;100, "❌ ERROR: El tiempo total debe ser de al menos 100 min.", "✅ VALIDACIÓN CORRECTA")))</f>
        <v>✅ VALIDACIÓN CORRECTA</v>
      </c>
      <c r="D8" s="33"/>
      <c r="E8" s="33"/>
      <c r="F8" s="33"/>
      <c r="G8" s="34"/>
      <c r="I8" s="6"/>
      <c r="J8" s="6"/>
      <c r="K8" s="6"/>
    </row>
    <row r="9" ht="15.75" customHeight="1"/>
    <row r="10" ht="15.75" customHeight="1">
      <c r="A10" s="99" t="s">
        <v>192</v>
      </c>
      <c r="G10" s="91" t="s">
        <v>157</v>
      </c>
      <c r="H10" s="103">
        <f>B13</f>
        <v>5</v>
      </c>
    </row>
    <row r="11" ht="15.75" customHeight="1">
      <c r="G11" s="83" t="s">
        <v>193</v>
      </c>
    </row>
    <row r="12" ht="15.75" customHeight="1">
      <c r="A12" s="86" t="s">
        <v>194</v>
      </c>
      <c r="B12" s="88" t="s">
        <v>240</v>
      </c>
      <c r="C12" s="33"/>
      <c r="D12" s="33"/>
      <c r="E12" s="33"/>
      <c r="F12" s="33"/>
      <c r="G12" s="33"/>
      <c r="H12" s="34"/>
    </row>
    <row r="13" ht="15.75" customHeight="1">
      <c r="A13" s="87" t="s">
        <v>157</v>
      </c>
      <c r="B13" s="88">
        <v>5.0</v>
      </c>
      <c r="C13" s="33"/>
      <c r="D13" s="33"/>
      <c r="E13" s="33"/>
      <c r="F13" s="33"/>
      <c r="G13" s="33"/>
      <c r="H13" s="34"/>
    </row>
    <row r="14" ht="15.75" customHeight="1">
      <c r="A14" s="101" t="s">
        <v>196</v>
      </c>
      <c r="B14" s="33"/>
      <c r="C14" s="33"/>
      <c r="D14" s="33"/>
      <c r="E14" s="33"/>
      <c r="F14" s="33"/>
      <c r="G14" s="33"/>
      <c r="H14" s="34"/>
    </row>
    <row r="15" ht="15.75" customHeight="1">
      <c r="A15" s="102" t="s">
        <v>241</v>
      </c>
      <c r="B15" s="59"/>
      <c r="C15" s="59"/>
      <c r="D15" s="59"/>
      <c r="E15" s="59"/>
      <c r="F15" s="59"/>
      <c r="G15" s="59"/>
      <c r="H15" s="60"/>
    </row>
    <row r="16" ht="15.75" customHeight="1">
      <c r="A16" s="61"/>
      <c r="B16" s="62"/>
      <c r="C16" s="62"/>
      <c r="D16" s="62"/>
      <c r="E16" s="62"/>
      <c r="F16" s="62"/>
      <c r="G16" s="62"/>
      <c r="H16" s="63"/>
    </row>
    <row r="17" ht="15.75" customHeight="1">
      <c r="A17" s="101" t="s">
        <v>198</v>
      </c>
      <c r="B17" s="33"/>
      <c r="C17" s="33"/>
      <c r="D17" s="33"/>
      <c r="E17" s="33"/>
      <c r="F17" s="33"/>
      <c r="G17" s="33"/>
      <c r="H17" s="34"/>
    </row>
    <row r="18" ht="15.75" customHeight="1">
      <c r="A18" s="102" t="s">
        <v>242</v>
      </c>
      <c r="B18" s="59"/>
      <c r="C18" s="59"/>
      <c r="D18" s="59"/>
      <c r="E18" s="59"/>
      <c r="F18" s="59"/>
      <c r="G18" s="59"/>
      <c r="H18" s="60"/>
    </row>
    <row r="19" ht="15.75" customHeight="1">
      <c r="A19" s="61"/>
      <c r="B19" s="62"/>
      <c r="C19" s="62"/>
      <c r="D19" s="62"/>
      <c r="E19" s="62"/>
      <c r="F19" s="62"/>
      <c r="G19" s="62"/>
      <c r="H19" s="63"/>
    </row>
    <row r="20" ht="15.75" customHeight="1"/>
    <row r="21" ht="15.75" customHeight="1">
      <c r="A21" s="99" t="s">
        <v>200</v>
      </c>
      <c r="G21" s="91" t="s">
        <v>157</v>
      </c>
      <c r="H21" s="103">
        <f>SUM(D39:H42)</f>
        <v>60</v>
      </c>
      <c r="I21" s="6"/>
    </row>
    <row r="22" ht="15.75" customHeight="1">
      <c r="G22" s="83" t="s">
        <v>201</v>
      </c>
    </row>
    <row r="23" ht="15.75" customHeight="1">
      <c r="A23" s="86" t="s">
        <v>202</v>
      </c>
      <c r="B23" s="88" t="s">
        <v>108</v>
      </c>
      <c r="C23" s="33"/>
      <c r="D23" s="33"/>
      <c r="E23" s="33"/>
      <c r="F23" s="33"/>
      <c r="G23" s="33"/>
      <c r="H23" s="34"/>
    </row>
    <row r="24" ht="15.75" customHeight="1">
      <c r="A24" s="86" t="s">
        <v>202</v>
      </c>
      <c r="B24" s="77"/>
      <c r="C24" s="33"/>
      <c r="D24" s="33"/>
      <c r="E24" s="33"/>
      <c r="F24" s="33"/>
      <c r="G24" s="33"/>
      <c r="H24" s="34"/>
    </row>
    <row r="25" ht="15.75" customHeight="1"/>
    <row r="26" ht="15.75" customHeight="1">
      <c r="A26" s="104" t="s">
        <v>203</v>
      </c>
      <c r="B26" s="6"/>
      <c r="C26" s="6"/>
      <c r="D26" s="6"/>
    </row>
    <row r="27" ht="15.75" customHeight="1">
      <c r="A27" s="105" t="s">
        <v>73</v>
      </c>
      <c r="B27" s="106" t="s">
        <v>204</v>
      </c>
      <c r="C27" s="34"/>
      <c r="D27" s="106" t="s">
        <v>205</v>
      </c>
      <c r="E27" s="34"/>
      <c r="F27" s="106" t="s">
        <v>206</v>
      </c>
      <c r="G27" s="33"/>
      <c r="H27" s="34"/>
    </row>
    <row r="28" ht="15.75" customHeight="1">
      <c r="A28" s="78">
        <v>1.0</v>
      </c>
      <c r="B28" s="77" t="str">
        <f>IFERROR(__xludf.DUMMYFUNCTION("FILTER('Diseño'!D:D,'Diseño'!H:H=$C$5)"),"Unidad 4 – Codificación de la Información")</f>
        <v>Unidad 4 – Codificación de la Información</v>
      </c>
      <c r="C28" s="34"/>
      <c r="D28" s="77" t="str">
        <f>IFERROR(__xludf.DUMMYFUNCTION("FILTER('Diseño'!E:E,'Diseño'!H:H=$C$5)"),"Sistemas de numeración")</f>
        <v>Sistemas de numeración</v>
      </c>
      <c r="E28" s="34"/>
      <c r="F28" s="77" t="str">
        <f>IFERROR(__xludf.DUMMYFUNCTION("FILTER('Diseño'!F:F,'Diseño'!H:H=$C$5)"),"Sistema decimal, binario, octal y hexadecimal")</f>
        <v>Sistema decimal, binario, octal y hexadecimal</v>
      </c>
      <c r="G28" s="33"/>
      <c r="H28" s="34"/>
    </row>
    <row r="29" ht="15.75" customHeight="1">
      <c r="A29" s="78">
        <v>2.0</v>
      </c>
      <c r="B29" s="77" t="str">
        <f>IFERROR(__xludf.DUMMYFUNCTION("""COMPUTED_VALUE"""),"Unidad 4 – Codificación de la Información")</f>
        <v>Unidad 4 – Codificación de la Información</v>
      </c>
      <c r="C29" s="34"/>
      <c r="D29" s="77" t="str">
        <f>IFERROR(__xludf.DUMMYFUNCTION("""COMPUTED_VALUE"""),"Codificación")</f>
        <v>Codificación</v>
      </c>
      <c r="E29" s="34"/>
      <c r="F29" s="77" t="str">
        <f>IFERROR(__xludf.DUMMYFUNCTION("""COMPUTED_VALUE"""),"ASCII, EBCDIC, UNICODE, ISO-8859")</f>
        <v>ASCII, EBCDIC, UNICODE, ISO-8859</v>
      </c>
      <c r="G29" s="33"/>
      <c r="H29" s="34"/>
    </row>
    <row r="30" ht="15.75" customHeight="1">
      <c r="A30" s="78">
        <v>3.0</v>
      </c>
      <c r="B30" s="77" t="str">
        <f>IFERROR(__xludf.DUMMYFUNCTION("""COMPUTED_VALUE"""),"Unidad 4 – Codificación de la Información")</f>
        <v>Unidad 4 – Codificación de la Información</v>
      </c>
      <c r="C30" s="34"/>
      <c r="D30" s="77" t="str">
        <f>IFERROR(__xludf.DUMMYFUNCTION("""COMPUTED_VALUE"""),"Representación de datos")</f>
        <v>Representación de datos</v>
      </c>
      <c r="E30" s="34"/>
      <c r="F30" s="77" t="str">
        <f>IFERROR(__xludf.DUMMYFUNCTION("""COMPUTED_VALUE"""),"Tipos de datos primitivos, imágenes, audio y video")</f>
        <v>Tipos de datos primitivos, imágenes, audio y video</v>
      </c>
      <c r="G30" s="33"/>
      <c r="H30" s="34"/>
    </row>
    <row r="31" ht="15.75" customHeight="1">
      <c r="A31" s="78">
        <v>4.0</v>
      </c>
      <c r="B31" s="77"/>
      <c r="C31" s="34"/>
      <c r="D31" s="77"/>
      <c r="E31" s="34"/>
      <c r="F31" s="77"/>
      <c r="G31" s="33"/>
      <c r="H31" s="34"/>
    </row>
    <row r="32" ht="15.75" customHeight="1">
      <c r="A32" s="78">
        <v>5.0</v>
      </c>
      <c r="B32" s="77"/>
      <c r="C32" s="34"/>
      <c r="D32" s="77"/>
      <c r="E32" s="34"/>
      <c r="F32" s="77"/>
      <c r="G32" s="33"/>
      <c r="H32" s="34"/>
    </row>
    <row r="33" ht="15.75" customHeight="1">
      <c r="A33" s="78">
        <v>6.0</v>
      </c>
      <c r="B33" s="77"/>
      <c r="C33" s="34"/>
      <c r="D33" s="77"/>
      <c r="E33" s="34"/>
      <c r="F33" s="77"/>
      <c r="G33" s="33"/>
      <c r="H33" s="34"/>
    </row>
    <row r="34" ht="15.75" customHeight="1">
      <c r="A34" s="78">
        <v>7.0</v>
      </c>
      <c r="B34" s="77"/>
      <c r="C34" s="34"/>
      <c r="D34" s="77"/>
      <c r="E34" s="34"/>
      <c r="F34" s="77"/>
      <c r="G34" s="33"/>
      <c r="H34" s="34"/>
    </row>
    <row r="35" ht="15.75" customHeight="1"/>
    <row r="36" ht="15.75" customHeight="1">
      <c r="A36" s="104" t="s">
        <v>207</v>
      </c>
    </row>
    <row r="37" ht="15.75" customHeight="1">
      <c r="A37" s="6"/>
      <c r="B37" s="6"/>
      <c r="C37" s="6"/>
      <c r="D37" s="6"/>
      <c r="E37" s="6"/>
      <c r="F37" s="6"/>
      <c r="G37" s="6"/>
      <c r="H37" s="6"/>
    </row>
    <row r="38">
      <c r="A38" s="105" t="s">
        <v>208</v>
      </c>
      <c r="B38" s="105" t="s">
        <v>29</v>
      </c>
      <c r="C38" s="107" t="s">
        <v>209</v>
      </c>
      <c r="D38" s="108" t="s">
        <v>210</v>
      </c>
      <c r="E38" s="33"/>
      <c r="F38" s="33"/>
      <c r="G38" s="33"/>
      <c r="H38" s="34"/>
      <c r="I38" s="109" t="s">
        <v>18</v>
      </c>
    </row>
    <row r="39" ht="15.75" customHeight="1">
      <c r="A39" s="78" t="s">
        <v>211</v>
      </c>
      <c r="B39" s="78" t="s">
        <v>212</v>
      </c>
      <c r="C39" s="78">
        <v>30.0</v>
      </c>
      <c r="D39" s="88">
        <v>25.0</v>
      </c>
      <c r="E39" s="33"/>
      <c r="F39" s="33"/>
      <c r="G39" s="33"/>
      <c r="H39" s="34"/>
      <c r="I39" s="78" t="str">
        <f t="shared" ref="I39:I42" si="1">IF(D39&lt;=C39,"Correcto", "Corregir")</f>
        <v>Correcto</v>
      </c>
    </row>
    <row r="40" ht="15.75" customHeight="1">
      <c r="A40" s="78" t="s">
        <v>213</v>
      </c>
      <c r="B40" s="78" t="s">
        <v>212</v>
      </c>
      <c r="C40" s="78">
        <v>6.0</v>
      </c>
      <c r="D40" s="88">
        <v>5.0</v>
      </c>
      <c r="E40" s="33"/>
      <c r="F40" s="33"/>
      <c r="G40" s="33"/>
      <c r="H40" s="34"/>
      <c r="I40" s="78" t="str">
        <f t="shared" si="1"/>
        <v>Correcto</v>
      </c>
    </row>
    <row r="41" ht="15.75" customHeight="1">
      <c r="A41" s="78" t="s">
        <v>214</v>
      </c>
      <c r="B41" s="78" t="s">
        <v>215</v>
      </c>
      <c r="C41" s="78">
        <v>10.0</v>
      </c>
      <c r="D41" s="88">
        <v>5.0</v>
      </c>
      <c r="E41" s="33"/>
      <c r="F41" s="33"/>
      <c r="G41" s="33"/>
      <c r="H41" s="34"/>
      <c r="I41" s="78" t="str">
        <f t="shared" si="1"/>
        <v>Correcto</v>
      </c>
    </row>
    <row r="42" ht="15.75" customHeight="1">
      <c r="A42" s="78" t="s">
        <v>216</v>
      </c>
      <c r="B42" s="78" t="s">
        <v>212</v>
      </c>
      <c r="C42" s="78">
        <v>30.0</v>
      </c>
      <c r="D42" s="88">
        <v>25.0</v>
      </c>
      <c r="E42" s="33"/>
      <c r="F42" s="33"/>
      <c r="G42" s="33"/>
      <c r="H42" s="34"/>
      <c r="I42" s="78" t="str">
        <f t="shared" si="1"/>
        <v>Correcto</v>
      </c>
    </row>
    <row r="43" ht="15.75" customHeight="1"/>
    <row r="44" ht="15.75" customHeight="1">
      <c r="A44" s="99" t="s">
        <v>217</v>
      </c>
      <c r="G44" s="91" t="s">
        <v>157</v>
      </c>
      <c r="H44" s="103">
        <f>B50</f>
        <v>20</v>
      </c>
    </row>
    <row r="45" ht="15.75" customHeight="1">
      <c r="G45" s="83" t="s">
        <v>218</v>
      </c>
    </row>
    <row r="46" ht="15.75" customHeight="1">
      <c r="A46" s="83" t="s">
        <v>219</v>
      </c>
    </row>
    <row r="47">
      <c r="A47" s="86" t="s">
        <v>220</v>
      </c>
      <c r="B47" s="88" t="s">
        <v>108</v>
      </c>
      <c r="C47" s="33"/>
      <c r="D47" s="33"/>
      <c r="E47" s="33"/>
      <c r="F47" s="33"/>
      <c r="G47" s="33"/>
      <c r="H47" s="34"/>
    </row>
    <row r="48" ht="15.75" customHeight="1">
      <c r="A48" s="86" t="s">
        <v>8</v>
      </c>
      <c r="B48" s="88" t="s">
        <v>234</v>
      </c>
      <c r="C48" s="33"/>
      <c r="D48" s="33"/>
      <c r="E48" s="33"/>
      <c r="F48" s="33"/>
      <c r="G48" s="33"/>
      <c r="H48" s="34"/>
    </row>
    <row r="49" ht="15.75" customHeight="1">
      <c r="A49" s="86" t="s">
        <v>190</v>
      </c>
      <c r="B49" s="110">
        <v>2.0</v>
      </c>
      <c r="C49" s="33"/>
      <c r="D49" s="33"/>
      <c r="E49" s="33"/>
      <c r="F49" s="33"/>
      <c r="G49" s="33"/>
      <c r="H49" s="34"/>
    </row>
    <row r="50" ht="15.75" customHeight="1">
      <c r="A50" s="86" t="s">
        <v>157</v>
      </c>
      <c r="B50" s="88">
        <v>20.0</v>
      </c>
      <c r="C50" s="33"/>
      <c r="D50" s="33"/>
      <c r="E50" s="33"/>
      <c r="F50" s="33"/>
      <c r="G50" s="33"/>
      <c r="H50" s="34"/>
    </row>
    <row r="51" ht="15.75" customHeight="1">
      <c r="A51" s="111" t="s">
        <v>222</v>
      </c>
      <c r="B51" s="6"/>
      <c r="C51" s="6"/>
      <c r="D51" s="6"/>
      <c r="E51" s="6"/>
      <c r="F51" s="6"/>
      <c r="G51" s="6"/>
      <c r="H51" s="6"/>
    </row>
    <row r="52" ht="15.75" customHeight="1">
      <c r="A52" s="101" t="s">
        <v>223</v>
      </c>
      <c r="B52" s="33"/>
      <c r="C52" s="33"/>
      <c r="D52" s="33"/>
      <c r="E52" s="33"/>
      <c r="F52" s="33"/>
      <c r="G52" s="33"/>
      <c r="H52" s="34"/>
    </row>
    <row r="53" ht="15.75" customHeight="1">
      <c r="A53" s="112"/>
      <c r="B53" s="59"/>
      <c r="C53" s="59"/>
      <c r="D53" s="59"/>
      <c r="E53" s="59"/>
      <c r="F53" s="59"/>
      <c r="G53" s="59"/>
      <c r="H53" s="60"/>
    </row>
    <row r="54" ht="15.75" customHeight="1">
      <c r="A54" s="113"/>
      <c r="H54" s="114"/>
    </row>
    <row r="55" ht="15.75" customHeight="1">
      <c r="A55" s="61"/>
      <c r="B55" s="62"/>
      <c r="C55" s="62"/>
      <c r="D55" s="62"/>
      <c r="E55" s="62"/>
      <c r="F55" s="62"/>
      <c r="G55" s="62"/>
      <c r="H55" s="63"/>
    </row>
    <row r="56" ht="15.75" customHeight="1"/>
    <row r="57" ht="15.75" customHeight="1">
      <c r="A57" s="83" t="s">
        <v>224</v>
      </c>
    </row>
    <row r="58">
      <c r="A58" s="86" t="s">
        <v>220</v>
      </c>
      <c r="B58" s="77"/>
      <c r="C58" s="33"/>
      <c r="D58" s="33"/>
      <c r="E58" s="33"/>
      <c r="F58" s="33"/>
      <c r="G58" s="33"/>
      <c r="H58" s="34"/>
    </row>
    <row r="59" ht="15.75" customHeight="1">
      <c r="A59" s="86" t="s">
        <v>8</v>
      </c>
      <c r="B59" s="77"/>
      <c r="C59" s="33"/>
      <c r="D59" s="33"/>
      <c r="E59" s="33"/>
      <c r="F59" s="33"/>
      <c r="G59" s="33"/>
      <c r="H59" s="34"/>
    </row>
    <row r="60" ht="15.75" customHeight="1">
      <c r="A60" s="86" t="s">
        <v>190</v>
      </c>
      <c r="B60" s="115"/>
      <c r="C60" s="33"/>
      <c r="D60" s="33"/>
      <c r="E60" s="33"/>
      <c r="F60" s="33"/>
      <c r="G60" s="33"/>
      <c r="H60" s="34"/>
    </row>
    <row r="61" ht="15.75" customHeight="1">
      <c r="A61" s="86" t="s">
        <v>157</v>
      </c>
      <c r="B61" s="115"/>
      <c r="C61" s="33"/>
      <c r="D61" s="33"/>
      <c r="E61" s="33"/>
      <c r="F61" s="33"/>
      <c r="G61" s="33"/>
      <c r="H61" s="34"/>
    </row>
    <row r="62" ht="15.75" customHeight="1">
      <c r="A62" s="116" t="s">
        <v>225</v>
      </c>
      <c r="B62" s="6"/>
      <c r="C62" s="6"/>
      <c r="D62" s="6"/>
      <c r="E62" s="6"/>
      <c r="F62" s="6"/>
      <c r="G62" s="6"/>
      <c r="H62" s="6"/>
    </row>
    <row r="63" ht="15.75" customHeight="1">
      <c r="A63" s="101" t="s">
        <v>223</v>
      </c>
      <c r="B63" s="33"/>
      <c r="C63" s="33"/>
      <c r="D63" s="33"/>
      <c r="E63" s="33"/>
      <c r="F63" s="33"/>
      <c r="G63" s="33"/>
      <c r="H63" s="34"/>
    </row>
    <row r="64" ht="15.75" customHeight="1">
      <c r="A64" s="112"/>
      <c r="B64" s="59"/>
      <c r="C64" s="59"/>
      <c r="D64" s="59"/>
      <c r="E64" s="59"/>
      <c r="F64" s="59"/>
      <c r="G64" s="59"/>
      <c r="H64" s="60"/>
    </row>
    <row r="65" ht="15.75" customHeight="1">
      <c r="A65" s="113"/>
      <c r="H65" s="114"/>
    </row>
    <row r="66" ht="15.75" customHeight="1">
      <c r="A66" s="61"/>
      <c r="B66" s="62"/>
      <c r="C66" s="62"/>
      <c r="D66" s="62"/>
      <c r="E66" s="62"/>
      <c r="F66" s="62"/>
      <c r="G66" s="62"/>
      <c r="H66" s="63"/>
    </row>
    <row r="67" ht="15.75" customHeight="1"/>
    <row r="68" ht="15.75" customHeight="1">
      <c r="A68" s="99" t="s">
        <v>226</v>
      </c>
      <c r="G68" s="91" t="s">
        <v>157</v>
      </c>
      <c r="H68" s="103">
        <f>B70</f>
        <v>15</v>
      </c>
    </row>
    <row r="69" ht="15.75" customHeight="1">
      <c r="G69" s="83" t="s">
        <v>227</v>
      </c>
    </row>
    <row r="70" ht="15.75" customHeight="1">
      <c r="A70" s="86" t="s">
        <v>157</v>
      </c>
      <c r="B70" s="110">
        <v>15.0</v>
      </c>
      <c r="C70" s="33"/>
      <c r="D70" s="33"/>
      <c r="E70" s="33"/>
      <c r="F70" s="33"/>
      <c r="G70" s="33"/>
      <c r="H70" s="34"/>
    </row>
    <row r="71" ht="15.75" customHeight="1">
      <c r="A71" s="108" t="s">
        <v>228</v>
      </c>
      <c r="B71" s="33"/>
      <c r="C71" s="33"/>
      <c r="D71" s="33"/>
      <c r="E71" s="33"/>
      <c r="F71" s="33"/>
      <c r="G71" s="33"/>
      <c r="H71" s="34"/>
    </row>
    <row r="72" ht="15.75" customHeight="1">
      <c r="A72" s="102" t="s">
        <v>243</v>
      </c>
      <c r="B72" s="59"/>
      <c r="C72" s="59"/>
      <c r="D72" s="59"/>
      <c r="E72" s="59"/>
      <c r="F72" s="59"/>
      <c r="G72" s="59"/>
      <c r="H72" s="60"/>
    </row>
    <row r="73" ht="15.75" customHeight="1">
      <c r="A73" s="61"/>
      <c r="B73" s="62"/>
      <c r="C73" s="62"/>
      <c r="D73" s="62"/>
      <c r="E73" s="62"/>
      <c r="F73" s="62"/>
      <c r="G73" s="62"/>
      <c r="H73" s="63"/>
    </row>
    <row r="74" ht="15.75" customHeight="1">
      <c r="A74" s="83"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189</v>
      </c>
    </row>
    <row r="3" ht="15.75" customHeight="1"/>
    <row r="4" ht="15.75" customHeight="1">
      <c r="B4" s="76" t="s">
        <v>1</v>
      </c>
      <c r="C4" s="96" t="str">
        <f>'Diseño'!C4</f>
        <v>768 - Algoritmos</v>
      </c>
      <c r="D4" s="33"/>
      <c r="E4" s="33"/>
      <c r="F4" s="33"/>
      <c r="G4" s="34"/>
    </row>
    <row r="5" ht="15.75" customHeight="1">
      <c r="B5" s="78" t="s">
        <v>79</v>
      </c>
      <c r="C5" s="77">
        <v>6.0</v>
      </c>
      <c r="D5" s="33"/>
      <c r="E5" s="33"/>
      <c r="F5" s="33"/>
      <c r="G5" s="34"/>
    </row>
    <row r="6" ht="15.75" customHeight="1">
      <c r="B6" s="97" t="s">
        <v>154</v>
      </c>
      <c r="C6" s="77">
        <f>H10+H21+H44+H68</f>
        <v>100</v>
      </c>
      <c r="D6" s="33"/>
      <c r="E6" s="33"/>
      <c r="F6" s="33"/>
      <c r="G6" s="34"/>
      <c r="I6" s="6"/>
    </row>
    <row r="7" ht="15.75" customHeight="1">
      <c r="B7" s="97" t="s">
        <v>190</v>
      </c>
      <c r="C7" s="77">
        <f>B49+B60</f>
        <v>0</v>
      </c>
      <c r="D7" s="33"/>
      <c r="E7" s="33"/>
      <c r="F7" s="33"/>
      <c r="G7" s="34"/>
    </row>
    <row r="8" ht="15.75" customHeight="1">
      <c r="B8" s="97" t="s">
        <v>191</v>
      </c>
      <c r="C8" s="98" t="str">
        <f>IF(H44&lt;=0, "❌ ERROR: La Actividad 1 debe tener un tiempo mayor a 0.", IF(H21&gt;60, "❌ ERROR: El 'Área de Conocimiento' no puede exceder los 60 min.", IF((H10+H21+H44+H68)&lt;100, "❌ ERROR: El tiempo total debe ser de al menos 100 min.", "✅ VALIDACIÓN CORRECTA")))</f>
        <v>✅ VALIDACIÓN CORRECTA</v>
      </c>
      <c r="D8" s="33"/>
      <c r="E8" s="33"/>
      <c r="F8" s="33"/>
      <c r="G8" s="34"/>
      <c r="I8" s="6"/>
      <c r="J8" s="6"/>
      <c r="K8" s="6"/>
    </row>
    <row r="9" ht="15.75" customHeight="1"/>
    <row r="10" ht="15.75" customHeight="1">
      <c r="A10" s="99" t="s">
        <v>192</v>
      </c>
      <c r="G10" s="91" t="s">
        <v>157</v>
      </c>
      <c r="H10" s="103">
        <f>B13</f>
        <v>5</v>
      </c>
    </row>
    <row r="11" ht="15.75" customHeight="1">
      <c r="G11" s="83" t="s">
        <v>193</v>
      </c>
    </row>
    <row r="12" ht="15.75" customHeight="1">
      <c r="A12" s="86" t="s">
        <v>194</v>
      </c>
      <c r="B12" s="88" t="s">
        <v>244</v>
      </c>
      <c r="C12" s="33"/>
      <c r="D12" s="33"/>
      <c r="E12" s="33"/>
      <c r="F12" s="33"/>
      <c r="G12" s="33"/>
      <c r="H12" s="34"/>
    </row>
    <row r="13" ht="15.75" customHeight="1">
      <c r="A13" s="87" t="s">
        <v>157</v>
      </c>
      <c r="B13" s="88">
        <v>5.0</v>
      </c>
      <c r="C13" s="33"/>
      <c r="D13" s="33"/>
      <c r="E13" s="33"/>
      <c r="F13" s="33"/>
      <c r="G13" s="33"/>
      <c r="H13" s="34"/>
    </row>
    <row r="14" ht="15.75" customHeight="1">
      <c r="A14" s="101" t="s">
        <v>196</v>
      </c>
      <c r="B14" s="33"/>
      <c r="C14" s="33"/>
      <c r="D14" s="33"/>
      <c r="E14" s="33"/>
      <c r="F14" s="33"/>
      <c r="G14" s="33"/>
      <c r="H14" s="34"/>
    </row>
    <row r="15" ht="15.75" customHeight="1">
      <c r="A15" s="102" t="s">
        <v>245</v>
      </c>
      <c r="B15" s="59"/>
      <c r="C15" s="59"/>
      <c r="D15" s="59"/>
      <c r="E15" s="59"/>
      <c r="F15" s="59"/>
      <c r="G15" s="59"/>
      <c r="H15" s="60"/>
    </row>
    <row r="16" ht="15.75" customHeight="1">
      <c r="A16" s="61"/>
      <c r="B16" s="62"/>
      <c r="C16" s="62"/>
      <c r="D16" s="62"/>
      <c r="E16" s="62"/>
      <c r="F16" s="62"/>
      <c r="G16" s="62"/>
      <c r="H16" s="63"/>
    </row>
    <row r="17" ht="15.75" customHeight="1">
      <c r="A17" s="101" t="s">
        <v>198</v>
      </c>
      <c r="B17" s="33"/>
      <c r="C17" s="33"/>
      <c r="D17" s="33"/>
      <c r="E17" s="33"/>
      <c r="F17" s="33"/>
      <c r="G17" s="33"/>
      <c r="H17" s="34"/>
    </row>
    <row r="18" ht="15.75" customHeight="1">
      <c r="A18" s="102" t="s">
        <v>246</v>
      </c>
      <c r="B18" s="59"/>
      <c r="C18" s="59"/>
      <c r="D18" s="59"/>
      <c r="E18" s="59"/>
      <c r="F18" s="59"/>
      <c r="G18" s="59"/>
      <c r="H18" s="60"/>
    </row>
    <row r="19" ht="15.75" customHeight="1">
      <c r="A19" s="61"/>
      <c r="B19" s="62"/>
      <c r="C19" s="62"/>
      <c r="D19" s="62"/>
      <c r="E19" s="62"/>
      <c r="F19" s="62"/>
      <c r="G19" s="62"/>
      <c r="H19" s="63"/>
    </row>
    <row r="20" ht="15.75" customHeight="1"/>
    <row r="21" ht="15.75" customHeight="1">
      <c r="A21" s="99" t="s">
        <v>200</v>
      </c>
      <c r="G21" s="91" t="s">
        <v>157</v>
      </c>
      <c r="H21" s="103">
        <f>SUM(D39:H42)</f>
        <v>60</v>
      </c>
      <c r="I21" s="6"/>
    </row>
    <row r="22" ht="15.75" customHeight="1">
      <c r="G22" s="83" t="s">
        <v>201</v>
      </c>
    </row>
    <row r="23" ht="15.75" customHeight="1">
      <c r="A23" s="86" t="s">
        <v>202</v>
      </c>
      <c r="B23" s="88" t="s">
        <v>116</v>
      </c>
      <c r="C23" s="33"/>
      <c r="D23" s="33"/>
      <c r="E23" s="33"/>
      <c r="F23" s="33"/>
      <c r="G23" s="33"/>
      <c r="H23" s="34"/>
    </row>
    <row r="24" ht="15.75" customHeight="1">
      <c r="A24" s="86" t="s">
        <v>202</v>
      </c>
      <c r="B24" s="77"/>
      <c r="C24" s="33"/>
      <c r="D24" s="33"/>
      <c r="E24" s="33"/>
      <c r="F24" s="33"/>
      <c r="G24" s="33"/>
      <c r="H24" s="34"/>
    </row>
    <row r="25" ht="15.75" customHeight="1"/>
    <row r="26" ht="15.75" customHeight="1">
      <c r="A26" s="104" t="s">
        <v>203</v>
      </c>
      <c r="B26" s="6"/>
      <c r="C26" s="6"/>
      <c r="D26" s="6"/>
    </row>
    <row r="27" ht="15.75" customHeight="1">
      <c r="A27" s="105" t="s">
        <v>73</v>
      </c>
      <c r="B27" s="106" t="s">
        <v>204</v>
      </c>
      <c r="C27" s="34"/>
      <c r="D27" s="106" t="s">
        <v>205</v>
      </c>
      <c r="E27" s="34"/>
      <c r="F27" s="106" t="s">
        <v>206</v>
      </c>
      <c r="G27" s="33"/>
      <c r="H27" s="34"/>
    </row>
    <row r="28" ht="15.75" customHeight="1">
      <c r="A28" s="78">
        <v>1.0</v>
      </c>
      <c r="B28" s="77" t="str">
        <f>IFERROR(__xludf.DUMMYFUNCTION("FILTER('Diseño'!D:D,'Diseño'!H:H=$C$5)"),"Unidad 4 – Fundamentos de Algoritmos")</f>
        <v>Unidad 4 – Fundamentos de Algoritmos</v>
      </c>
      <c r="C28" s="34"/>
      <c r="D28" s="77" t="str">
        <f>IFERROR(__xludf.DUMMYFUNCTION("FILTER('Diseño'!E:E,'Diseño'!H:H=$C$5)"),"Fundamentos de algoritmos")</f>
        <v>Fundamentos de algoritmos</v>
      </c>
      <c r="E28" s="34"/>
      <c r="F28" s="77" t="str">
        <f>IFERROR(__xludf.DUMMYFUNCTION("FILTER('Diseño'!F:F,'Diseño'!H:H=$C$5)"),"Descomposición, reconocimiento de patrones y abstracción")</f>
        <v>Descomposición, reconocimiento de patrones y abstracción</v>
      </c>
      <c r="G28" s="33"/>
      <c r="H28" s="34"/>
    </row>
    <row r="29" ht="15.75" customHeight="1">
      <c r="A29" s="78">
        <v>2.0</v>
      </c>
      <c r="B29" s="77" t="str">
        <f>IFERROR(__xludf.DUMMYFUNCTION("""COMPUTED_VALUE"""),"Unidad 4 – Fundamentos de Algoritmos")</f>
        <v>Unidad 4 – Fundamentos de Algoritmos</v>
      </c>
      <c r="C29" s="34"/>
      <c r="D29" s="77" t="str">
        <f>IFERROR(__xludf.DUMMYFUNCTION("""COMPUTED_VALUE"""),"Definición de un problema")</f>
        <v>Definición de un problema</v>
      </c>
      <c r="E29" s="34"/>
      <c r="F29" s="77" t="str">
        <f>IFERROR(__xludf.DUMMYFUNCTION("""COMPUTED_VALUE"""),"Instancias y soluciones")</f>
        <v>Instancias y soluciones</v>
      </c>
      <c r="G29" s="33"/>
      <c r="H29" s="34"/>
    </row>
    <row r="30" ht="15.75" customHeight="1">
      <c r="A30" s="78">
        <v>3.0</v>
      </c>
      <c r="B30" s="77" t="str">
        <f>IFERROR(__xludf.DUMMYFUNCTION("""COMPUTED_VALUE"""),"Unidad 4 – Fundamentos de Algoritmos")</f>
        <v>Unidad 4 – Fundamentos de Algoritmos</v>
      </c>
      <c r="C30" s="34"/>
      <c r="D30" s="77" t="str">
        <f>IFERROR(__xludf.DUMMYFUNCTION("""COMPUTED_VALUE"""),"Características de un problema")</f>
        <v>Características de un problema</v>
      </c>
      <c r="E30" s="34"/>
      <c r="F30" s="77" t="str">
        <f>IFERROR(__xludf.DUMMYFUNCTION("""COMPUTED_VALUE"""),"Necesidad de la solución, contexto claro, relevancia")</f>
        <v>Necesidad de la solución, contexto claro, relevancia</v>
      </c>
      <c r="G30" s="33"/>
      <c r="H30" s="34"/>
    </row>
    <row r="31" ht="15.75" customHeight="1">
      <c r="A31" s="78">
        <v>4.0</v>
      </c>
      <c r="B31" s="77"/>
      <c r="C31" s="34"/>
      <c r="D31" s="77"/>
      <c r="E31" s="34"/>
      <c r="F31" s="77"/>
      <c r="G31" s="33"/>
      <c r="H31" s="34"/>
    </row>
    <row r="32" ht="15.75" customHeight="1">
      <c r="A32" s="78">
        <v>5.0</v>
      </c>
      <c r="B32" s="77"/>
      <c r="C32" s="34"/>
      <c r="D32" s="77"/>
      <c r="E32" s="34"/>
      <c r="F32" s="77"/>
      <c r="G32" s="33"/>
      <c r="H32" s="34"/>
    </row>
    <row r="33" ht="15.75" customHeight="1">
      <c r="A33" s="78">
        <v>6.0</v>
      </c>
      <c r="B33" s="77"/>
      <c r="C33" s="34"/>
      <c r="D33" s="77"/>
      <c r="E33" s="34"/>
      <c r="F33" s="77"/>
      <c r="G33" s="33"/>
      <c r="H33" s="34"/>
    </row>
    <row r="34" ht="15.75" customHeight="1">
      <c r="A34" s="78">
        <v>7.0</v>
      </c>
      <c r="B34" s="77"/>
      <c r="C34" s="34"/>
      <c r="D34" s="77"/>
      <c r="E34" s="34"/>
      <c r="F34" s="77"/>
      <c r="G34" s="33"/>
      <c r="H34" s="34"/>
    </row>
    <row r="35" ht="15.75" customHeight="1"/>
    <row r="36" ht="15.75" customHeight="1">
      <c r="A36" s="104" t="s">
        <v>207</v>
      </c>
    </row>
    <row r="37" ht="15.75" customHeight="1">
      <c r="A37" s="6"/>
      <c r="B37" s="6"/>
      <c r="C37" s="6"/>
      <c r="D37" s="6"/>
      <c r="E37" s="6"/>
      <c r="F37" s="6"/>
      <c r="G37" s="6"/>
      <c r="H37" s="6"/>
    </row>
    <row r="38">
      <c r="A38" s="105" t="s">
        <v>208</v>
      </c>
      <c r="B38" s="105" t="s">
        <v>29</v>
      </c>
      <c r="C38" s="107" t="s">
        <v>209</v>
      </c>
      <c r="D38" s="108" t="s">
        <v>210</v>
      </c>
      <c r="E38" s="33"/>
      <c r="F38" s="33"/>
      <c r="G38" s="33"/>
      <c r="H38" s="34"/>
      <c r="I38" s="109" t="s">
        <v>18</v>
      </c>
    </row>
    <row r="39" ht="15.75" customHeight="1">
      <c r="A39" s="78" t="s">
        <v>211</v>
      </c>
      <c r="B39" s="78" t="s">
        <v>212</v>
      </c>
      <c r="C39" s="78">
        <v>30.0</v>
      </c>
      <c r="D39" s="88">
        <v>25.0</v>
      </c>
      <c r="E39" s="33"/>
      <c r="F39" s="33"/>
      <c r="G39" s="33"/>
      <c r="H39" s="34"/>
      <c r="I39" s="78" t="str">
        <f t="shared" ref="I39:I42" si="1">IF(D39&lt;=C39,"Correcto", "Corregir")</f>
        <v>Correcto</v>
      </c>
    </row>
    <row r="40" ht="15.75" customHeight="1">
      <c r="A40" s="78" t="s">
        <v>213</v>
      </c>
      <c r="B40" s="78" t="s">
        <v>212</v>
      </c>
      <c r="C40" s="78">
        <v>6.0</v>
      </c>
      <c r="D40" s="88">
        <v>5.0</v>
      </c>
      <c r="E40" s="33"/>
      <c r="F40" s="33"/>
      <c r="G40" s="33"/>
      <c r="H40" s="34"/>
      <c r="I40" s="78" t="str">
        <f t="shared" si="1"/>
        <v>Correcto</v>
      </c>
    </row>
    <row r="41" ht="15.75" customHeight="1">
      <c r="A41" s="78" t="s">
        <v>214</v>
      </c>
      <c r="B41" s="78" t="s">
        <v>215</v>
      </c>
      <c r="C41" s="78">
        <v>10.0</v>
      </c>
      <c r="D41" s="88">
        <v>5.0</v>
      </c>
      <c r="E41" s="33"/>
      <c r="F41" s="33"/>
      <c r="G41" s="33"/>
      <c r="H41" s="34"/>
      <c r="I41" s="78" t="str">
        <f t="shared" si="1"/>
        <v>Correcto</v>
      </c>
    </row>
    <row r="42" ht="15.75" customHeight="1">
      <c r="A42" s="78" t="s">
        <v>216</v>
      </c>
      <c r="B42" s="78" t="s">
        <v>212</v>
      </c>
      <c r="C42" s="78">
        <v>30.0</v>
      </c>
      <c r="D42" s="88">
        <v>25.0</v>
      </c>
      <c r="E42" s="33"/>
      <c r="F42" s="33"/>
      <c r="G42" s="33"/>
      <c r="H42" s="34"/>
      <c r="I42" s="78" t="str">
        <f t="shared" si="1"/>
        <v>Correcto</v>
      </c>
    </row>
    <row r="43" ht="15.75" customHeight="1"/>
    <row r="44" ht="15.75" customHeight="1">
      <c r="A44" s="99" t="s">
        <v>217</v>
      </c>
      <c r="G44" s="91" t="s">
        <v>157</v>
      </c>
      <c r="H44" s="103">
        <f>B50</f>
        <v>25</v>
      </c>
    </row>
    <row r="45" ht="15.75" customHeight="1">
      <c r="G45" s="83" t="s">
        <v>218</v>
      </c>
    </row>
    <row r="46" ht="15.75" customHeight="1">
      <c r="A46" s="83" t="s">
        <v>219</v>
      </c>
    </row>
    <row r="47">
      <c r="A47" s="86" t="s">
        <v>220</v>
      </c>
      <c r="B47" s="88" t="s">
        <v>116</v>
      </c>
      <c r="C47" s="33"/>
      <c r="D47" s="33"/>
      <c r="E47" s="33"/>
      <c r="F47" s="33"/>
      <c r="G47" s="33"/>
      <c r="H47" s="34"/>
    </row>
    <row r="48" ht="15.75" customHeight="1">
      <c r="A48" s="86" t="s">
        <v>8</v>
      </c>
      <c r="B48" s="88" t="s">
        <v>221</v>
      </c>
      <c r="C48" s="33"/>
      <c r="D48" s="33"/>
      <c r="E48" s="33"/>
      <c r="F48" s="33"/>
      <c r="G48" s="33"/>
      <c r="H48" s="34"/>
    </row>
    <row r="49" ht="15.75" customHeight="1">
      <c r="A49" s="86" t="s">
        <v>190</v>
      </c>
      <c r="B49" s="115">
        <v>0.0</v>
      </c>
      <c r="C49" s="33"/>
      <c r="D49" s="33"/>
      <c r="E49" s="33"/>
      <c r="F49" s="33"/>
      <c r="G49" s="33"/>
      <c r="H49" s="34"/>
    </row>
    <row r="50" ht="15.75" customHeight="1">
      <c r="A50" s="86" t="s">
        <v>157</v>
      </c>
      <c r="B50" s="88">
        <v>25.0</v>
      </c>
      <c r="C50" s="33"/>
      <c r="D50" s="33"/>
      <c r="E50" s="33"/>
      <c r="F50" s="33"/>
      <c r="G50" s="33"/>
      <c r="H50" s="34"/>
    </row>
    <row r="51" ht="15.75" customHeight="1">
      <c r="A51" s="111" t="s">
        <v>222</v>
      </c>
      <c r="B51" s="6"/>
      <c r="C51" s="6"/>
      <c r="D51" s="6"/>
      <c r="E51" s="6"/>
      <c r="F51" s="6"/>
      <c r="G51" s="6"/>
      <c r="H51" s="6"/>
    </row>
    <row r="52" ht="15.75" customHeight="1">
      <c r="A52" s="101" t="s">
        <v>223</v>
      </c>
      <c r="B52" s="33"/>
      <c r="C52" s="33"/>
      <c r="D52" s="33"/>
      <c r="E52" s="33"/>
      <c r="F52" s="33"/>
      <c r="G52" s="33"/>
      <c r="H52" s="34"/>
    </row>
    <row r="53" ht="15.75" customHeight="1">
      <c r="A53" s="112"/>
      <c r="B53" s="59"/>
      <c r="C53" s="59"/>
      <c r="D53" s="59"/>
      <c r="E53" s="59"/>
      <c r="F53" s="59"/>
      <c r="G53" s="59"/>
      <c r="H53" s="60"/>
    </row>
    <row r="54" ht="15.75" customHeight="1">
      <c r="A54" s="113"/>
      <c r="H54" s="114"/>
    </row>
    <row r="55" ht="15.75" customHeight="1">
      <c r="A55" s="61"/>
      <c r="B55" s="62"/>
      <c r="C55" s="62"/>
      <c r="D55" s="62"/>
      <c r="E55" s="62"/>
      <c r="F55" s="62"/>
      <c r="G55" s="62"/>
      <c r="H55" s="63"/>
    </row>
    <row r="56" ht="15.75" customHeight="1"/>
    <row r="57" ht="15.75" customHeight="1">
      <c r="A57" s="83" t="s">
        <v>224</v>
      </c>
    </row>
    <row r="58">
      <c r="A58" s="86" t="s">
        <v>220</v>
      </c>
      <c r="B58" s="77"/>
      <c r="C58" s="33"/>
      <c r="D58" s="33"/>
      <c r="E58" s="33"/>
      <c r="F58" s="33"/>
      <c r="G58" s="33"/>
      <c r="H58" s="34"/>
    </row>
    <row r="59" ht="15.75" customHeight="1">
      <c r="A59" s="86" t="s">
        <v>8</v>
      </c>
      <c r="B59" s="77"/>
      <c r="C59" s="33"/>
      <c r="D59" s="33"/>
      <c r="E59" s="33"/>
      <c r="F59" s="33"/>
      <c r="G59" s="33"/>
      <c r="H59" s="34"/>
    </row>
    <row r="60" ht="15.75" customHeight="1">
      <c r="A60" s="86" t="s">
        <v>190</v>
      </c>
      <c r="B60" s="115"/>
      <c r="C60" s="33"/>
      <c r="D60" s="33"/>
      <c r="E60" s="33"/>
      <c r="F60" s="33"/>
      <c r="G60" s="33"/>
      <c r="H60" s="34"/>
    </row>
    <row r="61" ht="15.75" customHeight="1">
      <c r="A61" s="86" t="s">
        <v>157</v>
      </c>
      <c r="B61" s="115"/>
      <c r="C61" s="33"/>
      <c r="D61" s="33"/>
      <c r="E61" s="33"/>
      <c r="F61" s="33"/>
      <c r="G61" s="33"/>
      <c r="H61" s="34"/>
    </row>
    <row r="62" ht="15.75" customHeight="1">
      <c r="A62" s="116" t="s">
        <v>225</v>
      </c>
      <c r="B62" s="6"/>
      <c r="C62" s="6"/>
      <c r="D62" s="6"/>
      <c r="E62" s="6"/>
      <c r="F62" s="6"/>
      <c r="G62" s="6"/>
      <c r="H62" s="6"/>
    </row>
    <row r="63" ht="15.75" customHeight="1">
      <c r="A63" s="101" t="s">
        <v>223</v>
      </c>
      <c r="B63" s="33"/>
      <c r="C63" s="33"/>
      <c r="D63" s="33"/>
      <c r="E63" s="33"/>
      <c r="F63" s="33"/>
      <c r="G63" s="33"/>
      <c r="H63" s="34"/>
    </row>
    <row r="64" ht="15.75" customHeight="1">
      <c r="A64" s="112"/>
      <c r="B64" s="59"/>
      <c r="C64" s="59"/>
      <c r="D64" s="59"/>
      <c r="E64" s="59"/>
      <c r="F64" s="59"/>
      <c r="G64" s="59"/>
      <c r="H64" s="60"/>
    </row>
    <row r="65" ht="15.75" customHeight="1">
      <c r="A65" s="113"/>
      <c r="H65" s="114"/>
    </row>
    <row r="66" ht="15.75" customHeight="1">
      <c r="A66" s="61"/>
      <c r="B66" s="62"/>
      <c r="C66" s="62"/>
      <c r="D66" s="62"/>
      <c r="E66" s="62"/>
      <c r="F66" s="62"/>
      <c r="G66" s="62"/>
      <c r="H66" s="63"/>
    </row>
    <row r="67" ht="15.75" customHeight="1"/>
    <row r="68" ht="15.75" customHeight="1">
      <c r="A68" s="99" t="s">
        <v>226</v>
      </c>
      <c r="G68" s="91" t="s">
        <v>157</v>
      </c>
      <c r="H68" s="103">
        <f>B70</f>
        <v>10</v>
      </c>
    </row>
    <row r="69" ht="15.75" customHeight="1">
      <c r="G69" s="83" t="s">
        <v>227</v>
      </c>
    </row>
    <row r="70" ht="15.75" customHeight="1">
      <c r="A70" s="86" t="s">
        <v>157</v>
      </c>
      <c r="B70" s="110">
        <v>10.0</v>
      </c>
      <c r="C70" s="33"/>
      <c r="D70" s="33"/>
      <c r="E70" s="33"/>
      <c r="F70" s="33"/>
      <c r="G70" s="33"/>
      <c r="H70" s="34"/>
    </row>
    <row r="71" ht="15.75" customHeight="1">
      <c r="A71" s="108" t="s">
        <v>228</v>
      </c>
      <c r="B71" s="33"/>
      <c r="C71" s="33"/>
      <c r="D71" s="33"/>
      <c r="E71" s="33"/>
      <c r="F71" s="33"/>
      <c r="G71" s="33"/>
      <c r="H71" s="34"/>
    </row>
    <row r="72" ht="15.75" customHeight="1">
      <c r="A72" s="102" t="s">
        <v>247</v>
      </c>
      <c r="B72" s="59"/>
      <c r="C72" s="59"/>
      <c r="D72" s="59"/>
      <c r="E72" s="59"/>
      <c r="F72" s="59"/>
      <c r="G72" s="59"/>
      <c r="H72" s="60"/>
    </row>
    <row r="73" ht="15.75" customHeight="1">
      <c r="A73" s="61"/>
      <c r="B73" s="62"/>
      <c r="C73" s="62"/>
      <c r="D73" s="62"/>
      <c r="E73" s="62"/>
      <c r="F73" s="62"/>
      <c r="G73" s="62"/>
      <c r="H73" s="63"/>
    </row>
    <row r="74" ht="15.75" customHeight="1">
      <c r="A74" s="83"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189</v>
      </c>
    </row>
    <row r="3" ht="15.75" customHeight="1"/>
    <row r="4" ht="15.75" customHeight="1">
      <c r="B4" s="76" t="s">
        <v>1</v>
      </c>
      <c r="C4" s="96" t="str">
        <f>'Diseño'!C4</f>
        <v>768 - Algoritmos</v>
      </c>
      <c r="D4" s="33"/>
      <c r="E4" s="33"/>
      <c r="F4" s="33"/>
      <c r="G4" s="34"/>
    </row>
    <row r="5" ht="15.75" customHeight="1">
      <c r="B5" s="78" t="s">
        <v>79</v>
      </c>
      <c r="C5" s="77">
        <v>7.0</v>
      </c>
      <c r="D5" s="33"/>
      <c r="E5" s="33"/>
      <c r="F5" s="33"/>
      <c r="G5" s="34"/>
    </row>
    <row r="6" ht="15.75" customHeight="1">
      <c r="B6" s="97" t="s">
        <v>154</v>
      </c>
      <c r="C6" s="77">
        <f>H10+H21+H44+H68</f>
        <v>100</v>
      </c>
      <c r="D6" s="33"/>
      <c r="E6" s="33"/>
      <c r="F6" s="33"/>
      <c r="G6" s="34"/>
      <c r="I6" s="6"/>
    </row>
    <row r="7" ht="15.75" customHeight="1">
      <c r="B7" s="97" t="s">
        <v>190</v>
      </c>
      <c r="C7" s="77">
        <f>B49+B60</f>
        <v>2</v>
      </c>
      <c r="D7" s="33"/>
      <c r="E7" s="33"/>
      <c r="F7" s="33"/>
      <c r="G7" s="34"/>
    </row>
    <row r="8" ht="15.75" customHeight="1">
      <c r="B8" s="97" t="s">
        <v>191</v>
      </c>
      <c r="C8" s="98" t="str">
        <f>IF(H44&lt;=0, "❌ ERROR: La Actividad 1 debe tener un tiempo mayor a 0.", IF(H21&gt;60, "❌ ERROR: El 'Área de Conocimiento' no puede exceder los 60 min.", IF((H10+H21+H44+H68)&lt;100, "❌ ERROR: El tiempo total debe ser de al menos 100 min.", "✅ VALIDACIÓN CORRECTA")))</f>
        <v>✅ VALIDACIÓN CORRECTA</v>
      </c>
      <c r="D8" s="33"/>
      <c r="E8" s="33"/>
      <c r="F8" s="33"/>
      <c r="G8" s="34"/>
      <c r="I8" s="6"/>
      <c r="J8" s="6"/>
      <c r="K8" s="6"/>
    </row>
    <row r="9" ht="15.75" customHeight="1"/>
    <row r="10" ht="15.75" customHeight="1">
      <c r="A10" s="99" t="s">
        <v>192</v>
      </c>
      <c r="G10" s="91" t="s">
        <v>157</v>
      </c>
      <c r="H10" s="103">
        <f>B13</f>
        <v>5</v>
      </c>
    </row>
    <row r="11" ht="15.75" customHeight="1">
      <c r="G11" s="83" t="s">
        <v>193</v>
      </c>
    </row>
    <row r="12" ht="15.75" customHeight="1">
      <c r="A12" s="86" t="s">
        <v>194</v>
      </c>
      <c r="B12" s="88" t="s">
        <v>248</v>
      </c>
      <c r="C12" s="33"/>
      <c r="D12" s="33"/>
      <c r="E12" s="33"/>
      <c r="F12" s="33"/>
      <c r="G12" s="33"/>
      <c r="H12" s="34"/>
    </row>
    <row r="13" ht="15.75" customHeight="1">
      <c r="A13" s="87" t="s">
        <v>157</v>
      </c>
      <c r="B13" s="88">
        <v>5.0</v>
      </c>
      <c r="C13" s="33"/>
      <c r="D13" s="33"/>
      <c r="E13" s="33"/>
      <c r="F13" s="33"/>
      <c r="G13" s="33"/>
      <c r="H13" s="34"/>
    </row>
    <row r="14" ht="15.75" customHeight="1">
      <c r="A14" s="101" t="s">
        <v>196</v>
      </c>
      <c r="B14" s="33"/>
      <c r="C14" s="33"/>
      <c r="D14" s="33"/>
      <c r="E14" s="33"/>
      <c r="F14" s="33"/>
      <c r="G14" s="33"/>
      <c r="H14" s="34"/>
    </row>
    <row r="15" ht="15.75" customHeight="1">
      <c r="A15" s="102" t="s">
        <v>249</v>
      </c>
      <c r="B15" s="59"/>
      <c r="C15" s="59"/>
      <c r="D15" s="59"/>
      <c r="E15" s="59"/>
      <c r="F15" s="59"/>
      <c r="G15" s="59"/>
      <c r="H15" s="60"/>
    </row>
    <row r="16" ht="15.75" customHeight="1">
      <c r="A16" s="61"/>
      <c r="B16" s="62"/>
      <c r="C16" s="62"/>
      <c r="D16" s="62"/>
      <c r="E16" s="62"/>
      <c r="F16" s="62"/>
      <c r="G16" s="62"/>
      <c r="H16" s="63"/>
    </row>
    <row r="17" ht="15.75" customHeight="1">
      <c r="A17" s="101" t="s">
        <v>198</v>
      </c>
      <c r="B17" s="33"/>
      <c r="C17" s="33"/>
      <c r="D17" s="33"/>
      <c r="E17" s="33"/>
      <c r="F17" s="33"/>
      <c r="G17" s="33"/>
      <c r="H17" s="34"/>
    </row>
    <row r="18" ht="15.75" customHeight="1">
      <c r="A18" s="102" t="s">
        <v>250</v>
      </c>
      <c r="B18" s="59"/>
      <c r="C18" s="59"/>
      <c r="D18" s="59"/>
      <c r="E18" s="59"/>
      <c r="F18" s="59"/>
      <c r="G18" s="59"/>
      <c r="H18" s="60"/>
    </row>
    <row r="19" ht="15.75" customHeight="1">
      <c r="A19" s="61"/>
      <c r="B19" s="62"/>
      <c r="C19" s="62"/>
      <c r="D19" s="62"/>
      <c r="E19" s="62"/>
      <c r="F19" s="62"/>
      <c r="G19" s="62"/>
      <c r="H19" s="63"/>
    </row>
    <row r="20" ht="15.75" customHeight="1"/>
    <row r="21" ht="15.75" customHeight="1">
      <c r="A21" s="99" t="s">
        <v>200</v>
      </c>
      <c r="G21" s="91" t="s">
        <v>157</v>
      </c>
      <c r="H21" s="103">
        <f>SUM(D39:H42)</f>
        <v>60</v>
      </c>
      <c r="I21" s="6"/>
    </row>
    <row r="22" ht="15.75" customHeight="1">
      <c r="G22" s="83" t="s">
        <v>201</v>
      </c>
    </row>
    <row r="23" ht="15.75" customHeight="1">
      <c r="A23" s="86" t="s">
        <v>202</v>
      </c>
      <c r="B23" s="88" t="s">
        <v>116</v>
      </c>
      <c r="C23" s="33"/>
      <c r="D23" s="33"/>
      <c r="E23" s="33"/>
      <c r="F23" s="33"/>
      <c r="G23" s="33"/>
      <c r="H23" s="34"/>
    </row>
    <row r="24" ht="15.75" customHeight="1">
      <c r="A24" s="86" t="s">
        <v>202</v>
      </c>
      <c r="B24" s="88" t="s">
        <v>127</v>
      </c>
      <c r="C24" s="33"/>
      <c r="D24" s="33"/>
      <c r="E24" s="33"/>
      <c r="F24" s="33"/>
      <c r="G24" s="33"/>
      <c r="H24" s="34"/>
    </row>
    <row r="25" ht="15.75" customHeight="1"/>
    <row r="26" ht="15.75" customHeight="1">
      <c r="A26" s="104" t="s">
        <v>203</v>
      </c>
      <c r="B26" s="6"/>
      <c r="C26" s="6"/>
      <c r="D26" s="6"/>
    </row>
    <row r="27" ht="15.75" customHeight="1">
      <c r="A27" s="105" t="s">
        <v>73</v>
      </c>
      <c r="B27" s="106" t="s">
        <v>204</v>
      </c>
      <c r="C27" s="34"/>
      <c r="D27" s="106" t="s">
        <v>205</v>
      </c>
      <c r="E27" s="34"/>
      <c r="F27" s="106" t="s">
        <v>206</v>
      </c>
      <c r="G27" s="33"/>
      <c r="H27" s="34"/>
    </row>
    <row r="28" ht="15.75" customHeight="1">
      <c r="A28" s="78">
        <v>1.0</v>
      </c>
      <c r="B28" s="77" t="str">
        <f>IFERROR(__xludf.DUMMYFUNCTION("FILTER('Diseño'!D:D,'Diseño'!H:H=$C$5)"),"Unidad 4 – Fundamentos de Algoritmos")</f>
        <v>Unidad 4 – Fundamentos de Algoritmos</v>
      </c>
      <c r="C28" s="34"/>
      <c r="D28" s="77" t="str">
        <f>IFERROR(__xludf.DUMMYFUNCTION("FILTER('Diseño'!E:E,'Diseño'!H:H=$C$5)"),"Tipos de problemas computacionales")</f>
        <v>Tipos de problemas computacionales</v>
      </c>
      <c r="E28" s="34"/>
      <c r="F28" s="77" t="str">
        <f>IFERROR(__xludf.DUMMYFUNCTION("FILTER('Diseño'!F:F,'Diseño'!H:H=$C$5)"),"Determinísticos, probabilísticos, secuenciales, condicionales y cíclicos")</f>
        <v>Determinísticos, probabilísticos, secuenciales, condicionales y cíclicos</v>
      </c>
      <c r="G28" s="33"/>
      <c r="H28" s="34"/>
    </row>
    <row r="29" ht="15.75" customHeight="1">
      <c r="A29" s="78">
        <v>2.0</v>
      </c>
      <c r="B29" s="77" t="str">
        <f>IFERROR(__xludf.DUMMYFUNCTION("""COMPUTED_VALUE"""),"Unidad 4 – Fundamentos de Algoritmos")</f>
        <v>Unidad 4 – Fundamentos de Algoritmos</v>
      </c>
      <c r="C29" s="34"/>
      <c r="D29" s="77" t="str">
        <f>IFERROR(__xludf.DUMMYFUNCTION("""COMPUTED_VALUE"""),"Descomposición de problemas")</f>
        <v>Descomposición de problemas</v>
      </c>
      <c r="E29" s="34"/>
      <c r="F29" s="77" t="str">
        <f>IFERROR(__xludf.DUMMYFUNCTION("""COMPUTED_VALUE"""),"Técnicas de segmentación e identificación de subproblemas")</f>
        <v>Técnicas de segmentación e identificación de subproblemas</v>
      </c>
      <c r="G29" s="33"/>
      <c r="H29" s="34"/>
    </row>
    <row r="30" ht="15.75" customHeight="1">
      <c r="A30" s="78">
        <v>3.0</v>
      </c>
      <c r="B30" s="77" t="str">
        <f>IFERROR(__xludf.DUMMYFUNCTION("""COMPUTED_VALUE"""),"Unidad 4 – Fundamentos de Algoritmos")</f>
        <v>Unidad 4 – Fundamentos de Algoritmos</v>
      </c>
      <c r="C30" s="34"/>
      <c r="D30" s="77" t="str">
        <f>IFERROR(__xludf.DUMMYFUNCTION("""COMPUTED_VALUE"""),"Representación del problema")</f>
        <v>Representación del problema</v>
      </c>
      <c r="E30" s="34"/>
      <c r="F30" s="77" t="str">
        <f>IFERROR(__xludf.DUMMYFUNCTION("""COMPUTED_VALUE"""),"Representación estructurada del problema")</f>
        <v>Representación estructurada del problema</v>
      </c>
      <c r="G30" s="33"/>
      <c r="H30" s="34"/>
    </row>
    <row r="31" ht="15.75" customHeight="1">
      <c r="A31" s="78">
        <v>4.0</v>
      </c>
      <c r="B31" s="77"/>
      <c r="C31" s="34"/>
      <c r="D31" s="77"/>
      <c r="E31" s="34"/>
      <c r="F31" s="77"/>
      <c r="G31" s="33"/>
      <c r="H31" s="34"/>
    </row>
    <row r="32" ht="15.75" customHeight="1">
      <c r="A32" s="78">
        <v>5.0</v>
      </c>
      <c r="B32" s="77"/>
      <c r="C32" s="34"/>
      <c r="D32" s="77"/>
      <c r="E32" s="34"/>
      <c r="F32" s="77"/>
      <c r="G32" s="33"/>
      <c r="H32" s="34"/>
    </row>
    <row r="33" ht="15.75" customHeight="1">
      <c r="A33" s="78">
        <v>6.0</v>
      </c>
      <c r="B33" s="77"/>
      <c r="C33" s="34"/>
      <c r="D33" s="77"/>
      <c r="E33" s="34"/>
      <c r="F33" s="77"/>
      <c r="G33" s="33"/>
      <c r="H33" s="34"/>
    </row>
    <row r="34" ht="15.75" customHeight="1">
      <c r="A34" s="78">
        <v>7.0</v>
      </c>
      <c r="B34" s="77"/>
      <c r="C34" s="34"/>
      <c r="D34" s="77"/>
      <c r="E34" s="34"/>
      <c r="F34" s="77"/>
      <c r="G34" s="33"/>
      <c r="H34" s="34"/>
    </row>
    <row r="35" ht="15.75" customHeight="1"/>
    <row r="36" ht="15.75" customHeight="1">
      <c r="A36" s="104" t="s">
        <v>207</v>
      </c>
    </row>
    <row r="37" ht="15.75" customHeight="1">
      <c r="A37" s="6"/>
      <c r="B37" s="6"/>
      <c r="C37" s="6"/>
      <c r="D37" s="6"/>
      <c r="E37" s="6"/>
      <c r="F37" s="6"/>
      <c r="G37" s="6"/>
      <c r="H37" s="6"/>
    </row>
    <row r="38">
      <c r="A38" s="105" t="s">
        <v>208</v>
      </c>
      <c r="B38" s="105" t="s">
        <v>29</v>
      </c>
      <c r="C38" s="107" t="s">
        <v>209</v>
      </c>
      <c r="D38" s="108" t="s">
        <v>210</v>
      </c>
      <c r="E38" s="33"/>
      <c r="F38" s="33"/>
      <c r="G38" s="33"/>
      <c r="H38" s="34"/>
      <c r="I38" s="109" t="s">
        <v>18</v>
      </c>
    </row>
    <row r="39" ht="15.75" customHeight="1">
      <c r="A39" s="78" t="s">
        <v>211</v>
      </c>
      <c r="B39" s="78" t="s">
        <v>212</v>
      </c>
      <c r="C39" s="78">
        <v>30.0</v>
      </c>
      <c r="D39" s="88">
        <v>25.0</v>
      </c>
      <c r="E39" s="33"/>
      <c r="F39" s="33"/>
      <c r="G39" s="33"/>
      <c r="H39" s="34"/>
      <c r="I39" s="78" t="str">
        <f t="shared" ref="I39:I42" si="1">IF(D39&lt;=C39,"Correcto", "Corregir")</f>
        <v>Correcto</v>
      </c>
    </row>
    <row r="40" ht="15.75" customHeight="1">
      <c r="A40" s="78" t="s">
        <v>213</v>
      </c>
      <c r="B40" s="78" t="s">
        <v>212</v>
      </c>
      <c r="C40" s="78">
        <v>6.0</v>
      </c>
      <c r="D40" s="88">
        <v>5.0</v>
      </c>
      <c r="E40" s="33"/>
      <c r="F40" s="33"/>
      <c r="G40" s="33"/>
      <c r="H40" s="34"/>
      <c r="I40" s="78" t="str">
        <f t="shared" si="1"/>
        <v>Correcto</v>
      </c>
    </row>
    <row r="41" ht="15.75" customHeight="1">
      <c r="A41" s="78" t="s">
        <v>214</v>
      </c>
      <c r="B41" s="78" t="s">
        <v>215</v>
      </c>
      <c r="C41" s="78">
        <v>10.0</v>
      </c>
      <c r="D41" s="88">
        <v>5.0</v>
      </c>
      <c r="E41" s="33"/>
      <c r="F41" s="33"/>
      <c r="G41" s="33"/>
      <c r="H41" s="34"/>
      <c r="I41" s="78" t="str">
        <f t="shared" si="1"/>
        <v>Correcto</v>
      </c>
    </row>
    <row r="42" ht="15.75" customHeight="1">
      <c r="A42" s="78" t="s">
        <v>216</v>
      </c>
      <c r="B42" s="78" t="s">
        <v>212</v>
      </c>
      <c r="C42" s="78">
        <v>30.0</v>
      </c>
      <c r="D42" s="88">
        <v>25.0</v>
      </c>
      <c r="E42" s="33"/>
      <c r="F42" s="33"/>
      <c r="G42" s="33"/>
      <c r="H42" s="34"/>
      <c r="I42" s="78" t="str">
        <f t="shared" si="1"/>
        <v>Correcto</v>
      </c>
    </row>
    <row r="43" ht="15.75" customHeight="1"/>
    <row r="44" ht="15.75" customHeight="1">
      <c r="A44" s="99" t="s">
        <v>217</v>
      </c>
      <c r="G44" s="91" t="s">
        <v>157</v>
      </c>
      <c r="H44" s="103">
        <f>B50</f>
        <v>20</v>
      </c>
    </row>
    <row r="45" ht="15.75" customHeight="1">
      <c r="G45" s="83" t="s">
        <v>218</v>
      </c>
    </row>
    <row r="46" ht="15.75" customHeight="1">
      <c r="A46" s="83" t="s">
        <v>219</v>
      </c>
    </row>
    <row r="47">
      <c r="A47" s="86" t="s">
        <v>220</v>
      </c>
      <c r="B47" s="88" t="s">
        <v>127</v>
      </c>
      <c r="C47" s="33"/>
      <c r="D47" s="33"/>
      <c r="E47" s="33"/>
      <c r="F47" s="33"/>
      <c r="G47" s="33"/>
      <c r="H47" s="34"/>
    </row>
    <row r="48" ht="15.75" customHeight="1">
      <c r="A48" s="86" t="s">
        <v>8</v>
      </c>
      <c r="B48" s="88" t="s">
        <v>234</v>
      </c>
      <c r="C48" s="33"/>
      <c r="D48" s="33"/>
      <c r="E48" s="33"/>
      <c r="F48" s="33"/>
      <c r="G48" s="33"/>
      <c r="H48" s="34"/>
    </row>
    <row r="49" ht="15.75" customHeight="1">
      <c r="A49" s="86" t="s">
        <v>190</v>
      </c>
      <c r="B49" s="110">
        <v>2.0</v>
      </c>
      <c r="C49" s="33"/>
      <c r="D49" s="33"/>
      <c r="E49" s="33"/>
      <c r="F49" s="33"/>
      <c r="G49" s="33"/>
      <c r="H49" s="34"/>
    </row>
    <row r="50" ht="15.75" customHeight="1">
      <c r="A50" s="86" t="s">
        <v>157</v>
      </c>
      <c r="B50" s="88">
        <v>20.0</v>
      </c>
      <c r="C50" s="33"/>
      <c r="D50" s="33"/>
      <c r="E50" s="33"/>
      <c r="F50" s="33"/>
      <c r="G50" s="33"/>
      <c r="H50" s="34"/>
    </row>
    <row r="51" ht="15.75" customHeight="1">
      <c r="A51" s="111" t="s">
        <v>222</v>
      </c>
      <c r="B51" s="6"/>
      <c r="C51" s="6"/>
      <c r="D51" s="6"/>
      <c r="E51" s="6"/>
      <c r="F51" s="6"/>
      <c r="G51" s="6"/>
      <c r="H51" s="6"/>
    </row>
    <row r="52" ht="15.75" customHeight="1">
      <c r="A52" s="101" t="s">
        <v>223</v>
      </c>
      <c r="B52" s="33"/>
      <c r="C52" s="33"/>
      <c r="D52" s="33"/>
      <c r="E52" s="33"/>
      <c r="F52" s="33"/>
      <c r="G52" s="33"/>
      <c r="H52" s="34"/>
    </row>
    <row r="53" ht="15.75" customHeight="1">
      <c r="A53" s="112"/>
      <c r="B53" s="59"/>
      <c r="C53" s="59"/>
      <c r="D53" s="59"/>
      <c r="E53" s="59"/>
      <c r="F53" s="59"/>
      <c r="G53" s="59"/>
      <c r="H53" s="60"/>
    </row>
    <row r="54" ht="15.75" customHeight="1">
      <c r="A54" s="113"/>
      <c r="H54" s="114"/>
    </row>
    <row r="55" ht="15.75" customHeight="1">
      <c r="A55" s="61"/>
      <c r="B55" s="62"/>
      <c r="C55" s="62"/>
      <c r="D55" s="62"/>
      <c r="E55" s="62"/>
      <c r="F55" s="62"/>
      <c r="G55" s="62"/>
      <c r="H55" s="63"/>
    </row>
    <row r="56" ht="15.75" customHeight="1"/>
    <row r="57" ht="15.75" customHeight="1">
      <c r="A57" s="83" t="s">
        <v>224</v>
      </c>
    </row>
    <row r="58">
      <c r="A58" s="86" t="s">
        <v>220</v>
      </c>
      <c r="B58" s="77"/>
      <c r="C58" s="33"/>
      <c r="D58" s="33"/>
      <c r="E58" s="33"/>
      <c r="F58" s="33"/>
      <c r="G58" s="33"/>
      <c r="H58" s="34"/>
    </row>
    <row r="59" ht="15.75" customHeight="1">
      <c r="A59" s="86" t="s">
        <v>8</v>
      </c>
      <c r="B59" s="77"/>
      <c r="C59" s="33"/>
      <c r="D59" s="33"/>
      <c r="E59" s="33"/>
      <c r="F59" s="33"/>
      <c r="G59" s="33"/>
      <c r="H59" s="34"/>
    </row>
    <row r="60" ht="15.75" customHeight="1">
      <c r="A60" s="86" t="s">
        <v>190</v>
      </c>
      <c r="B60" s="115"/>
      <c r="C60" s="33"/>
      <c r="D60" s="33"/>
      <c r="E60" s="33"/>
      <c r="F60" s="33"/>
      <c r="G60" s="33"/>
      <c r="H60" s="34"/>
    </row>
    <row r="61" ht="15.75" customHeight="1">
      <c r="A61" s="86" t="s">
        <v>157</v>
      </c>
      <c r="B61" s="115"/>
      <c r="C61" s="33"/>
      <c r="D61" s="33"/>
      <c r="E61" s="33"/>
      <c r="F61" s="33"/>
      <c r="G61" s="33"/>
      <c r="H61" s="34"/>
    </row>
    <row r="62" ht="15.75" customHeight="1">
      <c r="A62" s="116" t="s">
        <v>225</v>
      </c>
      <c r="B62" s="6"/>
      <c r="C62" s="6"/>
      <c r="D62" s="6"/>
      <c r="E62" s="6"/>
      <c r="F62" s="6"/>
      <c r="G62" s="6"/>
      <c r="H62" s="6"/>
    </row>
    <row r="63" ht="15.75" customHeight="1">
      <c r="A63" s="101" t="s">
        <v>223</v>
      </c>
      <c r="B63" s="33"/>
      <c r="C63" s="33"/>
      <c r="D63" s="33"/>
      <c r="E63" s="33"/>
      <c r="F63" s="33"/>
      <c r="G63" s="33"/>
      <c r="H63" s="34"/>
    </row>
    <row r="64" ht="15.75" customHeight="1">
      <c r="A64" s="112"/>
      <c r="B64" s="59"/>
      <c r="C64" s="59"/>
      <c r="D64" s="59"/>
      <c r="E64" s="59"/>
      <c r="F64" s="59"/>
      <c r="G64" s="59"/>
      <c r="H64" s="60"/>
    </row>
    <row r="65" ht="15.75" customHeight="1">
      <c r="A65" s="113"/>
      <c r="H65" s="114"/>
    </row>
    <row r="66" ht="15.75" customHeight="1">
      <c r="A66" s="61"/>
      <c r="B66" s="62"/>
      <c r="C66" s="62"/>
      <c r="D66" s="62"/>
      <c r="E66" s="62"/>
      <c r="F66" s="62"/>
      <c r="G66" s="62"/>
      <c r="H66" s="63"/>
    </row>
    <row r="67" ht="15.75" customHeight="1"/>
    <row r="68" ht="15.75" customHeight="1">
      <c r="A68" s="99" t="s">
        <v>226</v>
      </c>
      <c r="G68" s="91" t="s">
        <v>157</v>
      </c>
      <c r="H68" s="103">
        <f>B70</f>
        <v>15</v>
      </c>
    </row>
    <row r="69" ht="15.75" customHeight="1">
      <c r="G69" s="83" t="s">
        <v>227</v>
      </c>
    </row>
    <row r="70" ht="15.75" customHeight="1">
      <c r="A70" s="86" t="s">
        <v>157</v>
      </c>
      <c r="B70" s="110">
        <v>15.0</v>
      </c>
      <c r="C70" s="33"/>
      <c r="D70" s="33"/>
      <c r="E70" s="33"/>
      <c r="F70" s="33"/>
      <c r="G70" s="33"/>
      <c r="H70" s="34"/>
    </row>
    <row r="71" ht="15.75" customHeight="1">
      <c r="A71" s="108" t="s">
        <v>228</v>
      </c>
      <c r="B71" s="33"/>
      <c r="C71" s="33"/>
      <c r="D71" s="33"/>
      <c r="E71" s="33"/>
      <c r="F71" s="33"/>
      <c r="G71" s="33"/>
      <c r="H71" s="34"/>
    </row>
    <row r="72" ht="15.75" customHeight="1">
      <c r="A72" s="102"/>
      <c r="B72" s="59"/>
      <c r="C72" s="59"/>
      <c r="D72" s="59"/>
      <c r="E72" s="59"/>
      <c r="F72" s="59"/>
      <c r="G72" s="59"/>
      <c r="H72" s="60"/>
    </row>
    <row r="73" ht="15.75" customHeight="1">
      <c r="A73" s="61"/>
      <c r="B73" s="62"/>
      <c r="C73" s="62"/>
      <c r="D73" s="62"/>
      <c r="E73" s="62"/>
      <c r="F73" s="62"/>
      <c r="G73" s="62"/>
      <c r="H73" s="63"/>
    </row>
    <row r="74" ht="15.75" customHeight="1">
      <c r="A74" s="83"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189</v>
      </c>
    </row>
    <row r="3" ht="15.75" customHeight="1"/>
    <row r="4" ht="15.75" customHeight="1">
      <c r="B4" s="76" t="s">
        <v>1</v>
      </c>
      <c r="C4" s="96" t="str">
        <f>'Diseño'!C4</f>
        <v>768 - Algoritmos</v>
      </c>
      <c r="D4" s="33"/>
      <c r="E4" s="33"/>
      <c r="F4" s="33"/>
      <c r="G4" s="34"/>
    </row>
    <row r="5" ht="15.75" customHeight="1">
      <c r="B5" s="78" t="s">
        <v>79</v>
      </c>
      <c r="C5" s="77">
        <v>8.0</v>
      </c>
      <c r="D5" s="33"/>
      <c r="E5" s="33"/>
      <c r="F5" s="33"/>
      <c r="G5" s="34"/>
    </row>
    <row r="6" ht="15.75" customHeight="1">
      <c r="B6" s="97" t="s">
        <v>154</v>
      </c>
      <c r="C6" s="77">
        <f>H10+H21+H44+H68</f>
        <v>100</v>
      </c>
      <c r="D6" s="33"/>
      <c r="E6" s="33"/>
      <c r="F6" s="33"/>
      <c r="G6" s="34"/>
      <c r="I6" s="6"/>
    </row>
    <row r="7" ht="15.75" customHeight="1">
      <c r="B7" s="97" t="s">
        <v>190</v>
      </c>
      <c r="C7" s="77">
        <f>B49+B60</f>
        <v>0</v>
      </c>
      <c r="D7" s="33"/>
      <c r="E7" s="33"/>
      <c r="F7" s="33"/>
      <c r="G7" s="34"/>
    </row>
    <row r="8" ht="15.75" customHeight="1">
      <c r="B8" s="97" t="s">
        <v>191</v>
      </c>
      <c r="C8" s="98" t="str">
        <f>IF(H44&lt;=0, "❌ ERROR: La Actividad 1 debe tener un tiempo mayor a 0.", IF(H21&gt;60, "❌ ERROR: El 'Área de Conocimiento' no puede exceder los 60 min.", IF((H10+H21+H44+H68)&lt;100, "❌ ERROR: El tiempo total debe ser de al menos 100 min.", "✅ VALIDACIÓN CORRECTA")))</f>
        <v>✅ VALIDACIÓN CORRECTA</v>
      </c>
      <c r="D8" s="33"/>
      <c r="E8" s="33"/>
      <c r="F8" s="33"/>
      <c r="G8" s="34"/>
      <c r="I8" s="6"/>
      <c r="J8" s="6"/>
      <c r="K8" s="6"/>
    </row>
    <row r="9" ht="15.75" customHeight="1"/>
    <row r="10" ht="15.75" customHeight="1">
      <c r="A10" s="99" t="s">
        <v>192</v>
      </c>
      <c r="G10" s="91" t="s">
        <v>157</v>
      </c>
      <c r="H10" s="103">
        <f>B13</f>
        <v>5</v>
      </c>
    </row>
    <row r="11" ht="15.75" customHeight="1">
      <c r="G11" s="83" t="s">
        <v>193</v>
      </c>
    </row>
    <row r="12" ht="15.75" customHeight="1">
      <c r="A12" s="86" t="s">
        <v>194</v>
      </c>
      <c r="B12" s="88" t="s">
        <v>251</v>
      </c>
      <c r="C12" s="33"/>
      <c r="D12" s="33"/>
      <c r="E12" s="33"/>
      <c r="F12" s="33"/>
      <c r="G12" s="33"/>
      <c r="H12" s="34"/>
    </row>
    <row r="13" ht="15.75" customHeight="1">
      <c r="A13" s="87" t="s">
        <v>157</v>
      </c>
      <c r="B13" s="88">
        <v>5.0</v>
      </c>
      <c r="C13" s="33"/>
      <c r="D13" s="33"/>
      <c r="E13" s="33"/>
      <c r="F13" s="33"/>
      <c r="G13" s="33"/>
      <c r="H13" s="34"/>
    </row>
    <row r="14" ht="15.75" customHeight="1">
      <c r="A14" s="101" t="s">
        <v>196</v>
      </c>
      <c r="B14" s="33"/>
      <c r="C14" s="33"/>
      <c r="D14" s="33"/>
      <c r="E14" s="33"/>
      <c r="F14" s="33"/>
      <c r="G14" s="33"/>
      <c r="H14" s="34"/>
    </row>
    <row r="15" ht="15.75" customHeight="1">
      <c r="A15" s="102" t="s">
        <v>252</v>
      </c>
      <c r="B15" s="59"/>
      <c r="C15" s="59"/>
      <c r="D15" s="59"/>
      <c r="E15" s="59"/>
      <c r="F15" s="59"/>
      <c r="G15" s="59"/>
      <c r="H15" s="60"/>
    </row>
    <row r="16" ht="15.75" customHeight="1">
      <c r="A16" s="61"/>
      <c r="B16" s="62"/>
      <c r="C16" s="62"/>
      <c r="D16" s="62"/>
      <c r="E16" s="62"/>
      <c r="F16" s="62"/>
      <c r="G16" s="62"/>
      <c r="H16" s="63"/>
    </row>
    <row r="17" ht="15.75" customHeight="1">
      <c r="A17" s="101" t="s">
        <v>198</v>
      </c>
      <c r="B17" s="33"/>
      <c r="C17" s="33"/>
      <c r="D17" s="33"/>
      <c r="E17" s="33"/>
      <c r="F17" s="33"/>
      <c r="G17" s="33"/>
      <c r="H17" s="34"/>
    </row>
    <row r="18" ht="15.75" customHeight="1">
      <c r="A18" s="102" t="s">
        <v>253</v>
      </c>
      <c r="B18" s="59"/>
      <c r="C18" s="59"/>
      <c r="D18" s="59"/>
      <c r="E18" s="59"/>
      <c r="F18" s="59"/>
      <c r="G18" s="59"/>
      <c r="H18" s="60"/>
    </row>
    <row r="19" ht="15.75" customHeight="1">
      <c r="A19" s="61"/>
      <c r="B19" s="62"/>
      <c r="C19" s="62"/>
      <c r="D19" s="62"/>
      <c r="E19" s="62"/>
      <c r="F19" s="62"/>
      <c r="G19" s="62"/>
      <c r="H19" s="63"/>
    </row>
    <row r="20" ht="15.75" customHeight="1"/>
    <row r="21" ht="15.75" customHeight="1">
      <c r="A21" s="99" t="s">
        <v>200</v>
      </c>
      <c r="G21" s="91" t="s">
        <v>157</v>
      </c>
      <c r="H21" s="103">
        <f>SUM(D39:H42)</f>
        <v>60</v>
      </c>
      <c r="I21" s="6"/>
    </row>
    <row r="22" ht="15.75" customHeight="1">
      <c r="G22" s="83" t="s">
        <v>201</v>
      </c>
    </row>
    <row r="23" ht="15.75" customHeight="1">
      <c r="A23" s="86" t="s">
        <v>202</v>
      </c>
      <c r="B23" s="88" t="s">
        <v>127</v>
      </c>
      <c r="C23" s="33"/>
      <c r="D23" s="33"/>
      <c r="E23" s="33"/>
      <c r="F23" s="33"/>
      <c r="G23" s="33"/>
      <c r="H23" s="34"/>
    </row>
    <row r="24" ht="15.75" customHeight="1">
      <c r="A24" s="86" t="s">
        <v>202</v>
      </c>
      <c r="B24" s="77"/>
      <c r="C24" s="33"/>
      <c r="D24" s="33"/>
      <c r="E24" s="33"/>
      <c r="F24" s="33"/>
      <c r="G24" s="33"/>
      <c r="H24" s="34"/>
    </row>
    <row r="25" ht="15.75" customHeight="1"/>
    <row r="26" ht="15.75" customHeight="1">
      <c r="A26" s="104" t="s">
        <v>203</v>
      </c>
      <c r="B26" s="6"/>
      <c r="C26" s="6"/>
      <c r="D26" s="6"/>
    </row>
    <row r="27" ht="15.75" customHeight="1">
      <c r="A27" s="105" t="s">
        <v>73</v>
      </c>
      <c r="B27" s="106" t="s">
        <v>204</v>
      </c>
      <c r="C27" s="34"/>
      <c r="D27" s="106" t="s">
        <v>205</v>
      </c>
      <c r="E27" s="34"/>
      <c r="F27" s="106" t="s">
        <v>206</v>
      </c>
      <c r="G27" s="33"/>
      <c r="H27" s="34"/>
    </row>
    <row r="28" ht="15.75" customHeight="1">
      <c r="A28" s="78">
        <v>1.0</v>
      </c>
      <c r="B28" s="77" t="str">
        <f>IFERROR(__xludf.DUMMYFUNCTION("FILTER('Diseño'!D:D,'Diseño'!H:H=$C$5)"),"Unidad 5 – Algoritmos")</f>
        <v>Unidad 5 – Algoritmos</v>
      </c>
      <c r="C28" s="34"/>
      <c r="D28" s="77" t="str">
        <f>IFERROR(__xludf.DUMMYFUNCTION("FILTER('Diseño'!E:E,'Diseño'!H:H=$C$5)"),"Elementos de un algoritmo")</f>
        <v>Elementos de un algoritmo</v>
      </c>
      <c r="E28" s="34"/>
      <c r="F28" s="77" t="str">
        <f>IFERROR(__xludf.DUMMYFUNCTION("FILTER('Diseño'!F:F,'Diseño'!H:H=$C$5)"),"Instrucciones o sentencias y palabras reservadas")</f>
        <v>Instrucciones o sentencias y palabras reservadas</v>
      </c>
      <c r="G28" s="33"/>
      <c r="H28" s="34"/>
    </row>
    <row r="29" ht="15.75" customHeight="1">
      <c r="A29" s="78">
        <v>2.0</v>
      </c>
      <c r="B29" s="77" t="str">
        <f>IFERROR(__xludf.DUMMYFUNCTION("""COMPUTED_VALUE"""),"Unidad 5 – Algoritmos")</f>
        <v>Unidad 5 – Algoritmos</v>
      </c>
      <c r="C29" s="34"/>
      <c r="D29" s="77" t="str">
        <f>IFERROR(__xludf.DUMMYFUNCTION("""COMPUTED_VALUE"""),"Elementos de un algoritmo")</f>
        <v>Elementos de un algoritmo</v>
      </c>
      <c r="E29" s="34"/>
      <c r="F29" s="77" t="str">
        <f>IFERROR(__xludf.DUMMYFUNCTION("""COMPUTED_VALUE"""),"Tipos de datos")</f>
        <v>Tipos de datos</v>
      </c>
      <c r="G29" s="33"/>
      <c r="H29" s="34"/>
    </row>
    <row r="30" ht="15.75" customHeight="1">
      <c r="A30" s="78">
        <v>3.0</v>
      </c>
      <c r="B30" s="77" t="str">
        <f>IFERROR(__xludf.DUMMYFUNCTION("""COMPUTED_VALUE"""),"Unidad 5 – Algoritmos")</f>
        <v>Unidad 5 – Algoritmos</v>
      </c>
      <c r="C30" s="34"/>
      <c r="D30" s="77" t="str">
        <f>IFERROR(__xludf.DUMMYFUNCTION("""COMPUTED_VALUE"""),"Elementos de un algoritmo")</f>
        <v>Elementos de un algoritmo</v>
      </c>
      <c r="E30" s="34"/>
      <c r="F30" s="77" t="str">
        <f>IFERROR(__xludf.DUMMYFUNCTION("""COMPUTED_VALUE"""),"Estructuras condicionales")</f>
        <v>Estructuras condicionales</v>
      </c>
      <c r="G30" s="33"/>
      <c r="H30" s="34"/>
    </row>
    <row r="31" ht="15.75" customHeight="1">
      <c r="A31" s="78">
        <v>4.0</v>
      </c>
      <c r="B31" s="77"/>
      <c r="C31" s="34"/>
      <c r="D31" s="77"/>
      <c r="E31" s="34"/>
      <c r="F31" s="77"/>
      <c r="G31" s="33"/>
      <c r="H31" s="34"/>
    </row>
    <row r="32" ht="15.75" customHeight="1">
      <c r="A32" s="78">
        <v>5.0</v>
      </c>
      <c r="B32" s="77"/>
      <c r="C32" s="34"/>
      <c r="D32" s="77"/>
      <c r="E32" s="34"/>
      <c r="F32" s="77"/>
      <c r="G32" s="33"/>
      <c r="H32" s="34"/>
    </row>
    <row r="33" ht="15.75" customHeight="1">
      <c r="A33" s="78">
        <v>6.0</v>
      </c>
      <c r="B33" s="77"/>
      <c r="C33" s="34"/>
      <c r="D33" s="77"/>
      <c r="E33" s="34"/>
      <c r="F33" s="77"/>
      <c r="G33" s="33"/>
      <c r="H33" s="34"/>
    </row>
    <row r="34" ht="15.75" customHeight="1">
      <c r="A34" s="78">
        <v>7.0</v>
      </c>
      <c r="B34" s="77"/>
      <c r="C34" s="34"/>
      <c r="D34" s="77"/>
      <c r="E34" s="34"/>
      <c r="F34" s="77"/>
      <c r="G34" s="33"/>
      <c r="H34" s="34"/>
    </row>
    <row r="35" ht="15.75" customHeight="1"/>
    <row r="36" ht="15.75" customHeight="1">
      <c r="A36" s="104" t="s">
        <v>207</v>
      </c>
    </row>
    <row r="37" ht="15.75" customHeight="1">
      <c r="A37" s="6"/>
      <c r="B37" s="6"/>
      <c r="C37" s="6"/>
      <c r="D37" s="6"/>
      <c r="E37" s="6"/>
      <c r="F37" s="6"/>
      <c r="G37" s="6"/>
      <c r="H37" s="6"/>
    </row>
    <row r="38">
      <c r="A38" s="105" t="s">
        <v>208</v>
      </c>
      <c r="B38" s="105" t="s">
        <v>29</v>
      </c>
      <c r="C38" s="107" t="s">
        <v>209</v>
      </c>
      <c r="D38" s="108" t="s">
        <v>210</v>
      </c>
      <c r="E38" s="33"/>
      <c r="F38" s="33"/>
      <c r="G38" s="33"/>
      <c r="H38" s="34"/>
      <c r="I38" s="109" t="s">
        <v>18</v>
      </c>
    </row>
    <row r="39" ht="15.75" customHeight="1">
      <c r="A39" s="78" t="s">
        <v>211</v>
      </c>
      <c r="B39" s="78" t="s">
        <v>212</v>
      </c>
      <c r="C39" s="78">
        <v>30.0</v>
      </c>
      <c r="D39" s="88">
        <v>25.0</v>
      </c>
      <c r="E39" s="33"/>
      <c r="F39" s="33"/>
      <c r="G39" s="33"/>
      <c r="H39" s="34"/>
      <c r="I39" s="78" t="str">
        <f t="shared" ref="I39:I42" si="1">IF(D39&lt;=C39,"Correcto", "Corregir")</f>
        <v>Correcto</v>
      </c>
    </row>
    <row r="40" ht="15.75" customHeight="1">
      <c r="A40" s="78" t="s">
        <v>213</v>
      </c>
      <c r="B40" s="78" t="s">
        <v>212</v>
      </c>
      <c r="C40" s="78">
        <v>6.0</v>
      </c>
      <c r="D40" s="88">
        <v>5.0</v>
      </c>
      <c r="E40" s="33"/>
      <c r="F40" s="33"/>
      <c r="G40" s="33"/>
      <c r="H40" s="34"/>
      <c r="I40" s="78" t="str">
        <f t="shared" si="1"/>
        <v>Correcto</v>
      </c>
    </row>
    <row r="41" ht="15.75" customHeight="1">
      <c r="A41" s="78" t="s">
        <v>214</v>
      </c>
      <c r="B41" s="78" t="s">
        <v>215</v>
      </c>
      <c r="C41" s="78">
        <v>10.0</v>
      </c>
      <c r="D41" s="88">
        <v>5.0</v>
      </c>
      <c r="E41" s="33"/>
      <c r="F41" s="33"/>
      <c r="G41" s="33"/>
      <c r="H41" s="34"/>
      <c r="I41" s="78" t="str">
        <f t="shared" si="1"/>
        <v>Correcto</v>
      </c>
    </row>
    <row r="42" ht="15.75" customHeight="1">
      <c r="A42" s="78" t="s">
        <v>216</v>
      </c>
      <c r="B42" s="78" t="s">
        <v>212</v>
      </c>
      <c r="C42" s="78">
        <v>30.0</v>
      </c>
      <c r="D42" s="88">
        <v>25.0</v>
      </c>
      <c r="E42" s="33"/>
      <c r="F42" s="33"/>
      <c r="G42" s="33"/>
      <c r="H42" s="34"/>
      <c r="I42" s="78" t="str">
        <f t="shared" si="1"/>
        <v>Correcto</v>
      </c>
    </row>
    <row r="43" ht="15.75" customHeight="1"/>
    <row r="44" ht="15.75" customHeight="1">
      <c r="A44" s="99" t="s">
        <v>217</v>
      </c>
      <c r="G44" s="91" t="s">
        <v>157</v>
      </c>
      <c r="H44" s="103">
        <f>B50</f>
        <v>25</v>
      </c>
    </row>
    <row r="45" ht="15.75" customHeight="1">
      <c r="G45" s="83" t="s">
        <v>218</v>
      </c>
    </row>
    <row r="46" ht="15.75" customHeight="1">
      <c r="A46" s="83" t="s">
        <v>219</v>
      </c>
    </row>
    <row r="47">
      <c r="A47" s="86" t="s">
        <v>220</v>
      </c>
      <c r="B47" s="88" t="s">
        <v>127</v>
      </c>
      <c r="C47" s="33"/>
      <c r="D47" s="33"/>
      <c r="E47" s="33"/>
      <c r="F47" s="33"/>
      <c r="G47" s="33"/>
      <c r="H47" s="34"/>
    </row>
    <row r="48" ht="15.75" customHeight="1">
      <c r="A48" s="86" t="s">
        <v>8</v>
      </c>
      <c r="B48" s="88" t="s">
        <v>221</v>
      </c>
      <c r="C48" s="33"/>
      <c r="D48" s="33"/>
      <c r="E48" s="33"/>
      <c r="F48" s="33"/>
      <c r="G48" s="33"/>
      <c r="H48" s="34"/>
    </row>
    <row r="49" ht="15.75" customHeight="1">
      <c r="A49" s="86" t="s">
        <v>190</v>
      </c>
      <c r="B49" s="115">
        <v>0.0</v>
      </c>
      <c r="C49" s="33"/>
      <c r="D49" s="33"/>
      <c r="E49" s="33"/>
      <c r="F49" s="33"/>
      <c r="G49" s="33"/>
      <c r="H49" s="34"/>
    </row>
    <row r="50" ht="15.75" customHeight="1">
      <c r="A50" s="86" t="s">
        <v>157</v>
      </c>
      <c r="B50" s="88">
        <v>25.0</v>
      </c>
      <c r="C50" s="33"/>
      <c r="D50" s="33"/>
      <c r="E50" s="33"/>
      <c r="F50" s="33"/>
      <c r="G50" s="33"/>
      <c r="H50" s="34"/>
    </row>
    <row r="51" ht="15.75" customHeight="1">
      <c r="A51" s="111" t="s">
        <v>222</v>
      </c>
      <c r="B51" s="6"/>
      <c r="C51" s="6"/>
      <c r="D51" s="6"/>
      <c r="E51" s="6"/>
      <c r="F51" s="6"/>
      <c r="G51" s="6"/>
      <c r="H51" s="6"/>
    </row>
    <row r="52" ht="15.75" customHeight="1">
      <c r="A52" s="101" t="s">
        <v>223</v>
      </c>
      <c r="B52" s="33"/>
      <c r="C52" s="33"/>
      <c r="D52" s="33"/>
      <c r="E52" s="33"/>
      <c r="F52" s="33"/>
      <c r="G52" s="33"/>
      <c r="H52" s="34"/>
    </row>
    <row r="53" ht="15.75" customHeight="1">
      <c r="A53" s="112"/>
      <c r="B53" s="59"/>
      <c r="C53" s="59"/>
      <c r="D53" s="59"/>
      <c r="E53" s="59"/>
      <c r="F53" s="59"/>
      <c r="G53" s="59"/>
      <c r="H53" s="60"/>
    </row>
    <row r="54" ht="15.75" customHeight="1">
      <c r="A54" s="113"/>
      <c r="H54" s="114"/>
    </row>
    <row r="55" ht="15.75" customHeight="1">
      <c r="A55" s="61"/>
      <c r="B55" s="62"/>
      <c r="C55" s="62"/>
      <c r="D55" s="62"/>
      <c r="E55" s="62"/>
      <c r="F55" s="62"/>
      <c r="G55" s="62"/>
      <c r="H55" s="63"/>
    </row>
    <row r="56" ht="15.75" customHeight="1"/>
    <row r="57" ht="15.75" customHeight="1">
      <c r="A57" s="83" t="s">
        <v>224</v>
      </c>
    </row>
    <row r="58">
      <c r="A58" s="86" t="s">
        <v>220</v>
      </c>
      <c r="B58" s="77"/>
      <c r="C58" s="33"/>
      <c r="D58" s="33"/>
      <c r="E58" s="33"/>
      <c r="F58" s="33"/>
      <c r="G58" s="33"/>
      <c r="H58" s="34"/>
    </row>
    <row r="59" ht="15.75" customHeight="1">
      <c r="A59" s="86" t="s">
        <v>8</v>
      </c>
      <c r="B59" s="77"/>
      <c r="C59" s="33"/>
      <c r="D59" s="33"/>
      <c r="E59" s="33"/>
      <c r="F59" s="33"/>
      <c r="G59" s="33"/>
      <c r="H59" s="34"/>
    </row>
    <row r="60" ht="15.75" customHeight="1">
      <c r="A60" s="86" t="s">
        <v>190</v>
      </c>
      <c r="B60" s="115"/>
      <c r="C60" s="33"/>
      <c r="D60" s="33"/>
      <c r="E60" s="33"/>
      <c r="F60" s="33"/>
      <c r="G60" s="33"/>
      <c r="H60" s="34"/>
    </row>
    <row r="61" ht="15.75" customHeight="1">
      <c r="A61" s="86" t="s">
        <v>157</v>
      </c>
      <c r="B61" s="115"/>
      <c r="C61" s="33"/>
      <c r="D61" s="33"/>
      <c r="E61" s="33"/>
      <c r="F61" s="33"/>
      <c r="G61" s="33"/>
      <c r="H61" s="34"/>
    </row>
    <row r="62" ht="15.75" customHeight="1">
      <c r="A62" s="116" t="s">
        <v>225</v>
      </c>
      <c r="B62" s="6"/>
      <c r="C62" s="6"/>
      <c r="D62" s="6"/>
      <c r="E62" s="6"/>
      <c r="F62" s="6"/>
      <c r="G62" s="6"/>
      <c r="H62" s="6"/>
    </row>
    <row r="63" ht="15.75" customHeight="1">
      <c r="A63" s="101" t="s">
        <v>223</v>
      </c>
      <c r="B63" s="33"/>
      <c r="C63" s="33"/>
      <c r="D63" s="33"/>
      <c r="E63" s="33"/>
      <c r="F63" s="33"/>
      <c r="G63" s="33"/>
      <c r="H63" s="34"/>
    </row>
    <row r="64" ht="15.75" customHeight="1">
      <c r="A64" s="112"/>
      <c r="B64" s="59"/>
      <c r="C64" s="59"/>
      <c r="D64" s="59"/>
      <c r="E64" s="59"/>
      <c r="F64" s="59"/>
      <c r="G64" s="59"/>
      <c r="H64" s="60"/>
    </row>
    <row r="65" ht="15.75" customHeight="1">
      <c r="A65" s="113"/>
      <c r="H65" s="114"/>
    </row>
    <row r="66" ht="15.75" customHeight="1">
      <c r="A66" s="61"/>
      <c r="B66" s="62"/>
      <c r="C66" s="62"/>
      <c r="D66" s="62"/>
      <c r="E66" s="62"/>
      <c r="F66" s="62"/>
      <c r="G66" s="62"/>
      <c r="H66" s="63"/>
    </row>
    <row r="67" ht="15.75" customHeight="1"/>
    <row r="68" ht="15.75" customHeight="1">
      <c r="A68" s="99" t="s">
        <v>226</v>
      </c>
      <c r="G68" s="91" t="s">
        <v>157</v>
      </c>
      <c r="H68" s="103">
        <f>B70</f>
        <v>10</v>
      </c>
    </row>
    <row r="69" ht="15.75" customHeight="1">
      <c r="G69" s="83" t="s">
        <v>227</v>
      </c>
    </row>
    <row r="70" ht="15.75" customHeight="1">
      <c r="A70" s="86" t="s">
        <v>157</v>
      </c>
      <c r="B70" s="110">
        <v>10.0</v>
      </c>
      <c r="C70" s="33"/>
      <c r="D70" s="33"/>
      <c r="E70" s="33"/>
      <c r="F70" s="33"/>
      <c r="G70" s="33"/>
      <c r="H70" s="34"/>
    </row>
    <row r="71" ht="15.75" customHeight="1">
      <c r="A71" s="108" t="s">
        <v>228</v>
      </c>
      <c r="B71" s="33"/>
      <c r="C71" s="33"/>
      <c r="D71" s="33"/>
      <c r="E71" s="33"/>
      <c r="F71" s="33"/>
      <c r="G71" s="33"/>
      <c r="H71" s="34"/>
    </row>
    <row r="72" ht="15.75" customHeight="1">
      <c r="A72" s="102" t="s">
        <v>254</v>
      </c>
      <c r="B72" s="59"/>
      <c r="C72" s="59"/>
      <c r="D72" s="59"/>
      <c r="E72" s="59"/>
      <c r="F72" s="59"/>
      <c r="G72" s="59"/>
      <c r="H72" s="60"/>
    </row>
    <row r="73" ht="15.75" customHeight="1">
      <c r="A73" s="61"/>
      <c r="B73" s="62"/>
      <c r="C73" s="62"/>
      <c r="D73" s="62"/>
      <c r="E73" s="62"/>
      <c r="F73" s="62"/>
      <c r="G73" s="62"/>
      <c r="H73" s="63"/>
    </row>
    <row r="74" ht="15.75" customHeight="1">
      <c r="A74" s="83"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189</v>
      </c>
    </row>
    <row r="3" ht="15.75" customHeight="1"/>
    <row r="4" ht="15.75" customHeight="1">
      <c r="B4" s="76" t="s">
        <v>1</v>
      </c>
      <c r="C4" s="96" t="str">
        <f>'Diseño'!C4</f>
        <v>768 - Algoritmos</v>
      </c>
      <c r="D4" s="33"/>
      <c r="E4" s="33"/>
      <c r="F4" s="33"/>
      <c r="G4" s="34"/>
    </row>
    <row r="5" ht="15.75" customHeight="1">
      <c r="B5" s="78" t="s">
        <v>79</v>
      </c>
      <c r="C5" s="77">
        <v>9.0</v>
      </c>
      <c r="D5" s="33"/>
      <c r="E5" s="33"/>
      <c r="F5" s="33"/>
      <c r="G5" s="34"/>
    </row>
    <row r="6" ht="15.75" customHeight="1">
      <c r="B6" s="97" t="s">
        <v>154</v>
      </c>
      <c r="C6" s="77">
        <f>H10+H21+H44+H68</f>
        <v>100</v>
      </c>
      <c r="D6" s="33"/>
      <c r="E6" s="33"/>
      <c r="F6" s="33"/>
      <c r="G6" s="34"/>
      <c r="I6" s="6"/>
    </row>
    <row r="7" ht="15.75" customHeight="1">
      <c r="B7" s="97" t="s">
        <v>190</v>
      </c>
      <c r="C7" s="77">
        <f>B49+B60</f>
        <v>2</v>
      </c>
      <c r="D7" s="33"/>
      <c r="E7" s="33"/>
      <c r="F7" s="33"/>
      <c r="G7" s="34"/>
    </row>
    <row r="8" ht="15.75" customHeight="1">
      <c r="B8" s="97" t="s">
        <v>191</v>
      </c>
      <c r="C8" s="98" t="str">
        <f>IF(H44&lt;=0, "❌ ERROR: La Actividad 1 debe tener un tiempo mayor a 0.", IF(H21&gt;60, "❌ ERROR: El 'Área de Conocimiento' no puede exceder los 60 min.", IF((H10+H21+H44+H68)&lt;100, "❌ ERROR: El tiempo total debe ser de al menos 100 min.", "✅ VALIDACIÓN CORRECTA")))</f>
        <v>✅ VALIDACIÓN CORRECTA</v>
      </c>
      <c r="D8" s="33"/>
      <c r="E8" s="33"/>
      <c r="F8" s="33"/>
      <c r="G8" s="34"/>
      <c r="I8" s="6"/>
      <c r="J8" s="6"/>
      <c r="K8" s="6"/>
    </row>
    <row r="9" ht="15.75" customHeight="1"/>
    <row r="10" ht="15.75" customHeight="1">
      <c r="A10" s="99" t="s">
        <v>192</v>
      </c>
      <c r="G10" s="91" t="s">
        <v>157</v>
      </c>
      <c r="H10" s="103">
        <f>B13</f>
        <v>5</v>
      </c>
    </row>
    <row r="11" ht="15.75" customHeight="1">
      <c r="G11" s="83" t="s">
        <v>193</v>
      </c>
    </row>
    <row r="12" ht="15.75" customHeight="1">
      <c r="A12" s="86" t="s">
        <v>194</v>
      </c>
      <c r="B12" s="88" t="s">
        <v>255</v>
      </c>
      <c r="C12" s="33"/>
      <c r="D12" s="33"/>
      <c r="E12" s="33"/>
      <c r="F12" s="33"/>
      <c r="G12" s="33"/>
      <c r="H12" s="34"/>
    </row>
    <row r="13" ht="15.75" customHeight="1">
      <c r="A13" s="87" t="s">
        <v>157</v>
      </c>
      <c r="B13" s="88">
        <v>5.0</v>
      </c>
      <c r="C13" s="33"/>
      <c r="D13" s="33"/>
      <c r="E13" s="33"/>
      <c r="F13" s="33"/>
      <c r="G13" s="33"/>
      <c r="H13" s="34"/>
    </row>
    <row r="14" ht="15.75" customHeight="1">
      <c r="A14" s="101" t="s">
        <v>196</v>
      </c>
      <c r="B14" s="33"/>
      <c r="C14" s="33"/>
      <c r="D14" s="33"/>
      <c r="E14" s="33"/>
      <c r="F14" s="33"/>
      <c r="G14" s="33"/>
      <c r="H14" s="34"/>
    </row>
    <row r="15" ht="15.75" customHeight="1">
      <c r="A15" s="102" t="s">
        <v>256</v>
      </c>
      <c r="B15" s="59"/>
      <c r="C15" s="59"/>
      <c r="D15" s="59"/>
      <c r="E15" s="59"/>
      <c r="F15" s="59"/>
      <c r="G15" s="59"/>
      <c r="H15" s="60"/>
    </row>
    <row r="16" ht="15.75" customHeight="1">
      <c r="A16" s="61"/>
      <c r="B16" s="62"/>
      <c r="C16" s="62"/>
      <c r="D16" s="62"/>
      <c r="E16" s="62"/>
      <c r="F16" s="62"/>
      <c r="G16" s="62"/>
      <c r="H16" s="63"/>
    </row>
    <row r="17" ht="15.75" customHeight="1">
      <c r="A17" s="101" t="s">
        <v>198</v>
      </c>
      <c r="B17" s="33"/>
      <c r="C17" s="33"/>
      <c r="D17" s="33"/>
      <c r="E17" s="33"/>
      <c r="F17" s="33"/>
      <c r="G17" s="33"/>
      <c r="H17" s="34"/>
    </row>
    <row r="18" ht="15.75" customHeight="1">
      <c r="A18" s="102" t="s">
        <v>257</v>
      </c>
      <c r="B18" s="59"/>
      <c r="C18" s="59"/>
      <c r="D18" s="59"/>
      <c r="E18" s="59"/>
      <c r="F18" s="59"/>
      <c r="G18" s="59"/>
      <c r="H18" s="60"/>
    </row>
    <row r="19" ht="15.75" customHeight="1">
      <c r="A19" s="61"/>
      <c r="B19" s="62"/>
      <c r="C19" s="62"/>
      <c r="D19" s="62"/>
      <c r="E19" s="62"/>
      <c r="F19" s="62"/>
      <c r="G19" s="62"/>
      <c r="H19" s="63"/>
    </row>
    <row r="20" ht="15.75" customHeight="1"/>
    <row r="21" ht="15.75" customHeight="1">
      <c r="A21" s="99" t="s">
        <v>200</v>
      </c>
      <c r="G21" s="91" t="s">
        <v>157</v>
      </c>
      <c r="H21" s="103">
        <f>SUM(D39:H42)</f>
        <v>60</v>
      </c>
      <c r="I21" s="6"/>
    </row>
    <row r="22" ht="15.75" customHeight="1">
      <c r="G22" s="83" t="s">
        <v>201</v>
      </c>
    </row>
    <row r="23" ht="15.75" customHeight="1">
      <c r="A23" s="86" t="s">
        <v>202</v>
      </c>
      <c r="B23" s="88" t="s">
        <v>127</v>
      </c>
      <c r="C23" s="33"/>
      <c r="D23" s="33"/>
      <c r="E23" s="33"/>
      <c r="F23" s="33"/>
      <c r="G23" s="33"/>
      <c r="H23" s="34"/>
    </row>
    <row r="24" ht="15.75" customHeight="1">
      <c r="A24" s="86" t="s">
        <v>202</v>
      </c>
      <c r="B24" s="77"/>
      <c r="C24" s="33"/>
      <c r="D24" s="33"/>
      <c r="E24" s="33"/>
      <c r="F24" s="33"/>
      <c r="G24" s="33"/>
      <c r="H24" s="34"/>
    </row>
    <row r="25" ht="15.75" customHeight="1"/>
    <row r="26" ht="15.75" customHeight="1">
      <c r="A26" s="104" t="s">
        <v>203</v>
      </c>
      <c r="B26" s="6"/>
      <c r="C26" s="6"/>
      <c r="D26" s="6"/>
    </row>
    <row r="27" ht="15.75" customHeight="1">
      <c r="A27" s="105" t="s">
        <v>73</v>
      </c>
      <c r="B27" s="106" t="s">
        <v>204</v>
      </c>
      <c r="C27" s="34"/>
      <c r="D27" s="106" t="s">
        <v>205</v>
      </c>
      <c r="E27" s="34"/>
      <c r="F27" s="106" t="s">
        <v>206</v>
      </c>
      <c r="G27" s="33"/>
      <c r="H27" s="34"/>
    </row>
    <row r="28" ht="15.75" customHeight="1">
      <c r="A28" s="78">
        <v>1.0</v>
      </c>
      <c r="B28" s="77" t="str">
        <f>IFERROR(__xludf.DUMMYFUNCTION("FILTER('Diseño'!D:D,'Diseño'!H:H=$C$5)"),"Unidad 5 – Algoritmos")</f>
        <v>Unidad 5 – Algoritmos</v>
      </c>
      <c r="C28" s="34"/>
      <c r="D28" s="77" t="str">
        <f>IFERROR(__xludf.DUMMYFUNCTION("FILTER('Diseño'!E:E,'Diseño'!H:H=$C$5)"),"Elementos de un algoritmo")</f>
        <v>Elementos de un algoritmo</v>
      </c>
      <c r="E28" s="34"/>
      <c r="F28" s="77" t="str">
        <f>IFERROR(__xludf.DUMMYFUNCTION("FILTER('Diseño'!F:F,'Diseño'!H:H=$C$5)"),"Estructuras cíclicas")</f>
        <v>Estructuras cíclicas</v>
      </c>
      <c r="G28" s="33"/>
      <c r="H28" s="34"/>
    </row>
    <row r="29" ht="15.75" customHeight="1">
      <c r="A29" s="78">
        <v>2.0</v>
      </c>
      <c r="B29" s="77" t="str">
        <f>IFERROR(__xludf.DUMMYFUNCTION("""COMPUTED_VALUE"""),"Unidad 5 – Algoritmos")</f>
        <v>Unidad 5 – Algoritmos</v>
      </c>
      <c r="C29" s="34"/>
      <c r="D29" s="77" t="str">
        <f>IFERROR(__xludf.DUMMYFUNCTION("""COMPUTED_VALUE"""),"Elementos de un algoritmo")</f>
        <v>Elementos de un algoritmo</v>
      </c>
      <c r="E29" s="34"/>
      <c r="F29" s="77" t="str">
        <f>IFERROR(__xludf.DUMMYFUNCTION("""COMPUTED_VALUE"""),"Estructuras secuenciales")</f>
        <v>Estructuras secuenciales</v>
      </c>
      <c r="G29" s="33"/>
      <c r="H29" s="34"/>
    </row>
    <row r="30" ht="15.75" customHeight="1">
      <c r="A30" s="78">
        <v>3.0</v>
      </c>
      <c r="B30" s="77" t="str">
        <f>IFERROR(__xludf.DUMMYFUNCTION("""COMPUTED_VALUE"""),"Unidad 5 – Algoritmos")</f>
        <v>Unidad 5 – Algoritmos</v>
      </c>
      <c r="C30" s="34"/>
      <c r="D30" s="77" t="str">
        <f>IFERROR(__xludf.DUMMYFUNCTION("""COMPUTED_VALUE"""),"Manipulación de cadenas de caracteres")</f>
        <v>Manipulación de cadenas de caracteres</v>
      </c>
      <c r="E30" s="34"/>
      <c r="F30" s="77" t="str">
        <f>IFERROR(__xludf.DUMMYFUNCTION("""COMPUTED_VALUE"""),"Ventajas, desventajas y software de pseudocódigo")</f>
        <v>Ventajas, desventajas y software de pseudocódigo</v>
      </c>
      <c r="G30" s="33"/>
      <c r="H30" s="34"/>
    </row>
    <row r="31" ht="15.75" customHeight="1">
      <c r="A31" s="78">
        <v>4.0</v>
      </c>
      <c r="B31" s="77"/>
      <c r="C31" s="34"/>
      <c r="D31" s="77"/>
      <c r="E31" s="34"/>
      <c r="F31" s="77"/>
      <c r="G31" s="33"/>
      <c r="H31" s="34"/>
    </row>
    <row r="32" ht="15.75" customHeight="1">
      <c r="A32" s="78">
        <v>5.0</v>
      </c>
      <c r="B32" s="77"/>
      <c r="C32" s="34"/>
      <c r="D32" s="77"/>
      <c r="E32" s="34"/>
      <c r="F32" s="77"/>
      <c r="G32" s="33"/>
      <c r="H32" s="34"/>
    </row>
    <row r="33" ht="15.75" customHeight="1">
      <c r="A33" s="78">
        <v>6.0</v>
      </c>
      <c r="B33" s="77"/>
      <c r="C33" s="34"/>
      <c r="D33" s="77"/>
      <c r="E33" s="34"/>
      <c r="F33" s="77"/>
      <c r="G33" s="33"/>
      <c r="H33" s="34"/>
    </row>
    <row r="34" ht="15.75" customHeight="1">
      <c r="A34" s="78">
        <v>7.0</v>
      </c>
      <c r="B34" s="77"/>
      <c r="C34" s="34"/>
      <c r="D34" s="77"/>
      <c r="E34" s="34"/>
      <c r="F34" s="77"/>
      <c r="G34" s="33"/>
      <c r="H34" s="34"/>
    </row>
    <row r="35" ht="15.75" customHeight="1"/>
    <row r="36" ht="15.75" customHeight="1">
      <c r="A36" s="104" t="s">
        <v>207</v>
      </c>
    </row>
    <row r="37" ht="15.75" customHeight="1">
      <c r="A37" s="6"/>
      <c r="B37" s="6"/>
      <c r="C37" s="6"/>
      <c r="D37" s="6"/>
      <c r="E37" s="6"/>
      <c r="F37" s="6"/>
      <c r="G37" s="6"/>
      <c r="H37" s="6"/>
    </row>
    <row r="38">
      <c r="A38" s="105" t="s">
        <v>208</v>
      </c>
      <c r="B38" s="105" t="s">
        <v>29</v>
      </c>
      <c r="C38" s="107" t="s">
        <v>209</v>
      </c>
      <c r="D38" s="108" t="s">
        <v>210</v>
      </c>
      <c r="E38" s="33"/>
      <c r="F38" s="33"/>
      <c r="G38" s="33"/>
      <c r="H38" s="34"/>
      <c r="I38" s="109" t="s">
        <v>18</v>
      </c>
    </row>
    <row r="39" ht="15.75" customHeight="1">
      <c r="A39" s="78" t="s">
        <v>211</v>
      </c>
      <c r="B39" s="78" t="s">
        <v>212</v>
      </c>
      <c r="C39" s="78">
        <v>30.0</v>
      </c>
      <c r="D39" s="88">
        <v>25.0</v>
      </c>
      <c r="E39" s="33"/>
      <c r="F39" s="33"/>
      <c r="G39" s="33"/>
      <c r="H39" s="34"/>
      <c r="I39" s="78" t="str">
        <f t="shared" ref="I39:I42" si="1">IF(D39&lt;=C39,"Correcto", "Corregir")</f>
        <v>Correcto</v>
      </c>
    </row>
    <row r="40" ht="15.75" customHeight="1">
      <c r="A40" s="78" t="s">
        <v>213</v>
      </c>
      <c r="B40" s="78" t="s">
        <v>212</v>
      </c>
      <c r="C40" s="78">
        <v>6.0</v>
      </c>
      <c r="D40" s="88">
        <v>5.0</v>
      </c>
      <c r="E40" s="33"/>
      <c r="F40" s="33"/>
      <c r="G40" s="33"/>
      <c r="H40" s="34"/>
      <c r="I40" s="78" t="str">
        <f t="shared" si="1"/>
        <v>Correcto</v>
      </c>
    </row>
    <row r="41" ht="15.75" customHeight="1">
      <c r="A41" s="78" t="s">
        <v>214</v>
      </c>
      <c r="B41" s="78" t="s">
        <v>215</v>
      </c>
      <c r="C41" s="78">
        <v>10.0</v>
      </c>
      <c r="D41" s="88">
        <v>5.0</v>
      </c>
      <c r="E41" s="33"/>
      <c r="F41" s="33"/>
      <c r="G41" s="33"/>
      <c r="H41" s="34"/>
      <c r="I41" s="78" t="str">
        <f t="shared" si="1"/>
        <v>Correcto</v>
      </c>
    </row>
    <row r="42" ht="15.75" customHeight="1">
      <c r="A42" s="78" t="s">
        <v>216</v>
      </c>
      <c r="B42" s="78" t="s">
        <v>212</v>
      </c>
      <c r="C42" s="78">
        <v>30.0</v>
      </c>
      <c r="D42" s="88">
        <v>25.0</v>
      </c>
      <c r="E42" s="33"/>
      <c r="F42" s="33"/>
      <c r="G42" s="33"/>
      <c r="H42" s="34"/>
      <c r="I42" s="78" t="str">
        <f t="shared" si="1"/>
        <v>Correcto</v>
      </c>
    </row>
    <row r="43" ht="15.75" customHeight="1"/>
    <row r="44" ht="15.75" customHeight="1">
      <c r="A44" s="99" t="s">
        <v>217</v>
      </c>
      <c r="G44" s="91" t="s">
        <v>157</v>
      </c>
      <c r="H44" s="103">
        <f>B50</f>
        <v>20</v>
      </c>
    </row>
    <row r="45" ht="15.75" customHeight="1">
      <c r="G45" s="83" t="s">
        <v>218</v>
      </c>
    </row>
    <row r="46" ht="15.75" customHeight="1">
      <c r="A46" s="83" t="s">
        <v>219</v>
      </c>
    </row>
    <row r="47">
      <c r="A47" s="86" t="s">
        <v>220</v>
      </c>
      <c r="B47" s="88" t="s">
        <v>127</v>
      </c>
      <c r="C47" s="33"/>
      <c r="D47" s="33"/>
      <c r="E47" s="33"/>
      <c r="F47" s="33"/>
      <c r="G47" s="33"/>
      <c r="H47" s="34"/>
    </row>
    <row r="48" ht="15.75" customHeight="1">
      <c r="A48" s="86" t="s">
        <v>8</v>
      </c>
      <c r="B48" s="88" t="s">
        <v>234</v>
      </c>
      <c r="C48" s="33"/>
      <c r="D48" s="33"/>
      <c r="E48" s="33"/>
      <c r="F48" s="33"/>
      <c r="G48" s="33"/>
      <c r="H48" s="34"/>
    </row>
    <row r="49" ht="15.75" customHeight="1">
      <c r="A49" s="86" t="s">
        <v>190</v>
      </c>
      <c r="B49" s="110">
        <v>2.0</v>
      </c>
      <c r="C49" s="33"/>
      <c r="D49" s="33"/>
      <c r="E49" s="33"/>
      <c r="F49" s="33"/>
      <c r="G49" s="33"/>
      <c r="H49" s="34"/>
    </row>
    <row r="50" ht="15.75" customHeight="1">
      <c r="A50" s="86" t="s">
        <v>157</v>
      </c>
      <c r="B50" s="88">
        <v>20.0</v>
      </c>
      <c r="C50" s="33"/>
      <c r="D50" s="33"/>
      <c r="E50" s="33"/>
      <c r="F50" s="33"/>
      <c r="G50" s="33"/>
      <c r="H50" s="34"/>
    </row>
    <row r="51" ht="15.75" customHeight="1">
      <c r="A51" s="111" t="s">
        <v>222</v>
      </c>
      <c r="B51" s="6"/>
      <c r="C51" s="6"/>
      <c r="D51" s="6"/>
      <c r="E51" s="6"/>
      <c r="F51" s="6"/>
      <c r="G51" s="6"/>
      <c r="H51" s="6"/>
    </row>
    <row r="52" ht="15.75" customHeight="1">
      <c r="A52" s="101" t="s">
        <v>223</v>
      </c>
      <c r="B52" s="33"/>
      <c r="C52" s="33"/>
      <c r="D52" s="33"/>
      <c r="E52" s="33"/>
      <c r="F52" s="33"/>
      <c r="G52" s="33"/>
      <c r="H52" s="34"/>
    </row>
    <row r="53" ht="15.75" customHeight="1">
      <c r="A53" s="112"/>
      <c r="B53" s="59"/>
      <c r="C53" s="59"/>
      <c r="D53" s="59"/>
      <c r="E53" s="59"/>
      <c r="F53" s="59"/>
      <c r="G53" s="59"/>
      <c r="H53" s="60"/>
    </row>
    <row r="54" ht="15.75" customHeight="1">
      <c r="A54" s="113"/>
      <c r="H54" s="114"/>
    </row>
    <row r="55" ht="15.75" customHeight="1">
      <c r="A55" s="61"/>
      <c r="B55" s="62"/>
      <c r="C55" s="62"/>
      <c r="D55" s="62"/>
      <c r="E55" s="62"/>
      <c r="F55" s="62"/>
      <c r="G55" s="62"/>
      <c r="H55" s="63"/>
    </row>
    <row r="56" ht="15.75" customHeight="1"/>
    <row r="57" ht="15.75" customHeight="1">
      <c r="A57" s="83" t="s">
        <v>224</v>
      </c>
    </row>
    <row r="58">
      <c r="A58" s="86" t="s">
        <v>220</v>
      </c>
      <c r="B58" s="77"/>
      <c r="C58" s="33"/>
      <c r="D58" s="33"/>
      <c r="E58" s="33"/>
      <c r="F58" s="33"/>
      <c r="G58" s="33"/>
      <c r="H58" s="34"/>
    </row>
    <row r="59" ht="15.75" customHeight="1">
      <c r="A59" s="86" t="s">
        <v>8</v>
      </c>
      <c r="B59" s="77"/>
      <c r="C59" s="33"/>
      <c r="D59" s="33"/>
      <c r="E59" s="33"/>
      <c r="F59" s="33"/>
      <c r="G59" s="33"/>
      <c r="H59" s="34"/>
    </row>
    <row r="60" ht="15.75" customHeight="1">
      <c r="A60" s="86" t="s">
        <v>190</v>
      </c>
      <c r="B60" s="115"/>
      <c r="C60" s="33"/>
      <c r="D60" s="33"/>
      <c r="E60" s="33"/>
      <c r="F60" s="33"/>
      <c r="G60" s="33"/>
      <c r="H60" s="34"/>
    </row>
    <row r="61" ht="15.75" customHeight="1">
      <c r="A61" s="86" t="s">
        <v>157</v>
      </c>
      <c r="B61" s="115"/>
      <c r="C61" s="33"/>
      <c r="D61" s="33"/>
      <c r="E61" s="33"/>
      <c r="F61" s="33"/>
      <c r="G61" s="33"/>
      <c r="H61" s="34"/>
    </row>
    <row r="62" ht="15.75" customHeight="1">
      <c r="A62" s="116" t="s">
        <v>225</v>
      </c>
      <c r="B62" s="6"/>
      <c r="C62" s="6"/>
      <c r="D62" s="6"/>
      <c r="E62" s="6"/>
      <c r="F62" s="6"/>
      <c r="G62" s="6"/>
      <c r="H62" s="6"/>
    </row>
    <row r="63" ht="15.75" customHeight="1">
      <c r="A63" s="101" t="s">
        <v>223</v>
      </c>
      <c r="B63" s="33"/>
      <c r="C63" s="33"/>
      <c r="D63" s="33"/>
      <c r="E63" s="33"/>
      <c r="F63" s="33"/>
      <c r="G63" s="33"/>
      <c r="H63" s="34"/>
    </row>
    <row r="64" ht="15.75" customHeight="1">
      <c r="A64" s="112"/>
      <c r="B64" s="59"/>
      <c r="C64" s="59"/>
      <c r="D64" s="59"/>
      <c r="E64" s="59"/>
      <c r="F64" s="59"/>
      <c r="G64" s="59"/>
      <c r="H64" s="60"/>
    </row>
    <row r="65" ht="15.75" customHeight="1">
      <c r="A65" s="113"/>
      <c r="H65" s="114"/>
    </row>
    <row r="66" ht="15.75" customHeight="1">
      <c r="A66" s="61"/>
      <c r="B66" s="62"/>
      <c r="C66" s="62"/>
      <c r="D66" s="62"/>
      <c r="E66" s="62"/>
      <c r="F66" s="62"/>
      <c r="G66" s="62"/>
      <c r="H66" s="63"/>
    </row>
    <row r="67" ht="15.75" customHeight="1"/>
    <row r="68" ht="15.75" customHeight="1">
      <c r="A68" s="99" t="s">
        <v>226</v>
      </c>
      <c r="G68" s="91" t="s">
        <v>157</v>
      </c>
      <c r="H68" s="103">
        <f>B70</f>
        <v>15</v>
      </c>
    </row>
    <row r="69" ht="15.75" customHeight="1">
      <c r="G69" s="83" t="s">
        <v>227</v>
      </c>
    </row>
    <row r="70" ht="15.75" customHeight="1">
      <c r="A70" s="86" t="s">
        <v>157</v>
      </c>
      <c r="B70" s="110">
        <v>15.0</v>
      </c>
      <c r="C70" s="33"/>
      <c r="D70" s="33"/>
      <c r="E70" s="33"/>
      <c r="F70" s="33"/>
      <c r="G70" s="33"/>
      <c r="H70" s="34"/>
    </row>
    <row r="71" ht="15.75" customHeight="1">
      <c r="A71" s="108" t="s">
        <v>228</v>
      </c>
      <c r="B71" s="33"/>
      <c r="C71" s="33"/>
      <c r="D71" s="33"/>
      <c r="E71" s="33"/>
      <c r="F71" s="33"/>
      <c r="G71" s="33"/>
      <c r="H71" s="34"/>
    </row>
    <row r="72" ht="15.75" customHeight="1">
      <c r="A72" s="102" t="s">
        <v>243</v>
      </c>
      <c r="B72" s="59"/>
      <c r="C72" s="59"/>
      <c r="D72" s="59"/>
      <c r="E72" s="59"/>
      <c r="F72" s="59"/>
      <c r="G72" s="59"/>
      <c r="H72" s="60"/>
    </row>
    <row r="73" ht="15.75" customHeight="1">
      <c r="A73" s="61"/>
      <c r="B73" s="62"/>
      <c r="C73" s="62"/>
      <c r="D73" s="62"/>
      <c r="E73" s="62"/>
      <c r="F73" s="62"/>
      <c r="G73" s="62"/>
      <c r="H73" s="63"/>
    </row>
    <row r="74" ht="15.75" customHeight="1">
      <c r="A74" s="83"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189</v>
      </c>
    </row>
    <row r="3" ht="15.75" customHeight="1"/>
    <row r="4" ht="15.75" customHeight="1">
      <c r="B4" s="76" t="s">
        <v>1</v>
      </c>
      <c r="C4" s="96" t="str">
        <f>'Diseño'!C4</f>
        <v>768 - Algoritmos</v>
      </c>
      <c r="D4" s="33"/>
      <c r="E4" s="33"/>
      <c r="F4" s="33"/>
      <c r="G4" s="34"/>
    </row>
    <row r="5" ht="15.75" customHeight="1">
      <c r="B5" s="78" t="s">
        <v>79</v>
      </c>
      <c r="C5" s="77">
        <v>10.0</v>
      </c>
      <c r="D5" s="33"/>
      <c r="E5" s="33"/>
      <c r="F5" s="33"/>
      <c r="G5" s="34"/>
    </row>
    <row r="6" ht="15.75" customHeight="1">
      <c r="B6" s="97" t="s">
        <v>154</v>
      </c>
      <c r="C6" s="77">
        <f>H10+H21+H44+H68</f>
        <v>105</v>
      </c>
      <c r="D6" s="33"/>
      <c r="E6" s="33"/>
      <c r="F6" s="33"/>
      <c r="G6" s="34"/>
      <c r="I6" s="6"/>
    </row>
    <row r="7" ht="15.75" customHeight="1">
      <c r="B7" s="97" t="s">
        <v>190</v>
      </c>
      <c r="C7" s="77">
        <f>B49+B60</f>
        <v>0</v>
      </c>
      <c r="D7" s="33"/>
      <c r="E7" s="33"/>
      <c r="F7" s="33"/>
      <c r="G7" s="34"/>
    </row>
    <row r="8" ht="15.75" customHeight="1">
      <c r="B8" s="97" t="s">
        <v>191</v>
      </c>
      <c r="C8" s="98" t="str">
        <f>IF(H44&lt;=0, "❌ ERROR: La Actividad 1 debe tener un tiempo mayor a 0.", IF(H21&gt;60, "❌ ERROR: El 'Área de Conocimiento' no puede exceder los 60 min.", IF((H10+H21+H44+H68)&lt;100, "❌ ERROR: El tiempo total debe ser de al menos 100 min.", "✅ VALIDACIÓN CORRECTA")))</f>
        <v>✅ VALIDACIÓN CORRECTA</v>
      </c>
      <c r="D8" s="33"/>
      <c r="E8" s="33"/>
      <c r="F8" s="33"/>
      <c r="G8" s="34"/>
      <c r="I8" s="6"/>
      <c r="J8" s="6"/>
      <c r="K8" s="6"/>
    </row>
    <row r="9" ht="15.75" customHeight="1"/>
    <row r="10" ht="15.75" customHeight="1">
      <c r="A10" s="99" t="s">
        <v>192</v>
      </c>
      <c r="G10" s="91" t="s">
        <v>157</v>
      </c>
      <c r="H10" s="103">
        <f>B13</f>
        <v>5</v>
      </c>
    </row>
    <row r="11" ht="15.75" customHeight="1">
      <c r="G11" s="83" t="s">
        <v>193</v>
      </c>
    </row>
    <row r="12" ht="15.75" customHeight="1">
      <c r="A12" s="86" t="s">
        <v>194</v>
      </c>
      <c r="B12" s="88" t="s">
        <v>258</v>
      </c>
      <c r="C12" s="33"/>
      <c r="D12" s="33"/>
      <c r="E12" s="33"/>
      <c r="F12" s="33"/>
      <c r="G12" s="33"/>
      <c r="H12" s="34"/>
    </row>
    <row r="13" ht="15.75" customHeight="1">
      <c r="A13" s="87" t="s">
        <v>157</v>
      </c>
      <c r="B13" s="88">
        <v>5.0</v>
      </c>
      <c r="C13" s="33"/>
      <c r="D13" s="33"/>
      <c r="E13" s="33"/>
      <c r="F13" s="33"/>
      <c r="G13" s="33"/>
      <c r="H13" s="34"/>
    </row>
    <row r="14" ht="15.75" customHeight="1">
      <c r="A14" s="101" t="s">
        <v>196</v>
      </c>
      <c r="B14" s="33"/>
      <c r="C14" s="33"/>
      <c r="D14" s="33"/>
      <c r="E14" s="33"/>
      <c r="F14" s="33"/>
      <c r="G14" s="33"/>
      <c r="H14" s="34"/>
    </row>
    <row r="15" ht="15.75" customHeight="1">
      <c r="A15" s="102" t="s">
        <v>259</v>
      </c>
      <c r="B15" s="59"/>
      <c r="C15" s="59"/>
      <c r="D15" s="59"/>
      <c r="E15" s="59"/>
      <c r="F15" s="59"/>
      <c r="G15" s="59"/>
      <c r="H15" s="60"/>
    </row>
    <row r="16" ht="15.75" customHeight="1">
      <c r="A16" s="61"/>
      <c r="B16" s="62"/>
      <c r="C16" s="62"/>
      <c r="D16" s="62"/>
      <c r="E16" s="62"/>
      <c r="F16" s="62"/>
      <c r="G16" s="62"/>
      <c r="H16" s="63"/>
    </row>
    <row r="17" ht="15.75" customHeight="1">
      <c r="A17" s="101" t="s">
        <v>198</v>
      </c>
      <c r="B17" s="33"/>
      <c r="C17" s="33"/>
      <c r="D17" s="33"/>
      <c r="E17" s="33"/>
      <c r="F17" s="33"/>
      <c r="G17" s="33"/>
      <c r="H17" s="34"/>
    </row>
    <row r="18" ht="15.75" customHeight="1">
      <c r="A18" s="102" t="s">
        <v>260</v>
      </c>
      <c r="B18" s="59"/>
      <c r="C18" s="59"/>
      <c r="D18" s="59"/>
      <c r="E18" s="59"/>
      <c r="F18" s="59"/>
      <c r="G18" s="59"/>
      <c r="H18" s="60"/>
    </row>
    <row r="19" ht="15.75" customHeight="1">
      <c r="A19" s="61"/>
      <c r="B19" s="62"/>
      <c r="C19" s="62"/>
      <c r="D19" s="62"/>
      <c r="E19" s="62"/>
      <c r="F19" s="62"/>
      <c r="G19" s="62"/>
      <c r="H19" s="63"/>
    </row>
    <row r="20" ht="15.75" customHeight="1"/>
    <row r="21" ht="15.75" customHeight="1">
      <c r="A21" s="99" t="s">
        <v>200</v>
      </c>
      <c r="G21" s="91" t="s">
        <v>157</v>
      </c>
      <c r="H21" s="103">
        <f>SUM(D39:H42)</f>
        <v>60</v>
      </c>
      <c r="I21" s="6"/>
    </row>
    <row r="22" ht="15.75" customHeight="1">
      <c r="G22" s="83" t="s">
        <v>201</v>
      </c>
    </row>
    <row r="23" ht="15.75" customHeight="1">
      <c r="A23" s="86" t="s">
        <v>202</v>
      </c>
      <c r="B23" s="88" t="s">
        <v>141</v>
      </c>
      <c r="C23" s="33"/>
      <c r="D23" s="33"/>
      <c r="E23" s="33"/>
      <c r="F23" s="33"/>
      <c r="G23" s="33"/>
      <c r="H23" s="34"/>
    </row>
    <row r="24" ht="15.75" customHeight="1">
      <c r="A24" s="86" t="s">
        <v>202</v>
      </c>
      <c r="B24" s="77"/>
      <c r="C24" s="33"/>
      <c r="D24" s="33"/>
      <c r="E24" s="33"/>
      <c r="F24" s="33"/>
      <c r="G24" s="33"/>
      <c r="H24" s="34"/>
    </row>
    <row r="25" ht="15.75" customHeight="1"/>
    <row r="26" ht="15.75" customHeight="1">
      <c r="A26" s="104" t="s">
        <v>203</v>
      </c>
      <c r="B26" s="6"/>
      <c r="C26" s="6"/>
      <c r="D26" s="6"/>
    </row>
    <row r="27" ht="15.75" customHeight="1">
      <c r="A27" s="105" t="s">
        <v>73</v>
      </c>
      <c r="B27" s="106" t="s">
        <v>204</v>
      </c>
      <c r="C27" s="34"/>
      <c r="D27" s="106" t="s">
        <v>205</v>
      </c>
      <c r="E27" s="34"/>
      <c r="F27" s="106" t="s">
        <v>206</v>
      </c>
      <c r="G27" s="33"/>
      <c r="H27" s="34"/>
    </row>
    <row r="28" ht="15.75" customHeight="1">
      <c r="A28" s="78">
        <v>1.0</v>
      </c>
      <c r="B28" s="77" t="str">
        <f>IFERROR(__xludf.DUMMYFUNCTION("FILTER('Diseño'!D:D,'Diseño'!H:H=$C$5)"),"Unidad 5 – Algoritmos")</f>
        <v>Unidad 5 – Algoritmos</v>
      </c>
      <c r="C28" s="34"/>
      <c r="D28" s="77" t="str">
        <f>IFERROR(__xludf.DUMMYFUNCTION("FILTER('Diseño'!E:E,'Diseño'!H:H=$C$5)"),"Arreglos")</f>
        <v>Arreglos</v>
      </c>
      <c r="E28" s="34"/>
      <c r="F28" s="77" t="str">
        <f>IFERROR(__xludf.DUMMYFUNCTION("FILTER('Diseño'!F:F,'Diseño'!H:H=$C$5)"),"Arreglos unidimensionales y multidimensionales")</f>
        <v>Arreglos unidimensionales y multidimensionales</v>
      </c>
      <c r="G28" s="33"/>
      <c r="H28" s="34"/>
    </row>
    <row r="29" ht="15.75" customHeight="1">
      <c r="A29" s="78">
        <v>2.0</v>
      </c>
      <c r="B29" s="77" t="str">
        <f>IFERROR(__xludf.DUMMYFUNCTION("""COMPUTED_VALUE"""),"Unidad 5 – Algoritmos")</f>
        <v>Unidad 5 – Algoritmos</v>
      </c>
      <c r="C29" s="34"/>
      <c r="D29" s="77" t="str">
        <f>IFERROR(__xludf.DUMMYFUNCTION("""COMPUTED_VALUE"""),"Administración de algoritmos")</f>
        <v>Administración de algoritmos</v>
      </c>
      <c r="E29" s="34"/>
      <c r="F29" s="77" t="str">
        <f>IFERROR(__xludf.DUMMYFUNCTION("""COMPUTED_VALUE"""),"Herramientas de representación de algoritmos")</f>
        <v>Herramientas de representación de algoritmos</v>
      </c>
      <c r="G29" s="33"/>
      <c r="H29" s="34"/>
    </row>
    <row r="30" ht="15.75" customHeight="1">
      <c r="A30" s="78">
        <v>3.0</v>
      </c>
      <c r="B30" s="77" t="str">
        <f>IFERROR(__xludf.DUMMYFUNCTION("""COMPUTED_VALUE"""),"Unidad 5 – Algoritmos")</f>
        <v>Unidad 5 – Algoritmos</v>
      </c>
      <c r="C30" s="34"/>
      <c r="D30" s="77" t="str">
        <f>IFERROR(__xludf.DUMMYFUNCTION("""COMPUTED_VALUE"""),"Administración de algoritmos")</f>
        <v>Administración de algoritmos</v>
      </c>
      <c r="E30" s="34"/>
      <c r="F30" s="77" t="str">
        <f>IFERROR(__xludf.DUMMYFUNCTION("""COMPUTED_VALUE"""),"Diagramas de flujo")</f>
        <v>Diagramas de flujo</v>
      </c>
      <c r="G30" s="33"/>
      <c r="H30" s="34"/>
    </row>
    <row r="31" ht="15.75" customHeight="1">
      <c r="A31" s="78">
        <v>4.0</v>
      </c>
      <c r="B31" s="77"/>
      <c r="C31" s="34"/>
      <c r="D31" s="77"/>
      <c r="E31" s="34"/>
      <c r="F31" s="77"/>
      <c r="G31" s="33"/>
      <c r="H31" s="34"/>
    </row>
    <row r="32" ht="15.75" customHeight="1">
      <c r="A32" s="78">
        <v>5.0</v>
      </c>
      <c r="B32" s="77"/>
      <c r="C32" s="34"/>
      <c r="D32" s="77"/>
      <c r="E32" s="34"/>
      <c r="F32" s="77"/>
      <c r="G32" s="33"/>
      <c r="H32" s="34"/>
    </row>
    <row r="33" ht="15.75" customHeight="1">
      <c r="A33" s="78">
        <v>6.0</v>
      </c>
      <c r="B33" s="77"/>
      <c r="C33" s="34"/>
      <c r="D33" s="77"/>
      <c r="E33" s="34"/>
      <c r="F33" s="77"/>
      <c r="G33" s="33"/>
      <c r="H33" s="34"/>
    </row>
    <row r="34" ht="15.75" customHeight="1">
      <c r="A34" s="78">
        <v>7.0</v>
      </c>
      <c r="B34" s="77"/>
      <c r="C34" s="34"/>
      <c r="D34" s="77"/>
      <c r="E34" s="34"/>
      <c r="F34" s="77"/>
      <c r="G34" s="33"/>
      <c r="H34" s="34"/>
    </row>
    <row r="35" ht="15.75" customHeight="1"/>
    <row r="36" ht="15.75" customHeight="1">
      <c r="A36" s="104" t="s">
        <v>207</v>
      </c>
    </row>
    <row r="37" ht="15.75" customHeight="1">
      <c r="A37" s="6"/>
      <c r="B37" s="6"/>
      <c r="C37" s="6"/>
      <c r="D37" s="6"/>
      <c r="E37" s="6"/>
      <c r="F37" s="6"/>
      <c r="G37" s="6"/>
      <c r="H37" s="6"/>
    </row>
    <row r="38">
      <c r="A38" s="105" t="s">
        <v>208</v>
      </c>
      <c r="B38" s="105" t="s">
        <v>29</v>
      </c>
      <c r="C38" s="107" t="s">
        <v>209</v>
      </c>
      <c r="D38" s="108" t="s">
        <v>210</v>
      </c>
      <c r="E38" s="33"/>
      <c r="F38" s="33"/>
      <c r="G38" s="33"/>
      <c r="H38" s="34"/>
      <c r="I38" s="109" t="s">
        <v>18</v>
      </c>
    </row>
    <row r="39" ht="15.75" customHeight="1">
      <c r="A39" s="78" t="s">
        <v>211</v>
      </c>
      <c r="B39" s="78" t="s">
        <v>212</v>
      </c>
      <c r="C39" s="78">
        <v>30.0</v>
      </c>
      <c r="D39" s="88">
        <v>25.0</v>
      </c>
      <c r="E39" s="33"/>
      <c r="F39" s="33"/>
      <c r="G39" s="33"/>
      <c r="H39" s="34"/>
      <c r="I39" s="78" t="str">
        <f t="shared" ref="I39:I42" si="1">IF(D39&lt;=C39,"Correcto", "Corregir")</f>
        <v>Correcto</v>
      </c>
    </row>
    <row r="40" ht="15.75" customHeight="1">
      <c r="A40" s="78" t="s">
        <v>213</v>
      </c>
      <c r="B40" s="78" t="s">
        <v>212</v>
      </c>
      <c r="C40" s="78">
        <v>6.0</v>
      </c>
      <c r="D40" s="88">
        <v>5.0</v>
      </c>
      <c r="E40" s="33"/>
      <c r="F40" s="33"/>
      <c r="G40" s="33"/>
      <c r="H40" s="34"/>
      <c r="I40" s="78" t="str">
        <f t="shared" si="1"/>
        <v>Correcto</v>
      </c>
    </row>
    <row r="41" ht="15.75" customHeight="1">
      <c r="A41" s="78" t="s">
        <v>214</v>
      </c>
      <c r="B41" s="78" t="s">
        <v>215</v>
      </c>
      <c r="C41" s="78">
        <v>10.0</v>
      </c>
      <c r="D41" s="88">
        <v>5.0</v>
      </c>
      <c r="E41" s="33"/>
      <c r="F41" s="33"/>
      <c r="G41" s="33"/>
      <c r="H41" s="34"/>
      <c r="I41" s="78" t="str">
        <f t="shared" si="1"/>
        <v>Correcto</v>
      </c>
    </row>
    <row r="42" ht="15.75" customHeight="1">
      <c r="A42" s="78" t="s">
        <v>216</v>
      </c>
      <c r="B42" s="78" t="s">
        <v>212</v>
      </c>
      <c r="C42" s="78">
        <v>30.0</v>
      </c>
      <c r="D42" s="88">
        <v>25.0</v>
      </c>
      <c r="E42" s="33"/>
      <c r="F42" s="33"/>
      <c r="G42" s="33"/>
      <c r="H42" s="34"/>
      <c r="I42" s="78" t="str">
        <f t="shared" si="1"/>
        <v>Correcto</v>
      </c>
    </row>
    <row r="43" ht="15.75" customHeight="1"/>
    <row r="44" ht="15.75" customHeight="1">
      <c r="A44" s="99" t="s">
        <v>217</v>
      </c>
      <c r="G44" s="91" t="s">
        <v>157</v>
      </c>
      <c r="H44" s="103">
        <f>B50</f>
        <v>25</v>
      </c>
    </row>
    <row r="45" ht="15.75" customHeight="1">
      <c r="G45" s="83" t="s">
        <v>218</v>
      </c>
    </row>
    <row r="46" ht="15.75" customHeight="1">
      <c r="A46" s="83" t="s">
        <v>219</v>
      </c>
    </row>
    <row r="47">
      <c r="A47" s="86" t="s">
        <v>220</v>
      </c>
      <c r="B47" s="88" t="s">
        <v>141</v>
      </c>
      <c r="C47" s="33"/>
      <c r="D47" s="33"/>
      <c r="E47" s="33"/>
      <c r="F47" s="33"/>
      <c r="G47" s="33"/>
      <c r="H47" s="34"/>
    </row>
    <row r="48" ht="15.75" customHeight="1">
      <c r="A48" s="86" t="s">
        <v>8</v>
      </c>
      <c r="B48" s="88" t="s">
        <v>221</v>
      </c>
      <c r="C48" s="33"/>
      <c r="D48" s="33"/>
      <c r="E48" s="33"/>
      <c r="F48" s="33"/>
      <c r="G48" s="33"/>
      <c r="H48" s="34"/>
    </row>
    <row r="49" ht="15.75" customHeight="1">
      <c r="A49" s="86" t="s">
        <v>190</v>
      </c>
      <c r="B49" s="110">
        <v>0.0</v>
      </c>
      <c r="C49" s="33"/>
      <c r="D49" s="33"/>
      <c r="E49" s="33"/>
      <c r="F49" s="33"/>
      <c r="G49" s="33"/>
      <c r="H49" s="34"/>
    </row>
    <row r="50" ht="15.75" customHeight="1">
      <c r="A50" s="86" t="s">
        <v>157</v>
      </c>
      <c r="B50" s="88">
        <v>25.0</v>
      </c>
      <c r="C50" s="33"/>
      <c r="D50" s="33"/>
      <c r="E50" s="33"/>
      <c r="F50" s="33"/>
      <c r="G50" s="33"/>
      <c r="H50" s="34"/>
    </row>
    <row r="51" ht="15.75" customHeight="1">
      <c r="A51" s="111" t="s">
        <v>222</v>
      </c>
      <c r="B51" s="6"/>
      <c r="C51" s="6"/>
      <c r="D51" s="6"/>
      <c r="E51" s="6"/>
      <c r="F51" s="6"/>
      <c r="G51" s="6"/>
      <c r="H51" s="6"/>
    </row>
    <row r="52" ht="15.75" customHeight="1">
      <c r="A52" s="101" t="s">
        <v>223</v>
      </c>
      <c r="B52" s="33"/>
      <c r="C52" s="33"/>
      <c r="D52" s="33"/>
      <c r="E52" s="33"/>
      <c r="F52" s="33"/>
      <c r="G52" s="33"/>
      <c r="H52" s="34"/>
    </row>
    <row r="53" ht="15.75" customHeight="1">
      <c r="A53" s="112"/>
      <c r="B53" s="59"/>
      <c r="C53" s="59"/>
      <c r="D53" s="59"/>
      <c r="E53" s="59"/>
      <c r="F53" s="59"/>
      <c r="G53" s="59"/>
      <c r="H53" s="60"/>
    </row>
    <row r="54" ht="15.75" customHeight="1">
      <c r="A54" s="113"/>
      <c r="H54" s="114"/>
    </row>
    <row r="55" ht="15.75" customHeight="1">
      <c r="A55" s="61"/>
      <c r="B55" s="62"/>
      <c r="C55" s="62"/>
      <c r="D55" s="62"/>
      <c r="E55" s="62"/>
      <c r="F55" s="62"/>
      <c r="G55" s="62"/>
      <c r="H55" s="63"/>
    </row>
    <row r="56" ht="15.75" customHeight="1"/>
    <row r="57" ht="15.75" customHeight="1">
      <c r="A57" s="83" t="s">
        <v>224</v>
      </c>
    </row>
    <row r="58">
      <c r="A58" s="86" t="s">
        <v>220</v>
      </c>
      <c r="B58" s="77"/>
      <c r="C58" s="33"/>
      <c r="D58" s="33"/>
      <c r="E58" s="33"/>
      <c r="F58" s="33"/>
      <c r="G58" s="33"/>
      <c r="H58" s="34"/>
    </row>
    <row r="59" ht="15.75" customHeight="1">
      <c r="A59" s="86" t="s">
        <v>8</v>
      </c>
      <c r="B59" s="77"/>
      <c r="C59" s="33"/>
      <c r="D59" s="33"/>
      <c r="E59" s="33"/>
      <c r="F59" s="33"/>
      <c r="G59" s="33"/>
      <c r="H59" s="34"/>
    </row>
    <row r="60" ht="15.75" customHeight="1">
      <c r="A60" s="86" t="s">
        <v>190</v>
      </c>
      <c r="B60" s="115"/>
      <c r="C60" s="33"/>
      <c r="D60" s="33"/>
      <c r="E60" s="33"/>
      <c r="F60" s="33"/>
      <c r="G60" s="33"/>
      <c r="H60" s="34"/>
    </row>
    <row r="61" ht="15.75" customHeight="1">
      <c r="A61" s="86" t="s">
        <v>157</v>
      </c>
      <c r="B61" s="115"/>
      <c r="C61" s="33"/>
      <c r="D61" s="33"/>
      <c r="E61" s="33"/>
      <c r="F61" s="33"/>
      <c r="G61" s="33"/>
      <c r="H61" s="34"/>
    </row>
    <row r="62" ht="15.75" customHeight="1">
      <c r="A62" s="116" t="s">
        <v>225</v>
      </c>
      <c r="B62" s="6"/>
      <c r="C62" s="6"/>
      <c r="D62" s="6"/>
      <c r="E62" s="6"/>
      <c r="F62" s="6"/>
      <c r="G62" s="6"/>
      <c r="H62" s="6"/>
    </row>
    <row r="63" ht="15.75" customHeight="1">
      <c r="A63" s="101" t="s">
        <v>223</v>
      </c>
      <c r="B63" s="33"/>
      <c r="C63" s="33"/>
      <c r="D63" s="33"/>
      <c r="E63" s="33"/>
      <c r="F63" s="33"/>
      <c r="G63" s="33"/>
      <c r="H63" s="34"/>
    </row>
    <row r="64" ht="15.75" customHeight="1">
      <c r="A64" s="112"/>
      <c r="B64" s="59"/>
      <c r="C64" s="59"/>
      <c r="D64" s="59"/>
      <c r="E64" s="59"/>
      <c r="F64" s="59"/>
      <c r="G64" s="59"/>
      <c r="H64" s="60"/>
    </row>
    <row r="65" ht="15.75" customHeight="1">
      <c r="A65" s="113"/>
      <c r="H65" s="114"/>
    </row>
    <row r="66" ht="15.75" customHeight="1">
      <c r="A66" s="61"/>
      <c r="B66" s="62"/>
      <c r="C66" s="62"/>
      <c r="D66" s="62"/>
      <c r="E66" s="62"/>
      <c r="F66" s="62"/>
      <c r="G66" s="62"/>
      <c r="H66" s="63"/>
    </row>
    <row r="67" ht="15.75" customHeight="1"/>
    <row r="68" ht="15.75" customHeight="1">
      <c r="A68" s="99" t="s">
        <v>226</v>
      </c>
      <c r="G68" s="91" t="s">
        <v>157</v>
      </c>
      <c r="H68" s="103">
        <f>B70</f>
        <v>15</v>
      </c>
    </row>
    <row r="69" ht="15.75" customHeight="1">
      <c r="G69" s="83" t="s">
        <v>227</v>
      </c>
    </row>
    <row r="70" ht="15.75" customHeight="1">
      <c r="A70" s="86" t="s">
        <v>157</v>
      </c>
      <c r="B70" s="110">
        <v>15.0</v>
      </c>
      <c r="C70" s="33"/>
      <c r="D70" s="33"/>
      <c r="E70" s="33"/>
      <c r="F70" s="33"/>
      <c r="G70" s="33"/>
      <c r="H70" s="34"/>
    </row>
    <row r="71" ht="15.75" customHeight="1">
      <c r="A71" s="108" t="s">
        <v>228</v>
      </c>
      <c r="B71" s="33"/>
      <c r="C71" s="33"/>
      <c r="D71" s="33"/>
      <c r="E71" s="33"/>
      <c r="F71" s="33"/>
      <c r="G71" s="33"/>
      <c r="H71" s="34"/>
    </row>
    <row r="72" ht="15.75" customHeight="1">
      <c r="A72" s="102" t="s">
        <v>261</v>
      </c>
      <c r="B72" s="59"/>
      <c r="C72" s="59"/>
      <c r="D72" s="59"/>
      <c r="E72" s="59"/>
      <c r="F72" s="59"/>
      <c r="G72" s="59"/>
      <c r="H72" s="60"/>
    </row>
    <row r="73" ht="15.75" customHeight="1">
      <c r="A73" s="61"/>
      <c r="B73" s="62"/>
      <c r="C73" s="62"/>
      <c r="D73" s="62"/>
      <c r="E73" s="62"/>
      <c r="F73" s="62"/>
      <c r="G73" s="62"/>
      <c r="H73" s="63"/>
    </row>
    <row r="74" ht="15.75" customHeight="1">
      <c r="A74" s="83"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189</v>
      </c>
    </row>
    <row r="3" ht="15.75" customHeight="1"/>
    <row r="4" ht="15.75" customHeight="1">
      <c r="B4" s="76" t="s">
        <v>1</v>
      </c>
      <c r="C4" s="96" t="str">
        <f>'Diseño'!C4</f>
        <v>768 - Algoritmos</v>
      </c>
      <c r="D4" s="33"/>
      <c r="E4" s="33"/>
      <c r="F4" s="33"/>
      <c r="G4" s="34"/>
    </row>
    <row r="5" ht="15.75" customHeight="1">
      <c r="B5" s="78" t="s">
        <v>79</v>
      </c>
      <c r="C5" s="77">
        <v>11.0</v>
      </c>
      <c r="D5" s="33"/>
      <c r="E5" s="33"/>
      <c r="F5" s="33"/>
      <c r="G5" s="34"/>
    </row>
    <row r="6" ht="15.75" customHeight="1">
      <c r="B6" s="97" t="s">
        <v>154</v>
      </c>
      <c r="C6" s="77">
        <f>H10+H21+H44+H68</f>
        <v>100</v>
      </c>
      <c r="D6" s="33"/>
      <c r="E6" s="33"/>
      <c r="F6" s="33"/>
      <c r="G6" s="34"/>
      <c r="I6" s="6"/>
    </row>
    <row r="7" ht="15.75" customHeight="1">
      <c r="B7" s="97" t="s">
        <v>190</v>
      </c>
      <c r="C7" s="77">
        <f>B49+B60</f>
        <v>2</v>
      </c>
      <c r="D7" s="33"/>
      <c r="E7" s="33"/>
      <c r="F7" s="33"/>
      <c r="G7" s="34"/>
    </row>
    <row r="8" ht="15.75" customHeight="1">
      <c r="B8" s="97" t="s">
        <v>191</v>
      </c>
      <c r="C8" s="98" t="str">
        <f>IF(H44&lt;=0, "❌ ERROR: La Actividad 1 debe tener un tiempo mayor a 0.", IF(H21&gt;60, "❌ ERROR: El 'Área de Conocimiento' no puede exceder los 60 min.", IF((H10+H21+H44+H68)&lt;100, "❌ ERROR: El tiempo total debe ser de al menos 100 min.", "✅ VALIDACIÓN CORRECTA")))</f>
        <v>✅ VALIDACIÓN CORRECTA</v>
      </c>
      <c r="D8" s="33"/>
      <c r="E8" s="33"/>
      <c r="F8" s="33"/>
      <c r="G8" s="34"/>
      <c r="I8" s="6"/>
      <c r="J8" s="6"/>
      <c r="K8" s="6"/>
    </row>
    <row r="9" ht="15.75" customHeight="1"/>
    <row r="10" ht="15.75" customHeight="1">
      <c r="A10" s="99" t="s">
        <v>192</v>
      </c>
      <c r="G10" s="91" t="s">
        <v>157</v>
      </c>
      <c r="H10" s="103">
        <f>B13</f>
        <v>5</v>
      </c>
    </row>
    <row r="11" ht="15.75" customHeight="1">
      <c r="G11" s="83" t="s">
        <v>193</v>
      </c>
    </row>
    <row r="12" ht="15.75" customHeight="1">
      <c r="A12" s="86" t="s">
        <v>194</v>
      </c>
      <c r="B12" s="88" t="s">
        <v>262</v>
      </c>
      <c r="C12" s="33"/>
      <c r="D12" s="33"/>
      <c r="E12" s="33"/>
      <c r="F12" s="33"/>
      <c r="G12" s="33"/>
      <c r="H12" s="34"/>
    </row>
    <row r="13" ht="15.75" customHeight="1">
      <c r="A13" s="87" t="s">
        <v>157</v>
      </c>
      <c r="B13" s="88">
        <v>5.0</v>
      </c>
      <c r="C13" s="33"/>
      <c r="D13" s="33"/>
      <c r="E13" s="33"/>
      <c r="F13" s="33"/>
      <c r="G13" s="33"/>
      <c r="H13" s="34"/>
    </row>
    <row r="14" ht="15.75" customHeight="1">
      <c r="A14" s="101" t="s">
        <v>196</v>
      </c>
      <c r="B14" s="33"/>
      <c r="C14" s="33"/>
      <c r="D14" s="33"/>
      <c r="E14" s="33"/>
      <c r="F14" s="33"/>
      <c r="G14" s="33"/>
      <c r="H14" s="34"/>
    </row>
    <row r="15" ht="15.75" customHeight="1">
      <c r="A15" s="102" t="s">
        <v>263</v>
      </c>
      <c r="B15" s="59"/>
      <c r="C15" s="59"/>
      <c r="D15" s="59"/>
      <c r="E15" s="59"/>
      <c r="F15" s="59"/>
      <c r="G15" s="59"/>
      <c r="H15" s="60"/>
    </row>
    <row r="16" ht="15.75" customHeight="1">
      <c r="A16" s="61"/>
      <c r="B16" s="62"/>
      <c r="C16" s="62"/>
      <c r="D16" s="62"/>
      <c r="E16" s="62"/>
      <c r="F16" s="62"/>
      <c r="G16" s="62"/>
      <c r="H16" s="63"/>
    </row>
    <row r="17" ht="15.75" customHeight="1">
      <c r="A17" s="101" t="s">
        <v>198</v>
      </c>
      <c r="B17" s="33"/>
      <c r="C17" s="33"/>
      <c r="D17" s="33"/>
      <c r="E17" s="33"/>
      <c r="F17" s="33"/>
      <c r="G17" s="33"/>
      <c r="H17" s="34"/>
    </row>
    <row r="18" ht="15.75" customHeight="1">
      <c r="A18" s="102" t="s">
        <v>264</v>
      </c>
      <c r="B18" s="59"/>
      <c r="C18" s="59"/>
      <c r="D18" s="59"/>
      <c r="E18" s="59"/>
      <c r="F18" s="59"/>
      <c r="G18" s="59"/>
      <c r="H18" s="60"/>
    </row>
    <row r="19" ht="15.75" customHeight="1">
      <c r="A19" s="61"/>
      <c r="B19" s="62"/>
      <c r="C19" s="62"/>
      <c r="D19" s="62"/>
      <c r="E19" s="62"/>
      <c r="F19" s="62"/>
      <c r="G19" s="62"/>
      <c r="H19" s="63"/>
    </row>
    <row r="20" ht="15.75" customHeight="1"/>
    <row r="21" ht="15.75" customHeight="1">
      <c r="A21" s="99" t="s">
        <v>200</v>
      </c>
      <c r="G21" s="91" t="s">
        <v>157</v>
      </c>
      <c r="H21" s="103">
        <f>SUM(D39:H42)</f>
        <v>60</v>
      </c>
      <c r="I21" s="6"/>
    </row>
    <row r="22" ht="15.75" customHeight="1">
      <c r="G22" s="83" t="s">
        <v>201</v>
      </c>
    </row>
    <row r="23" ht="15.75" customHeight="1">
      <c r="A23" s="86" t="s">
        <v>202</v>
      </c>
      <c r="B23" s="88" t="s">
        <v>141</v>
      </c>
      <c r="C23" s="33"/>
      <c r="D23" s="33"/>
      <c r="E23" s="33"/>
      <c r="F23" s="33"/>
      <c r="G23" s="33"/>
      <c r="H23" s="34"/>
    </row>
    <row r="24" ht="15.75" customHeight="1">
      <c r="A24" s="86" t="s">
        <v>202</v>
      </c>
      <c r="B24" s="88" t="s">
        <v>148</v>
      </c>
      <c r="C24" s="33"/>
      <c r="D24" s="33"/>
      <c r="E24" s="33"/>
      <c r="F24" s="33"/>
      <c r="G24" s="33"/>
      <c r="H24" s="34"/>
    </row>
    <row r="25" ht="15.75" customHeight="1"/>
    <row r="26" ht="15.75" customHeight="1">
      <c r="A26" s="104" t="s">
        <v>203</v>
      </c>
      <c r="B26" s="6"/>
      <c r="C26" s="6"/>
      <c r="D26" s="6"/>
    </row>
    <row r="27" ht="15.75" customHeight="1">
      <c r="A27" s="105" t="s">
        <v>73</v>
      </c>
      <c r="B27" s="106" t="s">
        <v>204</v>
      </c>
      <c r="C27" s="34"/>
      <c r="D27" s="106" t="s">
        <v>205</v>
      </c>
      <c r="E27" s="34"/>
      <c r="F27" s="106" t="s">
        <v>206</v>
      </c>
      <c r="G27" s="33"/>
      <c r="H27" s="34"/>
    </row>
    <row r="28" ht="15.75" customHeight="1">
      <c r="A28" s="78">
        <v>1.0</v>
      </c>
      <c r="B28" s="77" t="str">
        <f>IFERROR(__xludf.DUMMYFUNCTION("FILTER('Diseño'!D:D,'Diseño'!H:H=$C$5)"),"Unidad 6 – Administración y representación de Algoritmos")</f>
        <v>Unidad 6 – Administración y representación de Algoritmos</v>
      </c>
      <c r="C28" s="34"/>
      <c r="D28" s="77" t="str">
        <f>IFERROR(__xludf.DUMMYFUNCTION("FILTER('Diseño'!E:E,'Diseño'!H:H=$C$5)"),"Pseudocódigo")</f>
        <v>Pseudocódigo</v>
      </c>
      <c r="E28" s="34"/>
      <c r="F28" s="77" t="str">
        <f>IFERROR(__xludf.DUMMYFUNCTION("FILTER('Diseño'!F:F,'Diseño'!H:H=$C$5)"),"Características, estructura y componentes")</f>
        <v>Características, estructura y componentes</v>
      </c>
      <c r="G28" s="33"/>
      <c r="H28" s="34"/>
    </row>
    <row r="29" ht="15.75" customHeight="1">
      <c r="A29" s="78">
        <v>2.0</v>
      </c>
      <c r="B29" s="77" t="str">
        <f>IFERROR(__xludf.DUMMYFUNCTION("""COMPUTED_VALUE"""),"Unidad 6 – Administración y representación de Algoritmos")</f>
        <v>Unidad 6 – Administración y representación de Algoritmos</v>
      </c>
      <c r="C29" s="34"/>
      <c r="D29" s="77" t="str">
        <f>IFERROR(__xludf.DUMMYFUNCTION("""COMPUTED_VALUE"""),"Pseudocódigo")</f>
        <v>Pseudocódigo</v>
      </c>
      <c r="E29" s="34"/>
      <c r="F29" s="77" t="str">
        <f>IFERROR(__xludf.DUMMYFUNCTION("""COMPUTED_VALUE"""),"Ventajas y desventajas")</f>
        <v>Ventajas y desventajas</v>
      </c>
      <c r="G29" s="33"/>
      <c r="H29" s="34"/>
    </row>
    <row r="30" ht="15.75" customHeight="1">
      <c r="A30" s="78">
        <v>3.0</v>
      </c>
      <c r="B30" s="77" t="str">
        <f>IFERROR(__xludf.DUMMYFUNCTION("""COMPUTED_VALUE"""),"Unidad 6 – Administración y representación de Algoritmos")</f>
        <v>Unidad 6 – Administración y representación de Algoritmos</v>
      </c>
      <c r="C30" s="34"/>
      <c r="D30" s="77" t="str">
        <f>IFERROR(__xludf.DUMMYFUNCTION("""COMPUTED_VALUE"""),"Pseudocódigo")</f>
        <v>Pseudocódigo</v>
      </c>
      <c r="E30" s="34"/>
      <c r="F30" s="77" t="str">
        <f>IFERROR(__xludf.DUMMYFUNCTION("""COMPUTED_VALUE"""),"Software de pseudocódigo")</f>
        <v>Software de pseudocódigo</v>
      </c>
      <c r="G30" s="33"/>
      <c r="H30" s="34"/>
    </row>
    <row r="31" ht="15.75" customHeight="1">
      <c r="A31" s="78">
        <v>4.0</v>
      </c>
      <c r="B31" s="77"/>
      <c r="C31" s="34"/>
      <c r="D31" s="77"/>
      <c r="E31" s="34"/>
      <c r="F31" s="77"/>
      <c r="G31" s="33"/>
      <c r="H31" s="34"/>
    </row>
    <row r="32" ht="15.75" customHeight="1">
      <c r="A32" s="78">
        <v>5.0</v>
      </c>
      <c r="B32" s="77"/>
      <c r="C32" s="34"/>
      <c r="D32" s="77"/>
      <c r="E32" s="34"/>
      <c r="F32" s="77"/>
      <c r="G32" s="33"/>
      <c r="H32" s="34"/>
    </row>
    <row r="33" ht="15.75" customHeight="1">
      <c r="A33" s="78">
        <v>6.0</v>
      </c>
      <c r="B33" s="77"/>
      <c r="C33" s="34"/>
      <c r="D33" s="77"/>
      <c r="E33" s="34"/>
      <c r="F33" s="77"/>
      <c r="G33" s="33"/>
      <c r="H33" s="34"/>
    </row>
    <row r="34" ht="15.75" customHeight="1">
      <c r="A34" s="78">
        <v>7.0</v>
      </c>
      <c r="B34" s="77"/>
      <c r="C34" s="34"/>
      <c r="D34" s="77"/>
      <c r="E34" s="34"/>
      <c r="F34" s="77"/>
      <c r="G34" s="33"/>
      <c r="H34" s="34"/>
    </row>
    <row r="35" ht="15.75" customHeight="1"/>
    <row r="36" ht="15.75" customHeight="1">
      <c r="A36" s="104" t="s">
        <v>207</v>
      </c>
    </row>
    <row r="37" ht="15.75" customHeight="1">
      <c r="A37" s="6"/>
      <c r="B37" s="6"/>
      <c r="C37" s="6"/>
      <c r="D37" s="6"/>
      <c r="E37" s="6"/>
      <c r="F37" s="6"/>
      <c r="G37" s="6"/>
      <c r="H37" s="6"/>
    </row>
    <row r="38">
      <c r="A38" s="105" t="s">
        <v>208</v>
      </c>
      <c r="B38" s="105" t="s">
        <v>29</v>
      </c>
      <c r="C38" s="107" t="s">
        <v>209</v>
      </c>
      <c r="D38" s="108" t="s">
        <v>210</v>
      </c>
      <c r="E38" s="33"/>
      <c r="F38" s="33"/>
      <c r="G38" s="33"/>
      <c r="H38" s="34"/>
      <c r="I38" s="109" t="s">
        <v>18</v>
      </c>
    </row>
    <row r="39" ht="15.75" customHeight="1">
      <c r="A39" s="78" t="s">
        <v>211</v>
      </c>
      <c r="B39" s="78" t="s">
        <v>212</v>
      </c>
      <c r="C39" s="78">
        <v>30.0</v>
      </c>
      <c r="D39" s="88">
        <v>25.0</v>
      </c>
      <c r="E39" s="33"/>
      <c r="F39" s="33"/>
      <c r="G39" s="33"/>
      <c r="H39" s="34"/>
      <c r="I39" s="78" t="str">
        <f t="shared" ref="I39:I42" si="1">IF(D39&lt;=C39,"Correcto", "Corregir")</f>
        <v>Correcto</v>
      </c>
    </row>
    <row r="40" ht="15.75" customHeight="1">
      <c r="A40" s="78" t="s">
        <v>213</v>
      </c>
      <c r="B40" s="78" t="s">
        <v>212</v>
      </c>
      <c r="C40" s="78">
        <v>6.0</v>
      </c>
      <c r="D40" s="88">
        <v>5.0</v>
      </c>
      <c r="E40" s="33"/>
      <c r="F40" s="33"/>
      <c r="G40" s="33"/>
      <c r="H40" s="34"/>
      <c r="I40" s="78" t="str">
        <f t="shared" si="1"/>
        <v>Correcto</v>
      </c>
    </row>
    <row r="41" ht="15.75" customHeight="1">
      <c r="A41" s="78" t="s">
        <v>214</v>
      </c>
      <c r="B41" s="78" t="s">
        <v>215</v>
      </c>
      <c r="C41" s="78">
        <v>10.0</v>
      </c>
      <c r="D41" s="88">
        <v>5.0</v>
      </c>
      <c r="E41" s="33"/>
      <c r="F41" s="33"/>
      <c r="G41" s="33"/>
      <c r="H41" s="34"/>
      <c r="I41" s="78" t="str">
        <f t="shared" si="1"/>
        <v>Correcto</v>
      </c>
    </row>
    <row r="42" ht="15.75" customHeight="1">
      <c r="A42" s="78" t="s">
        <v>216</v>
      </c>
      <c r="B42" s="78" t="s">
        <v>212</v>
      </c>
      <c r="C42" s="78">
        <v>30.0</v>
      </c>
      <c r="D42" s="88">
        <v>25.0</v>
      </c>
      <c r="E42" s="33"/>
      <c r="F42" s="33"/>
      <c r="G42" s="33"/>
      <c r="H42" s="34"/>
      <c r="I42" s="78" t="str">
        <f t="shared" si="1"/>
        <v>Correcto</v>
      </c>
    </row>
    <row r="43" ht="15.75" customHeight="1"/>
    <row r="44" ht="15.75" customHeight="1">
      <c r="A44" s="99" t="s">
        <v>217</v>
      </c>
      <c r="G44" s="91" t="s">
        <v>157</v>
      </c>
      <c r="H44" s="103">
        <f>B50</f>
        <v>20</v>
      </c>
    </row>
    <row r="45" ht="15.75" customHeight="1">
      <c r="G45" s="83" t="s">
        <v>218</v>
      </c>
    </row>
    <row r="46" ht="15.75" customHeight="1">
      <c r="A46" s="83" t="s">
        <v>219</v>
      </c>
    </row>
    <row r="47">
      <c r="A47" s="86" t="s">
        <v>220</v>
      </c>
      <c r="B47" s="88" t="s">
        <v>148</v>
      </c>
      <c r="C47" s="33"/>
      <c r="D47" s="33"/>
      <c r="E47" s="33"/>
      <c r="F47" s="33"/>
      <c r="G47" s="33"/>
      <c r="H47" s="34"/>
    </row>
    <row r="48" ht="15.75" customHeight="1">
      <c r="A48" s="86" t="s">
        <v>8</v>
      </c>
      <c r="B48" s="88" t="s">
        <v>234</v>
      </c>
      <c r="C48" s="33"/>
      <c r="D48" s="33"/>
      <c r="E48" s="33"/>
      <c r="F48" s="33"/>
      <c r="G48" s="33"/>
      <c r="H48" s="34"/>
    </row>
    <row r="49" ht="15.75" customHeight="1">
      <c r="A49" s="86" t="s">
        <v>190</v>
      </c>
      <c r="B49" s="110">
        <v>2.0</v>
      </c>
      <c r="C49" s="33"/>
      <c r="D49" s="33"/>
      <c r="E49" s="33"/>
      <c r="F49" s="33"/>
      <c r="G49" s="33"/>
      <c r="H49" s="34"/>
    </row>
    <row r="50" ht="15.75" customHeight="1">
      <c r="A50" s="86" t="s">
        <v>157</v>
      </c>
      <c r="B50" s="88">
        <v>20.0</v>
      </c>
      <c r="C50" s="33"/>
      <c r="D50" s="33"/>
      <c r="E50" s="33"/>
      <c r="F50" s="33"/>
      <c r="G50" s="33"/>
      <c r="H50" s="34"/>
    </row>
    <row r="51" ht="15.75" customHeight="1">
      <c r="A51" s="111" t="s">
        <v>222</v>
      </c>
      <c r="B51" s="6"/>
      <c r="C51" s="6"/>
      <c r="D51" s="6"/>
      <c r="E51" s="6"/>
      <c r="F51" s="6"/>
      <c r="G51" s="6"/>
      <c r="H51" s="6"/>
    </row>
    <row r="52" ht="15.75" customHeight="1">
      <c r="A52" s="101" t="s">
        <v>223</v>
      </c>
      <c r="B52" s="33"/>
      <c r="C52" s="33"/>
      <c r="D52" s="33"/>
      <c r="E52" s="33"/>
      <c r="F52" s="33"/>
      <c r="G52" s="33"/>
      <c r="H52" s="34"/>
    </row>
    <row r="53" ht="15.75" customHeight="1">
      <c r="A53" s="112"/>
      <c r="B53" s="59"/>
      <c r="C53" s="59"/>
      <c r="D53" s="59"/>
      <c r="E53" s="59"/>
      <c r="F53" s="59"/>
      <c r="G53" s="59"/>
      <c r="H53" s="60"/>
    </row>
    <row r="54" ht="15.75" customHeight="1">
      <c r="A54" s="113"/>
      <c r="H54" s="114"/>
    </row>
    <row r="55" ht="15.75" customHeight="1">
      <c r="A55" s="61"/>
      <c r="B55" s="62"/>
      <c r="C55" s="62"/>
      <c r="D55" s="62"/>
      <c r="E55" s="62"/>
      <c r="F55" s="62"/>
      <c r="G55" s="62"/>
      <c r="H55" s="63"/>
    </row>
    <row r="56" ht="15.75" customHeight="1"/>
    <row r="57" ht="15.75" customHeight="1">
      <c r="A57" s="83" t="s">
        <v>224</v>
      </c>
    </row>
    <row r="58">
      <c r="A58" s="86" t="s">
        <v>220</v>
      </c>
      <c r="B58" s="77"/>
      <c r="C58" s="33"/>
      <c r="D58" s="33"/>
      <c r="E58" s="33"/>
      <c r="F58" s="33"/>
      <c r="G58" s="33"/>
      <c r="H58" s="34"/>
    </row>
    <row r="59" ht="15.75" customHeight="1">
      <c r="A59" s="86" t="s">
        <v>8</v>
      </c>
      <c r="B59" s="77"/>
      <c r="C59" s="33"/>
      <c r="D59" s="33"/>
      <c r="E59" s="33"/>
      <c r="F59" s="33"/>
      <c r="G59" s="33"/>
      <c r="H59" s="34"/>
    </row>
    <row r="60" ht="15.75" customHeight="1">
      <c r="A60" s="86" t="s">
        <v>190</v>
      </c>
      <c r="B60" s="115"/>
      <c r="C60" s="33"/>
      <c r="D60" s="33"/>
      <c r="E60" s="33"/>
      <c r="F60" s="33"/>
      <c r="G60" s="33"/>
      <c r="H60" s="34"/>
    </row>
    <row r="61" ht="15.75" customHeight="1">
      <c r="A61" s="86" t="s">
        <v>157</v>
      </c>
      <c r="B61" s="115"/>
      <c r="C61" s="33"/>
      <c r="D61" s="33"/>
      <c r="E61" s="33"/>
      <c r="F61" s="33"/>
      <c r="G61" s="33"/>
      <c r="H61" s="34"/>
    </row>
    <row r="62" ht="15.75" customHeight="1">
      <c r="A62" s="116" t="s">
        <v>225</v>
      </c>
      <c r="B62" s="6"/>
      <c r="C62" s="6"/>
      <c r="D62" s="6"/>
      <c r="E62" s="6"/>
      <c r="F62" s="6"/>
      <c r="G62" s="6"/>
      <c r="H62" s="6"/>
    </row>
    <row r="63" ht="15.75" customHeight="1">
      <c r="A63" s="101" t="s">
        <v>223</v>
      </c>
      <c r="B63" s="33"/>
      <c r="C63" s="33"/>
      <c r="D63" s="33"/>
      <c r="E63" s="33"/>
      <c r="F63" s="33"/>
      <c r="G63" s="33"/>
      <c r="H63" s="34"/>
    </row>
    <row r="64" ht="15.75" customHeight="1">
      <c r="A64" s="112"/>
      <c r="B64" s="59"/>
      <c r="C64" s="59"/>
      <c r="D64" s="59"/>
      <c r="E64" s="59"/>
      <c r="F64" s="59"/>
      <c r="G64" s="59"/>
      <c r="H64" s="60"/>
    </row>
    <row r="65" ht="15.75" customHeight="1">
      <c r="A65" s="113"/>
      <c r="H65" s="114"/>
    </row>
    <row r="66" ht="15.75" customHeight="1">
      <c r="A66" s="61"/>
      <c r="B66" s="62"/>
      <c r="C66" s="62"/>
      <c r="D66" s="62"/>
      <c r="E66" s="62"/>
      <c r="F66" s="62"/>
      <c r="G66" s="62"/>
      <c r="H66" s="63"/>
    </row>
    <row r="67" ht="15.75" customHeight="1"/>
    <row r="68" ht="15.75" customHeight="1">
      <c r="A68" s="99" t="s">
        <v>226</v>
      </c>
      <c r="G68" s="91" t="s">
        <v>157</v>
      </c>
      <c r="H68" s="103">
        <f>B70</f>
        <v>15</v>
      </c>
    </row>
    <row r="69" ht="15.75" customHeight="1">
      <c r="G69" s="83" t="s">
        <v>227</v>
      </c>
    </row>
    <row r="70" ht="15.75" customHeight="1">
      <c r="A70" s="86" t="s">
        <v>157</v>
      </c>
      <c r="B70" s="110">
        <v>15.0</v>
      </c>
      <c r="C70" s="33"/>
      <c r="D70" s="33"/>
      <c r="E70" s="33"/>
      <c r="F70" s="33"/>
      <c r="G70" s="33"/>
      <c r="H70" s="34"/>
    </row>
    <row r="71" ht="15.75" customHeight="1">
      <c r="A71" s="108" t="s">
        <v>228</v>
      </c>
      <c r="B71" s="33"/>
      <c r="C71" s="33"/>
      <c r="D71" s="33"/>
      <c r="E71" s="33"/>
      <c r="F71" s="33"/>
      <c r="G71" s="33"/>
      <c r="H71" s="34"/>
    </row>
    <row r="72" ht="15.75" customHeight="1">
      <c r="A72" s="102" t="s">
        <v>265</v>
      </c>
      <c r="B72" s="59"/>
      <c r="C72" s="59"/>
      <c r="D72" s="59"/>
      <c r="E72" s="59"/>
      <c r="F72" s="59"/>
      <c r="G72" s="59"/>
      <c r="H72" s="60"/>
    </row>
    <row r="73" ht="15.75" customHeight="1">
      <c r="A73" s="61"/>
      <c r="B73" s="62"/>
      <c r="C73" s="62"/>
      <c r="D73" s="62"/>
      <c r="E73" s="62"/>
      <c r="F73" s="62"/>
      <c r="G73" s="62"/>
      <c r="H73" s="63"/>
    </row>
    <row r="74" ht="15.75" customHeight="1">
      <c r="A74" s="83" t="s">
        <v>230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17" t="s">
        <v>14</v>
      </c>
    </row>
    <row r="3" ht="15.75" customHeight="1"/>
    <row r="4" ht="15.75" customHeight="1">
      <c r="B4" s="76" t="s">
        <v>1</v>
      </c>
      <c r="C4" s="77" t="str">
        <f>'Diseño'!C4</f>
        <v>768 - Algoritmos</v>
      </c>
      <c r="D4" s="33"/>
      <c r="E4" s="33"/>
      <c r="F4" s="33"/>
      <c r="G4" s="34"/>
    </row>
    <row r="5" ht="15.75" customHeight="1">
      <c r="B5" s="97" t="s">
        <v>154</v>
      </c>
      <c r="C5" s="77">
        <f>H9+H26+H43</f>
        <v>70</v>
      </c>
      <c r="D5" s="33"/>
      <c r="E5" s="33"/>
      <c r="F5" s="33"/>
      <c r="G5" s="34"/>
    </row>
    <row r="6" ht="15.75" customHeight="1">
      <c r="B6" s="97" t="s">
        <v>190</v>
      </c>
      <c r="C6" s="77">
        <f>F9+F26+F43</f>
        <v>60</v>
      </c>
      <c r="D6" s="33"/>
      <c r="E6" s="33"/>
      <c r="F6" s="33"/>
      <c r="G6" s="34"/>
    </row>
    <row r="7" ht="15.75" customHeight="1">
      <c r="B7" s="66" t="s">
        <v>266</v>
      </c>
    </row>
    <row r="8" ht="15.75" customHeight="1"/>
    <row r="9" ht="15.75" customHeight="1">
      <c r="A9" s="99" t="s">
        <v>267</v>
      </c>
      <c r="E9" s="91" t="s">
        <v>190</v>
      </c>
      <c r="F9" s="100">
        <v>25.0</v>
      </c>
      <c r="G9" s="91" t="s">
        <v>268</v>
      </c>
      <c r="H9" s="100">
        <v>30.0</v>
      </c>
    </row>
    <row r="10" ht="15.75" customHeight="1">
      <c r="A10" s="66" t="s">
        <v>212</v>
      </c>
    </row>
    <row r="11" ht="15.75" customHeight="1">
      <c r="A11" s="105" t="s">
        <v>202</v>
      </c>
      <c r="B11" s="88" t="s">
        <v>88</v>
      </c>
      <c r="C11" s="33"/>
      <c r="D11" s="33"/>
      <c r="E11" s="33"/>
      <c r="F11" s="33"/>
      <c r="G11" s="33"/>
      <c r="H11" s="34"/>
    </row>
    <row r="12" ht="15.75" customHeight="1">
      <c r="A12" s="105" t="s">
        <v>202</v>
      </c>
      <c r="B12" s="88" t="s">
        <v>141</v>
      </c>
      <c r="C12" s="33"/>
      <c r="D12" s="33"/>
      <c r="E12" s="33"/>
      <c r="F12" s="33"/>
      <c r="G12" s="33"/>
      <c r="H12" s="34"/>
    </row>
    <row r="13" ht="15.75" customHeight="1">
      <c r="A13" s="105" t="s">
        <v>202</v>
      </c>
      <c r="B13" s="88" t="s">
        <v>127</v>
      </c>
      <c r="C13" s="33"/>
      <c r="D13" s="33"/>
      <c r="E13" s="33"/>
      <c r="F13" s="33"/>
      <c r="G13" s="33"/>
      <c r="H13" s="34"/>
    </row>
    <row r="14" ht="15.75" customHeight="1">
      <c r="A14" s="105" t="s">
        <v>269</v>
      </c>
      <c r="B14" s="88" t="s">
        <v>270</v>
      </c>
      <c r="C14" s="33"/>
      <c r="D14" s="33"/>
      <c r="E14" s="33"/>
      <c r="F14" s="33"/>
      <c r="G14" s="33"/>
      <c r="H14" s="34"/>
    </row>
    <row r="15" ht="15.75" customHeight="1">
      <c r="A15" s="101" t="s">
        <v>271</v>
      </c>
      <c r="B15" s="33"/>
      <c r="C15" s="33"/>
      <c r="D15" s="33"/>
      <c r="E15" s="33"/>
      <c r="F15" s="33"/>
      <c r="G15" s="33"/>
      <c r="H15" s="34"/>
    </row>
    <row r="16" ht="15.75" customHeight="1">
      <c r="A16" s="102" t="s">
        <v>272</v>
      </c>
      <c r="B16" s="59"/>
      <c r="C16" s="59"/>
      <c r="D16" s="59"/>
      <c r="E16" s="59"/>
      <c r="F16" s="59"/>
      <c r="G16" s="59"/>
      <c r="H16" s="60"/>
    </row>
    <row r="17" ht="15.75" customHeight="1">
      <c r="A17" s="113"/>
      <c r="H17" s="114"/>
    </row>
    <row r="18" ht="15.75" customHeight="1">
      <c r="A18" s="61"/>
      <c r="B18" s="62"/>
      <c r="C18" s="62"/>
      <c r="D18" s="62"/>
      <c r="E18" s="62"/>
      <c r="F18" s="62"/>
      <c r="G18" s="62"/>
      <c r="H18" s="63"/>
    </row>
    <row r="19" ht="15.75" customHeight="1">
      <c r="A19" s="101" t="s">
        <v>273</v>
      </c>
      <c r="B19" s="33"/>
      <c r="C19" s="33"/>
      <c r="D19" s="33"/>
      <c r="E19" s="33"/>
      <c r="F19" s="33"/>
      <c r="G19" s="33"/>
      <c r="H19" s="34"/>
    </row>
    <row r="20" ht="15.75" customHeight="1">
      <c r="A20" s="102" t="s">
        <v>274</v>
      </c>
      <c r="B20" s="59"/>
      <c r="C20" s="59"/>
      <c r="D20" s="59"/>
      <c r="E20" s="59"/>
      <c r="F20" s="59"/>
      <c r="G20" s="59"/>
      <c r="H20" s="60"/>
    </row>
    <row r="21" ht="15.75" customHeight="1">
      <c r="A21" s="113"/>
      <c r="H21" s="114"/>
    </row>
    <row r="22" ht="15.75" customHeight="1">
      <c r="A22" s="113"/>
      <c r="H22" s="114"/>
    </row>
    <row r="23" ht="15.75" customHeight="1">
      <c r="A23" s="61"/>
      <c r="B23" s="62"/>
      <c r="C23" s="62"/>
      <c r="D23" s="62"/>
      <c r="E23" s="62"/>
      <c r="F23" s="62"/>
      <c r="G23" s="62"/>
      <c r="H23" s="63"/>
    </row>
    <row r="24" ht="15.75" customHeight="1"/>
    <row r="25" ht="15.75" customHeight="1"/>
    <row r="26" ht="15.75" customHeight="1">
      <c r="A26" s="99" t="s">
        <v>275</v>
      </c>
      <c r="E26" s="91" t="s">
        <v>190</v>
      </c>
      <c r="F26" s="100">
        <v>35.0</v>
      </c>
      <c r="G26" s="91" t="s">
        <v>268</v>
      </c>
      <c r="H26" s="100">
        <v>40.0</v>
      </c>
    </row>
    <row r="27" ht="15.75" customHeight="1">
      <c r="A27" s="66" t="s">
        <v>212</v>
      </c>
    </row>
    <row r="28" ht="15.75" customHeight="1">
      <c r="A28" s="105" t="s">
        <v>202</v>
      </c>
      <c r="B28" s="88" t="s">
        <v>116</v>
      </c>
      <c r="C28" s="33"/>
      <c r="D28" s="33"/>
      <c r="E28" s="33"/>
      <c r="F28" s="33"/>
      <c r="G28" s="33"/>
      <c r="H28" s="34"/>
    </row>
    <row r="29" ht="15.75" customHeight="1">
      <c r="A29" s="105" t="s">
        <v>202</v>
      </c>
      <c r="B29" s="88" t="s">
        <v>127</v>
      </c>
      <c r="C29" s="33"/>
      <c r="D29" s="33"/>
      <c r="E29" s="33"/>
      <c r="F29" s="33"/>
      <c r="G29" s="33"/>
      <c r="H29" s="34"/>
    </row>
    <row r="30" ht="15.75" customHeight="1">
      <c r="A30" s="105" t="s">
        <v>202</v>
      </c>
      <c r="B30" s="88" t="s">
        <v>148</v>
      </c>
      <c r="C30" s="33"/>
      <c r="D30" s="33"/>
      <c r="E30" s="33"/>
      <c r="F30" s="33"/>
      <c r="G30" s="33"/>
      <c r="H30" s="34"/>
    </row>
    <row r="31" ht="15.75" customHeight="1">
      <c r="A31" s="105" t="s">
        <v>269</v>
      </c>
      <c r="B31" s="88" t="s">
        <v>276</v>
      </c>
      <c r="C31" s="33"/>
      <c r="D31" s="33"/>
      <c r="E31" s="33"/>
      <c r="F31" s="33"/>
      <c r="G31" s="33"/>
      <c r="H31" s="34"/>
    </row>
    <row r="32" ht="15.75" customHeight="1">
      <c r="A32" s="101" t="s">
        <v>271</v>
      </c>
      <c r="B32" s="33"/>
      <c r="C32" s="33"/>
      <c r="D32" s="33"/>
      <c r="E32" s="33"/>
      <c r="F32" s="33"/>
      <c r="G32" s="33"/>
      <c r="H32" s="34"/>
    </row>
    <row r="33" ht="15.75" customHeight="1">
      <c r="A33" s="102" t="s">
        <v>277</v>
      </c>
      <c r="B33" s="59"/>
      <c r="C33" s="59"/>
      <c r="D33" s="59"/>
      <c r="E33" s="59"/>
      <c r="F33" s="59"/>
      <c r="G33" s="59"/>
      <c r="H33" s="60"/>
    </row>
    <row r="34" ht="15.75" customHeight="1">
      <c r="A34" s="113"/>
      <c r="H34" s="114"/>
    </row>
    <row r="35" ht="15.75" customHeight="1">
      <c r="A35" s="61"/>
      <c r="B35" s="62"/>
      <c r="C35" s="62"/>
      <c r="D35" s="62"/>
      <c r="E35" s="62"/>
      <c r="F35" s="62"/>
      <c r="G35" s="62"/>
      <c r="H35" s="63"/>
    </row>
    <row r="36" ht="15.75" customHeight="1">
      <c r="A36" s="101" t="s">
        <v>273</v>
      </c>
      <c r="B36" s="33"/>
      <c r="C36" s="33"/>
      <c r="D36" s="33"/>
      <c r="E36" s="33"/>
      <c r="F36" s="33"/>
      <c r="G36" s="33"/>
      <c r="H36" s="34"/>
    </row>
    <row r="37" ht="15.75" customHeight="1">
      <c r="A37" s="102" t="s">
        <v>278</v>
      </c>
      <c r="B37" s="59"/>
      <c r="C37" s="59"/>
      <c r="D37" s="59"/>
      <c r="E37" s="59"/>
      <c r="F37" s="59"/>
      <c r="G37" s="59"/>
      <c r="H37" s="60"/>
    </row>
    <row r="38" ht="15.75" customHeight="1">
      <c r="A38" s="113"/>
      <c r="H38" s="114"/>
    </row>
    <row r="39" ht="15.75" customHeight="1">
      <c r="A39" s="113"/>
      <c r="H39" s="114"/>
    </row>
    <row r="40" ht="15.75" customHeight="1">
      <c r="A40" s="61"/>
      <c r="B40" s="62"/>
      <c r="C40" s="62"/>
      <c r="D40" s="62"/>
      <c r="E40" s="62"/>
      <c r="F40" s="62"/>
      <c r="G40" s="62"/>
      <c r="H40" s="63"/>
    </row>
    <row r="41" ht="15.75" customHeight="1"/>
    <row r="42" ht="15.75" customHeight="1"/>
    <row r="43" ht="15.75" customHeight="1">
      <c r="A43" s="99" t="s">
        <v>279</v>
      </c>
      <c r="E43" s="91" t="s">
        <v>190</v>
      </c>
      <c r="F43" s="103"/>
      <c r="G43" s="91" t="s">
        <v>268</v>
      </c>
      <c r="H43" s="103"/>
    </row>
    <row r="44" ht="15.75" customHeight="1">
      <c r="A44" s="111" t="s">
        <v>280</v>
      </c>
    </row>
    <row r="45" ht="15.75" customHeight="1">
      <c r="A45" s="105" t="s">
        <v>202</v>
      </c>
      <c r="B45" s="77"/>
      <c r="C45" s="33"/>
      <c r="D45" s="33"/>
      <c r="E45" s="33"/>
      <c r="F45" s="33"/>
      <c r="G45" s="33"/>
      <c r="H45" s="34"/>
    </row>
    <row r="46" ht="15.75" customHeight="1">
      <c r="A46" s="105" t="s">
        <v>202</v>
      </c>
      <c r="B46" s="77"/>
      <c r="C46" s="33"/>
      <c r="D46" s="33"/>
      <c r="E46" s="33"/>
      <c r="F46" s="33"/>
      <c r="G46" s="33"/>
      <c r="H46" s="34"/>
    </row>
    <row r="47" ht="15.75" customHeight="1">
      <c r="A47" s="105" t="s">
        <v>202</v>
      </c>
      <c r="B47" s="77"/>
      <c r="C47" s="33"/>
      <c r="D47" s="33"/>
      <c r="E47" s="33"/>
      <c r="F47" s="33"/>
      <c r="G47" s="33"/>
      <c r="H47" s="34"/>
    </row>
    <row r="48" ht="15.75" customHeight="1">
      <c r="A48" s="105" t="s">
        <v>269</v>
      </c>
      <c r="B48" s="77"/>
      <c r="C48" s="33"/>
      <c r="D48" s="33"/>
      <c r="E48" s="33"/>
      <c r="F48" s="33"/>
      <c r="G48" s="33"/>
      <c r="H48" s="34"/>
    </row>
    <row r="49" ht="15.75" customHeight="1">
      <c r="A49" s="101" t="s">
        <v>271</v>
      </c>
      <c r="B49" s="33"/>
      <c r="C49" s="33"/>
      <c r="D49" s="33"/>
      <c r="E49" s="33"/>
      <c r="F49" s="33"/>
      <c r="G49" s="33"/>
      <c r="H49" s="34"/>
    </row>
    <row r="50" ht="15.75" customHeight="1">
      <c r="A50" s="112"/>
      <c r="B50" s="59"/>
      <c r="C50" s="59"/>
      <c r="D50" s="59"/>
      <c r="E50" s="59"/>
      <c r="F50" s="59"/>
      <c r="G50" s="59"/>
      <c r="H50" s="60"/>
    </row>
    <row r="51" ht="15.75" customHeight="1">
      <c r="A51" s="113"/>
      <c r="H51" s="114"/>
    </row>
    <row r="52" ht="15.75" customHeight="1">
      <c r="A52" s="61"/>
      <c r="B52" s="62"/>
      <c r="C52" s="62"/>
      <c r="D52" s="62"/>
      <c r="E52" s="62"/>
      <c r="F52" s="62"/>
      <c r="G52" s="62"/>
      <c r="H52" s="63"/>
    </row>
    <row r="53" ht="15.75" customHeight="1">
      <c r="A53" s="101" t="s">
        <v>273</v>
      </c>
      <c r="B53" s="33"/>
      <c r="C53" s="33"/>
      <c r="D53" s="33"/>
      <c r="E53" s="33"/>
      <c r="F53" s="33"/>
      <c r="G53" s="33"/>
      <c r="H53" s="34"/>
    </row>
    <row r="54" ht="15.75" customHeight="1">
      <c r="A54" s="112"/>
      <c r="B54" s="59"/>
      <c r="C54" s="59"/>
      <c r="D54" s="59"/>
      <c r="E54" s="59"/>
      <c r="F54" s="59"/>
      <c r="G54" s="59"/>
      <c r="H54" s="60"/>
    </row>
    <row r="55" ht="15.75" customHeight="1">
      <c r="A55" s="113"/>
      <c r="H55" s="114"/>
    </row>
    <row r="56" ht="15.75" customHeight="1">
      <c r="A56" s="113"/>
      <c r="H56" s="114"/>
    </row>
    <row r="57" ht="15.75" customHeight="1">
      <c r="A57" s="61"/>
      <c r="B57" s="62"/>
      <c r="C57" s="62"/>
      <c r="D57" s="62"/>
      <c r="E57" s="62"/>
      <c r="F57" s="62"/>
      <c r="G57" s="62"/>
      <c r="H57" s="63"/>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11:B13 B28:B30 B45:B47">
      <formula1>Metadata!$B$2:$B$40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17" t="s">
        <v>281</v>
      </c>
    </row>
    <row r="3" ht="15.75" customHeight="1"/>
    <row r="4" ht="15.75" customHeight="1">
      <c r="B4" s="76" t="s">
        <v>1</v>
      </c>
      <c r="C4" s="77" t="str">
        <f>'Diseño'!C4</f>
        <v>768 - Algoritmos</v>
      </c>
      <c r="D4" s="33"/>
      <c r="E4" s="33"/>
      <c r="F4" s="33"/>
      <c r="G4" s="34"/>
    </row>
    <row r="5" ht="15.75" customHeight="1">
      <c r="B5" s="97" t="s">
        <v>154</v>
      </c>
      <c r="C5" s="77">
        <f>H9+H26+H43+H60+H77+H94+H111</f>
        <v>25</v>
      </c>
      <c r="D5" s="33"/>
      <c r="E5" s="33"/>
      <c r="F5" s="33"/>
      <c r="G5" s="34"/>
    </row>
    <row r="6" ht="15.75" customHeight="1">
      <c r="B6" s="97" t="s">
        <v>190</v>
      </c>
      <c r="C6" s="77">
        <f>F9+F26+F43+F60+F77+F94+F111</f>
        <v>20</v>
      </c>
      <c r="D6" s="33"/>
      <c r="E6" s="33"/>
      <c r="F6" s="33"/>
      <c r="G6" s="34"/>
    </row>
    <row r="7" ht="15.75" customHeight="1">
      <c r="B7" s="66" t="s">
        <v>282</v>
      </c>
    </row>
    <row r="8" ht="15.75" customHeight="1"/>
    <row r="9" ht="15.75" customHeight="1">
      <c r="A9" s="99" t="s">
        <v>283</v>
      </c>
      <c r="E9" s="91" t="s">
        <v>190</v>
      </c>
      <c r="F9" s="100">
        <v>5.0</v>
      </c>
      <c r="G9" s="91" t="s">
        <v>268</v>
      </c>
      <c r="H9" s="100">
        <v>10.0</v>
      </c>
    </row>
    <row r="10" ht="15.75" customHeight="1">
      <c r="A10" s="66" t="s">
        <v>284</v>
      </c>
    </row>
    <row r="11" ht="15.75" customHeight="1">
      <c r="A11" s="105" t="s">
        <v>202</v>
      </c>
      <c r="B11" s="88" t="s">
        <v>80</v>
      </c>
      <c r="C11" s="33"/>
      <c r="D11" s="33"/>
      <c r="E11" s="33"/>
      <c r="F11" s="33"/>
      <c r="G11" s="33"/>
      <c r="H11" s="34"/>
    </row>
    <row r="12" ht="15.75" customHeight="1">
      <c r="A12" s="105" t="s">
        <v>202</v>
      </c>
      <c r="B12" s="88" t="s">
        <v>88</v>
      </c>
      <c r="C12" s="33"/>
      <c r="D12" s="33"/>
      <c r="E12" s="33"/>
      <c r="F12" s="33"/>
      <c r="G12" s="33"/>
      <c r="H12" s="34"/>
    </row>
    <row r="13" ht="15.75" customHeight="1">
      <c r="A13" s="105" t="s">
        <v>202</v>
      </c>
      <c r="B13" s="88" t="s">
        <v>108</v>
      </c>
      <c r="C13" s="33"/>
      <c r="D13" s="33"/>
      <c r="E13" s="33"/>
      <c r="F13" s="33"/>
      <c r="G13" s="33"/>
      <c r="H13" s="34"/>
    </row>
    <row r="14" ht="15.75" customHeight="1">
      <c r="A14" s="105" t="s">
        <v>269</v>
      </c>
      <c r="B14" s="88" t="s">
        <v>285</v>
      </c>
      <c r="C14" s="33"/>
      <c r="D14" s="33"/>
      <c r="E14" s="33"/>
      <c r="F14" s="33"/>
      <c r="G14" s="33"/>
      <c r="H14" s="34"/>
    </row>
    <row r="15" ht="15.75" customHeight="1">
      <c r="A15" s="101" t="s">
        <v>271</v>
      </c>
      <c r="B15" s="33"/>
      <c r="C15" s="33"/>
      <c r="D15" s="33"/>
      <c r="E15" s="33"/>
      <c r="F15" s="33"/>
      <c r="G15" s="33"/>
      <c r="H15" s="34"/>
    </row>
    <row r="16" ht="15.75" customHeight="1">
      <c r="A16" s="102" t="s">
        <v>286</v>
      </c>
      <c r="B16" s="59"/>
      <c r="C16" s="59"/>
      <c r="D16" s="59"/>
      <c r="E16" s="59"/>
      <c r="F16" s="59"/>
      <c r="G16" s="59"/>
      <c r="H16" s="60"/>
    </row>
    <row r="17" ht="15.75" customHeight="1">
      <c r="A17" s="113"/>
      <c r="H17" s="114"/>
    </row>
    <row r="18" ht="15.75" customHeight="1">
      <c r="A18" s="61"/>
      <c r="B18" s="62"/>
      <c r="C18" s="62"/>
      <c r="D18" s="62"/>
      <c r="E18" s="62"/>
      <c r="F18" s="62"/>
      <c r="G18" s="62"/>
      <c r="H18" s="63"/>
    </row>
    <row r="19" ht="15.75" customHeight="1">
      <c r="A19" s="101" t="s">
        <v>273</v>
      </c>
      <c r="B19" s="33"/>
      <c r="C19" s="33"/>
      <c r="D19" s="33"/>
      <c r="E19" s="33"/>
      <c r="F19" s="33"/>
      <c r="G19" s="33"/>
      <c r="H19" s="34"/>
    </row>
    <row r="20" ht="15.75" customHeight="1">
      <c r="A20" s="102" t="s">
        <v>287</v>
      </c>
      <c r="B20" s="59"/>
      <c r="C20" s="59"/>
      <c r="D20" s="59"/>
      <c r="E20" s="59"/>
      <c r="F20" s="59"/>
      <c r="G20" s="59"/>
      <c r="H20" s="60"/>
    </row>
    <row r="21" ht="15.75" customHeight="1">
      <c r="A21" s="113"/>
      <c r="H21" s="114"/>
    </row>
    <row r="22" ht="15.75" customHeight="1">
      <c r="A22" s="113"/>
      <c r="H22" s="114"/>
    </row>
    <row r="23" ht="15.75" customHeight="1">
      <c r="A23" s="61"/>
      <c r="B23" s="62"/>
      <c r="C23" s="62"/>
      <c r="D23" s="62"/>
      <c r="E23" s="62"/>
      <c r="F23" s="62"/>
      <c r="G23" s="62"/>
      <c r="H23" s="63"/>
    </row>
    <row r="24" ht="15.75" customHeight="1"/>
    <row r="25" ht="15.75" customHeight="1"/>
    <row r="26" ht="15.75" customHeight="1">
      <c r="A26" s="99" t="s">
        <v>288</v>
      </c>
      <c r="E26" s="91" t="s">
        <v>190</v>
      </c>
      <c r="F26" s="100">
        <v>15.0</v>
      </c>
      <c r="G26" s="91" t="s">
        <v>268</v>
      </c>
      <c r="H26" s="100">
        <v>15.0</v>
      </c>
    </row>
    <row r="27" ht="15.75" customHeight="1">
      <c r="A27" s="111" t="s">
        <v>280</v>
      </c>
    </row>
    <row r="28" ht="15.75" customHeight="1">
      <c r="A28" s="105" t="s">
        <v>202</v>
      </c>
      <c r="B28" s="88" t="s">
        <v>80</v>
      </c>
      <c r="C28" s="33"/>
      <c r="D28" s="33"/>
      <c r="E28" s="33"/>
      <c r="F28" s="33"/>
      <c r="G28" s="33"/>
      <c r="H28" s="34"/>
    </row>
    <row r="29" ht="15.75" customHeight="1">
      <c r="A29" s="105" t="s">
        <v>202</v>
      </c>
      <c r="B29" s="88" t="s">
        <v>88</v>
      </c>
      <c r="C29" s="33"/>
      <c r="D29" s="33"/>
      <c r="E29" s="33"/>
      <c r="F29" s="33"/>
      <c r="G29" s="33"/>
      <c r="H29" s="34"/>
    </row>
    <row r="30" ht="15.75" customHeight="1">
      <c r="A30" s="105" t="s">
        <v>202</v>
      </c>
      <c r="B30" s="88" t="s">
        <v>116</v>
      </c>
      <c r="C30" s="33"/>
      <c r="D30" s="33"/>
      <c r="E30" s="33"/>
      <c r="F30" s="33"/>
      <c r="G30" s="33"/>
      <c r="H30" s="34"/>
    </row>
    <row r="31" ht="15.75" customHeight="1">
      <c r="A31" s="105" t="s">
        <v>269</v>
      </c>
      <c r="B31" s="88" t="s">
        <v>289</v>
      </c>
      <c r="C31" s="33"/>
      <c r="D31" s="33"/>
      <c r="E31" s="33"/>
      <c r="F31" s="33"/>
      <c r="G31" s="33"/>
      <c r="H31" s="34"/>
    </row>
    <row r="32" ht="15.75" customHeight="1">
      <c r="A32" s="101" t="s">
        <v>271</v>
      </c>
      <c r="B32" s="33"/>
      <c r="C32" s="33"/>
      <c r="D32" s="33"/>
      <c r="E32" s="33"/>
      <c r="F32" s="33"/>
      <c r="G32" s="33"/>
      <c r="H32" s="34"/>
    </row>
    <row r="33" ht="15.75" customHeight="1">
      <c r="A33" s="102" t="s">
        <v>290</v>
      </c>
      <c r="B33" s="59"/>
      <c r="C33" s="59"/>
      <c r="D33" s="59"/>
      <c r="E33" s="59"/>
      <c r="F33" s="59"/>
      <c r="G33" s="59"/>
      <c r="H33" s="60"/>
    </row>
    <row r="34" ht="15.75" customHeight="1">
      <c r="A34" s="113"/>
      <c r="H34" s="114"/>
    </row>
    <row r="35" ht="15.75" customHeight="1">
      <c r="A35" s="61"/>
      <c r="B35" s="62"/>
      <c r="C35" s="62"/>
      <c r="D35" s="62"/>
      <c r="E35" s="62"/>
      <c r="F35" s="62"/>
      <c r="G35" s="62"/>
      <c r="H35" s="63"/>
    </row>
    <row r="36" ht="15.75" customHeight="1">
      <c r="A36" s="101" t="s">
        <v>273</v>
      </c>
      <c r="B36" s="33"/>
      <c r="C36" s="33"/>
      <c r="D36" s="33"/>
      <c r="E36" s="33"/>
      <c r="F36" s="33"/>
      <c r="G36" s="33"/>
      <c r="H36" s="34"/>
    </row>
    <row r="37" ht="15.75" customHeight="1">
      <c r="A37" s="102" t="s">
        <v>291</v>
      </c>
      <c r="B37" s="59"/>
      <c r="C37" s="59"/>
      <c r="D37" s="59"/>
      <c r="E37" s="59"/>
      <c r="F37" s="59"/>
      <c r="G37" s="59"/>
      <c r="H37" s="60"/>
    </row>
    <row r="38" ht="15.75" customHeight="1">
      <c r="A38" s="113"/>
      <c r="H38" s="114"/>
    </row>
    <row r="39" ht="15.75" customHeight="1">
      <c r="A39" s="113"/>
      <c r="H39" s="114"/>
    </row>
    <row r="40" ht="15.75" customHeight="1">
      <c r="A40" s="61"/>
      <c r="B40" s="62"/>
      <c r="C40" s="62"/>
      <c r="D40" s="62"/>
      <c r="E40" s="62"/>
      <c r="F40" s="62"/>
      <c r="G40" s="62"/>
      <c r="H40" s="63"/>
    </row>
    <row r="41" ht="15.75" customHeight="1"/>
    <row r="42" ht="15.75" customHeight="1"/>
    <row r="43" ht="15.75" customHeight="1">
      <c r="A43" s="99" t="s">
        <v>292</v>
      </c>
      <c r="E43" s="91" t="s">
        <v>190</v>
      </c>
      <c r="F43" s="103"/>
      <c r="G43" s="91" t="s">
        <v>268</v>
      </c>
      <c r="H43" s="103"/>
    </row>
    <row r="44" ht="15.75" customHeight="1">
      <c r="A44" s="111" t="s">
        <v>280</v>
      </c>
    </row>
    <row r="45" ht="15.75" customHeight="1">
      <c r="A45" s="105" t="s">
        <v>202</v>
      </c>
      <c r="B45" s="77"/>
      <c r="C45" s="33"/>
      <c r="D45" s="33"/>
      <c r="E45" s="33"/>
      <c r="F45" s="33"/>
      <c r="G45" s="33"/>
      <c r="H45" s="34"/>
    </row>
    <row r="46" ht="15.75" customHeight="1">
      <c r="A46" s="105" t="s">
        <v>202</v>
      </c>
      <c r="B46" s="77"/>
      <c r="C46" s="33"/>
      <c r="D46" s="33"/>
      <c r="E46" s="33"/>
      <c r="F46" s="33"/>
      <c r="G46" s="33"/>
      <c r="H46" s="34"/>
    </row>
    <row r="47" ht="15.75" customHeight="1">
      <c r="A47" s="105" t="s">
        <v>202</v>
      </c>
      <c r="B47" s="77"/>
      <c r="C47" s="33"/>
      <c r="D47" s="33"/>
      <c r="E47" s="33"/>
      <c r="F47" s="33"/>
      <c r="G47" s="33"/>
      <c r="H47" s="34"/>
    </row>
    <row r="48" ht="15.75" customHeight="1">
      <c r="A48" s="105" t="s">
        <v>269</v>
      </c>
      <c r="B48" s="77"/>
      <c r="C48" s="33"/>
      <c r="D48" s="33"/>
      <c r="E48" s="33"/>
      <c r="F48" s="33"/>
      <c r="G48" s="33"/>
      <c r="H48" s="34"/>
    </row>
    <row r="49" ht="15.75" customHeight="1">
      <c r="A49" s="101" t="s">
        <v>271</v>
      </c>
      <c r="B49" s="33"/>
      <c r="C49" s="33"/>
      <c r="D49" s="33"/>
      <c r="E49" s="33"/>
      <c r="F49" s="33"/>
      <c r="G49" s="33"/>
      <c r="H49" s="34"/>
    </row>
    <row r="50" ht="15.75" customHeight="1">
      <c r="A50" s="112"/>
      <c r="B50" s="59"/>
      <c r="C50" s="59"/>
      <c r="D50" s="59"/>
      <c r="E50" s="59"/>
      <c r="F50" s="59"/>
      <c r="G50" s="59"/>
      <c r="H50" s="60"/>
    </row>
    <row r="51" ht="15.75" customHeight="1">
      <c r="A51" s="113"/>
      <c r="H51" s="114"/>
    </row>
    <row r="52" ht="15.75" customHeight="1">
      <c r="A52" s="61"/>
      <c r="B52" s="62"/>
      <c r="C52" s="62"/>
      <c r="D52" s="62"/>
      <c r="E52" s="62"/>
      <c r="F52" s="62"/>
      <c r="G52" s="62"/>
      <c r="H52" s="63"/>
    </row>
    <row r="53" ht="15.75" customHeight="1">
      <c r="A53" s="101" t="s">
        <v>273</v>
      </c>
      <c r="B53" s="33"/>
      <c r="C53" s="33"/>
      <c r="D53" s="33"/>
      <c r="E53" s="33"/>
      <c r="F53" s="33"/>
      <c r="G53" s="33"/>
      <c r="H53" s="34"/>
    </row>
    <row r="54" ht="15.75" customHeight="1">
      <c r="A54" s="112"/>
      <c r="B54" s="59"/>
      <c r="C54" s="59"/>
      <c r="D54" s="59"/>
      <c r="E54" s="59"/>
      <c r="F54" s="59"/>
      <c r="G54" s="59"/>
      <c r="H54" s="60"/>
    </row>
    <row r="55" ht="15.75" customHeight="1">
      <c r="A55" s="113"/>
      <c r="H55" s="114"/>
    </row>
    <row r="56" ht="15.75" customHeight="1">
      <c r="A56" s="113"/>
      <c r="H56" s="114"/>
    </row>
    <row r="57" ht="15.75" customHeight="1">
      <c r="A57" s="61"/>
      <c r="B57" s="62"/>
      <c r="C57" s="62"/>
      <c r="D57" s="62"/>
      <c r="E57" s="62"/>
      <c r="F57" s="62"/>
      <c r="G57" s="62"/>
      <c r="H57" s="63"/>
    </row>
    <row r="58" ht="15.75" customHeight="1"/>
    <row r="59" ht="15.75" customHeight="1"/>
    <row r="60" ht="15.75" customHeight="1">
      <c r="A60" s="99" t="s">
        <v>293</v>
      </c>
      <c r="E60" s="91" t="s">
        <v>190</v>
      </c>
      <c r="F60" s="103"/>
      <c r="G60" s="91" t="s">
        <v>268</v>
      </c>
      <c r="H60" s="103"/>
    </row>
    <row r="61" ht="15.75" customHeight="1">
      <c r="A61" s="111" t="s">
        <v>280</v>
      </c>
    </row>
    <row r="62" ht="15.75" customHeight="1">
      <c r="A62" s="105" t="s">
        <v>202</v>
      </c>
      <c r="B62" s="77"/>
      <c r="C62" s="33"/>
      <c r="D62" s="33"/>
      <c r="E62" s="33"/>
      <c r="F62" s="33"/>
      <c r="G62" s="33"/>
      <c r="H62" s="34"/>
    </row>
    <row r="63" ht="15.75" customHeight="1">
      <c r="A63" s="105" t="s">
        <v>202</v>
      </c>
      <c r="B63" s="77"/>
      <c r="C63" s="33"/>
      <c r="D63" s="33"/>
      <c r="E63" s="33"/>
      <c r="F63" s="33"/>
      <c r="G63" s="33"/>
      <c r="H63" s="34"/>
    </row>
    <row r="64" ht="15.75" customHeight="1">
      <c r="A64" s="105" t="s">
        <v>202</v>
      </c>
      <c r="B64" s="77"/>
      <c r="C64" s="33"/>
      <c r="D64" s="33"/>
      <c r="E64" s="33"/>
      <c r="F64" s="33"/>
      <c r="G64" s="33"/>
      <c r="H64" s="34"/>
    </row>
    <row r="65" ht="15.75" customHeight="1">
      <c r="A65" s="105" t="s">
        <v>269</v>
      </c>
      <c r="B65" s="77"/>
      <c r="C65" s="33"/>
      <c r="D65" s="33"/>
      <c r="E65" s="33"/>
      <c r="F65" s="33"/>
      <c r="G65" s="33"/>
      <c r="H65" s="34"/>
    </row>
    <row r="66" ht="15.75" customHeight="1">
      <c r="A66" s="101" t="s">
        <v>271</v>
      </c>
      <c r="B66" s="33"/>
      <c r="C66" s="33"/>
      <c r="D66" s="33"/>
      <c r="E66" s="33"/>
      <c r="F66" s="33"/>
      <c r="G66" s="33"/>
      <c r="H66" s="34"/>
    </row>
    <row r="67" ht="15.75" customHeight="1">
      <c r="A67" s="112"/>
      <c r="B67" s="59"/>
      <c r="C67" s="59"/>
      <c r="D67" s="59"/>
      <c r="E67" s="59"/>
      <c r="F67" s="59"/>
      <c r="G67" s="59"/>
      <c r="H67" s="60"/>
    </row>
    <row r="68" ht="15.75" customHeight="1">
      <c r="A68" s="113"/>
      <c r="H68" s="114"/>
    </row>
    <row r="69" ht="15.75" customHeight="1">
      <c r="A69" s="61"/>
      <c r="B69" s="62"/>
      <c r="C69" s="62"/>
      <c r="D69" s="62"/>
      <c r="E69" s="62"/>
      <c r="F69" s="62"/>
      <c r="G69" s="62"/>
      <c r="H69" s="63"/>
    </row>
    <row r="70" ht="15.75" customHeight="1">
      <c r="A70" s="101" t="s">
        <v>273</v>
      </c>
      <c r="B70" s="33"/>
      <c r="C70" s="33"/>
      <c r="D70" s="33"/>
      <c r="E70" s="33"/>
      <c r="F70" s="33"/>
      <c r="G70" s="33"/>
      <c r="H70" s="34"/>
    </row>
    <row r="71" ht="15.75" customHeight="1">
      <c r="A71" s="112"/>
      <c r="B71" s="59"/>
      <c r="C71" s="59"/>
      <c r="D71" s="59"/>
      <c r="E71" s="59"/>
      <c r="F71" s="59"/>
      <c r="G71" s="59"/>
      <c r="H71" s="60"/>
    </row>
    <row r="72" ht="15.75" customHeight="1">
      <c r="A72" s="113"/>
      <c r="H72" s="114"/>
    </row>
    <row r="73" ht="15.75" customHeight="1">
      <c r="A73" s="113"/>
      <c r="H73" s="114"/>
    </row>
    <row r="74" ht="15.75" customHeight="1">
      <c r="A74" s="61"/>
      <c r="B74" s="62"/>
      <c r="C74" s="62"/>
      <c r="D74" s="62"/>
      <c r="E74" s="62"/>
      <c r="F74" s="62"/>
      <c r="G74" s="62"/>
      <c r="H74" s="63"/>
    </row>
    <row r="75" ht="15.75" customHeight="1"/>
    <row r="76" ht="15.75" customHeight="1"/>
    <row r="77" ht="15.75" customHeight="1">
      <c r="A77" s="99" t="s">
        <v>294</v>
      </c>
      <c r="E77" s="91" t="s">
        <v>190</v>
      </c>
      <c r="F77" s="103"/>
      <c r="G77" s="91" t="s">
        <v>268</v>
      </c>
      <c r="H77" s="103"/>
    </row>
    <row r="78" ht="15.75" customHeight="1">
      <c r="A78" s="111" t="s">
        <v>280</v>
      </c>
    </row>
    <row r="79" ht="15.75" customHeight="1">
      <c r="A79" s="105" t="s">
        <v>202</v>
      </c>
      <c r="B79" s="77"/>
      <c r="C79" s="33"/>
      <c r="D79" s="33"/>
      <c r="E79" s="33"/>
      <c r="F79" s="33"/>
      <c r="G79" s="33"/>
      <c r="H79" s="34"/>
    </row>
    <row r="80" ht="15.75" customHeight="1">
      <c r="A80" s="105" t="s">
        <v>202</v>
      </c>
      <c r="B80" s="77"/>
      <c r="C80" s="33"/>
      <c r="D80" s="33"/>
      <c r="E80" s="33"/>
      <c r="F80" s="33"/>
      <c r="G80" s="33"/>
      <c r="H80" s="34"/>
    </row>
    <row r="81" ht="15.75" customHeight="1">
      <c r="A81" s="105" t="s">
        <v>202</v>
      </c>
      <c r="B81" s="77"/>
      <c r="C81" s="33"/>
      <c r="D81" s="33"/>
      <c r="E81" s="33"/>
      <c r="F81" s="33"/>
      <c r="G81" s="33"/>
      <c r="H81" s="34"/>
    </row>
    <row r="82" ht="15.75" customHeight="1">
      <c r="A82" s="105" t="s">
        <v>269</v>
      </c>
      <c r="B82" s="77"/>
      <c r="C82" s="33"/>
      <c r="D82" s="33"/>
      <c r="E82" s="33"/>
      <c r="F82" s="33"/>
      <c r="G82" s="33"/>
      <c r="H82" s="34"/>
    </row>
    <row r="83" ht="15.75" customHeight="1">
      <c r="A83" s="101" t="s">
        <v>271</v>
      </c>
      <c r="B83" s="33"/>
      <c r="C83" s="33"/>
      <c r="D83" s="33"/>
      <c r="E83" s="33"/>
      <c r="F83" s="33"/>
      <c r="G83" s="33"/>
      <c r="H83" s="34"/>
    </row>
    <row r="84" ht="15.75" customHeight="1">
      <c r="A84" s="112"/>
      <c r="B84" s="59"/>
      <c r="C84" s="59"/>
      <c r="D84" s="59"/>
      <c r="E84" s="59"/>
      <c r="F84" s="59"/>
      <c r="G84" s="59"/>
      <c r="H84" s="60"/>
    </row>
    <row r="85" ht="15.75" customHeight="1">
      <c r="A85" s="113"/>
      <c r="H85" s="114"/>
    </row>
    <row r="86" ht="15.75" customHeight="1">
      <c r="A86" s="61"/>
      <c r="B86" s="62"/>
      <c r="C86" s="62"/>
      <c r="D86" s="62"/>
      <c r="E86" s="62"/>
      <c r="F86" s="62"/>
      <c r="G86" s="62"/>
      <c r="H86" s="63"/>
    </row>
    <row r="87" ht="15.75" customHeight="1">
      <c r="A87" s="101" t="s">
        <v>273</v>
      </c>
      <c r="B87" s="33"/>
      <c r="C87" s="33"/>
      <c r="D87" s="33"/>
      <c r="E87" s="33"/>
      <c r="F87" s="33"/>
      <c r="G87" s="33"/>
      <c r="H87" s="34"/>
    </row>
    <row r="88" ht="15.75" customHeight="1">
      <c r="A88" s="112"/>
      <c r="B88" s="59"/>
      <c r="C88" s="59"/>
      <c r="D88" s="59"/>
      <c r="E88" s="59"/>
      <c r="F88" s="59"/>
      <c r="G88" s="59"/>
      <c r="H88" s="60"/>
    </row>
    <row r="89" ht="15.75" customHeight="1">
      <c r="A89" s="113"/>
      <c r="H89" s="114"/>
    </row>
    <row r="90" ht="15.75" customHeight="1">
      <c r="A90" s="113"/>
      <c r="H90" s="114"/>
    </row>
    <row r="91" ht="15.75" customHeight="1">
      <c r="A91" s="61"/>
      <c r="B91" s="62"/>
      <c r="C91" s="62"/>
      <c r="D91" s="62"/>
      <c r="E91" s="62"/>
      <c r="F91" s="62"/>
      <c r="G91" s="62"/>
      <c r="H91" s="63"/>
    </row>
    <row r="92" ht="15.75" customHeight="1"/>
    <row r="93" ht="15.75" customHeight="1"/>
    <row r="94" ht="15.75" customHeight="1">
      <c r="A94" s="99" t="s">
        <v>295</v>
      </c>
      <c r="E94" s="91" t="s">
        <v>190</v>
      </c>
      <c r="F94" s="103"/>
      <c r="G94" s="91" t="s">
        <v>268</v>
      </c>
      <c r="H94" s="103"/>
    </row>
    <row r="95" ht="15.75" customHeight="1">
      <c r="A95" s="111" t="s">
        <v>280</v>
      </c>
    </row>
    <row r="96" ht="15.75" customHeight="1">
      <c r="A96" s="105" t="s">
        <v>202</v>
      </c>
      <c r="B96" s="77"/>
      <c r="C96" s="33"/>
      <c r="D96" s="33"/>
      <c r="E96" s="33"/>
      <c r="F96" s="33"/>
      <c r="G96" s="33"/>
      <c r="H96" s="34"/>
    </row>
    <row r="97" ht="15.75" customHeight="1">
      <c r="A97" s="105" t="s">
        <v>202</v>
      </c>
      <c r="B97" s="77"/>
      <c r="C97" s="33"/>
      <c r="D97" s="33"/>
      <c r="E97" s="33"/>
      <c r="F97" s="33"/>
      <c r="G97" s="33"/>
      <c r="H97" s="34"/>
    </row>
    <row r="98" ht="15.75" customHeight="1">
      <c r="A98" s="105" t="s">
        <v>202</v>
      </c>
      <c r="B98" s="77"/>
      <c r="C98" s="33"/>
      <c r="D98" s="33"/>
      <c r="E98" s="33"/>
      <c r="F98" s="33"/>
      <c r="G98" s="33"/>
      <c r="H98" s="34"/>
    </row>
    <row r="99" ht="15.75" customHeight="1">
      <c r="A99" s="105" t="s">
        <v>269</v>
      </c>
      <c r="B99" s="77"/>
      <c r="C99" s="33"/>
      <c r="D99" s="33"/>
      <c r="E99" s="33"/>
      <c r="F99" s="33"/>
      <c r="G99" s="33"/>
      <c r="H99" s="34"/>
    </row>
    <row r="100" ht="15.75" customHeight="1">
      <c r="A100" s="101" t="s">
        <v>271</v>
      </c>
      <c r="B100" s="33"/>
      <c r="C100" s="33"/>
      <c r="D100" s="33"/>
      <c r="E100" s="33"/>
      <c r="F100" s="33"/>
      <c r="G100" s="33"/>
      <c r="H100" s="34"/>
    </row>
    <row r="101" ht="15.75" customHeight="1">
      <c r="A101" s="112"/>
      <c r="B101" s="59"/>
      <c r="C101" s="59"/>
      <c r="D101" s="59"/>
      <c r="E101" s="59"/>
      <c r="F101" s="59"/>
      <c r="G101" s="59"/>
      <c r="H101" s="60"/>
    </row>
    <row r="102" ht="15.75" customHeight="1">
      <c r="A102" s="113"/>
      <c r="H102" s="114"/>
    </row>
    <row r="103" ht="15.75" customHeight="1">
      <c r="A103" s="61"/>
      <c r="B103" s="62"/>
      <c r="C103" s="62"/>
      <c r="D103" s="62"/>
      <c r="E103" s="62"/>
      <c r="F103" s="62"/>
      <c r="G103" s="62"/>
      <c r="H103" s="63"/>
    </row>
    <row r="104" ht="15.75" customHeight="1">
      <c r="A104" s="101" t="s">
        <v>273</v>
      </c>
      <c r="B104" s="33"/>
      <c r="C104" s="33"/>
      <c r="D104" s="33"/>
      <c r="E104" s="33"/>
      <c r="F104" s="33"/>
      <c r="G104" s="33"/>
      <c r="H104" s="34"/>
    </row>
    <row r="105" ht="15.75" customHeight="1">
      <c r="A105" s="112"/>
      <c r="B105" s="59"/>
      <c r="C105" s="59"/>
      <c r="D105" s="59"/>
      <c r="E105" s="59"/>
      <c r="F105" s="59"/>
      <c r="G105" s="59"/>
      <c r="H105" s="60"/>
    </row>
    <row r="106" ht="15.75" customHeight="1">
      <c r="A106" s="113"/>
      <c r="H106" s="114"/>
    </row>
    <row r="107" ht="15.75" customHeight="1">
      <c r="A107" s="113"/>
      <c r="H107" s="114"/>
    </row>
    <row r="108" ht="15.75" customHeight="1">
      <c r="A108" s="61"/>
      <c r="B108" s="62"/>
      <c r="C108" s="62"/>
      <c r="D108" s="62"/>
      <c r="E108" s="62"/>
      <c r="F108" s="62"/>
      <c r="G108" s="62"/>
      <c r="H108" s="63"/>
    </row>
    <row r="109" ht="15.75" customHeight="1"/>
    <row r="110" ht="15.75" customHeight="1"/>
    <row r="111" ht="15.75" customHeight="1">
      <c r="A111" s="99" t="s">
        <v>296</v>
      </c>
      <c r="E111" s="91" t="s">
        <v>190</v>
      </c>
      <c r="F111" s="103"/>
      <c r="G111" s="91" t="s">
        <v>268</v>
      </c>
      <c r="H111" s="103"/>
    </row>
    <row r="112" ht="15.75" customHeight="1">
      <c r="A112" s="111" t="s">
        <v>280</v>
      </c>
    </row>
    <row r="113" ht="15.75" customHeight="1">
      <c r="A113" s="105" t="s">
        <v>202</v>
      </c>
      <c r="B113" s="77"/>
      <c r="C113" s="33"/>
      <c r="D113" s="33"/>
      <c r="E113" s="33"/>
      <c r="F113" s="33"/>
      <c r="G113" s="33"/>
      <c r="H113" s="34"/>
    </row>
    <row r="114" ht="15.75" customHeight="1">
      <c r="A114" s="105" t="s">
        <v>202</v>
      </c>
      <c r="B114" s="77"/>
      <c r="C114" s="33"/>
      <c r="D114" s="33"/>
      <c r="E114" s="33"/>
      <c r="F114" s="33"/>
      <c r="G114" s="33"/>
      <c r="H114" s="34"/>
    </row>
    <row r="115" ht="15.75" customHeight="1">
      <c r="A115" s="105" t="s">
        <v>202</v>
      </c>
      <c r="B115" s="77"/>
      <c r="C115" s="33"/>
      <c r="D115" s="33"/>
      <c r="E115" s="33"/>
      <c r="F115" s="33"/>
      <c r="G115" s="33"/>
      <c r="H115" s="34"/>
    </row>
    <row r="116" ht="15.75" customHeight="1">
      <c r="A116" s="105" t="s">
        <v>269</v>
      </c>
      <c r="B116" s="77"/>
      <c r="C116" s="33"/>
      <c r="D116" s="33"/>
      <c r="E116" s="33"/>
      <c r="F116" s="33"/>
      <c r="G116" s="33"/>
      <c r="H116" s="34"/>
    </row>
    <row r="117" ht="15.75" customHeight="1">
      <c r="A117" s="101" t="s">
        <v>271</v>
      </c>
      <c r="B117" s="33"/>
      <c r="C117" s="33"/>
      <c r="D117" s="33"/>
      <c r="E117" s="33"/>
      <c r="F117" s="33"/>
      <c r="G117" s="33"/>
      <c r="H117" s="34"/>
    </row>
    <row r="118" ht="15.75" customHeight="1">
      <c r="A118" s="112"/>
      <c r="B118" s="59"/>
      <c r="C118" s="59"/>
      <c r="D118" s="59"/>
      <c r="E118" s="59"/>
      <c r="F118" s="59"/>
      <c r="G118" s="59"/>
      <c r="H118" s="60"/>
    </row>
    <row r="119" ht="15.75" customHeight="1">
      <c r="A119" s="113"/>
      <c r="H119" s="114"/>
    </row>
    <row r="120" ht="15.75" customHeight="1">
      <c r="A120" s="61"/>
      <c r="B120" s="62"/>
      <c r="C120" s="62"/>
      <c r="D120" s="62"/>
      <c r="E120" s="62"/>
      <c r="F120" s="62"/>
      <c r="G120" s="62"/>
      <c r="H120" s="63"/>
    </row>
    <row r="121" ht="15.75" customHeight="1">
      <c r="A121" s="101" t="s">
        <v>273</v>
      </c>
      <c r="B121" s="33"/>
      <c r="C121" s="33"/>
      <c r="D121" s="33"/>
      <c r="E121" s="33"/>
      <c r="F121" s="33"/>
      <c r="G121" s="33"/>
      <c r="H121" s="34"/>
    </row>
    <row r="122" ht="15.75" customHeight="1">
      <c r="A122" s="112"/>
      <c r="B122" s="59"/>
      <c r="C122" s="59"/>
      <c r="D122" s="59"/>
      <c r="E122" s="59"/>
      <c r="F122" s="59"/>
      <c r="G122" s="59"/>
      <c r="H122" s="60"/>
    </row>
    <row r="123" ht="15.75" customHeight="1">
      <c r="A123" s="113"/>
      <c r="H123" s="114"/>
    </row>
    <row r="124" ht="15.75" customHeight="1">
      <c r="A124" s="113"/>
      <c r="H124" s="114"/>
    </row>
    <row r="125" ht="15.75" customHeight="1">
      <c r="A125" s="61"/>
      <c r="B125" s="62"/>
      <c r="C125" s="62"/>
      <c r="D125" s="62"/>
      <c r="E125" s="62"/>
      <c r="F125" s="62"/>
      <c r="G125" s="62"/>
      <c r="H125" s="63"/>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formula1>Metadata!$B$2:$B$40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17" t="s">
        <v>16</v>
      </c>
    </row>
    <row r="3" ht="15.75" customHeight="1"/>
    <row r="4" ht="15.75" customHeight="1">
      <c r="B4" s="76" t="s">
        <v>1</v>
      </c>
      <c r="C4" s="77" t="str">
        <f>'Diseño'!C4</f>
        <v>768 - Algoritmos</v>
      </c>
      <c r="D4" s="33"/>
      <c r="E4" s="33"/>
      <c r="F4" s="33"/>
      <c r="G4" s="34"/>
    </row>
    <row r="5" ht="15.75" customHeight="1">
      <c r="B5" s="97" t="s">
        <v>154</v>
      </c>
      <c r="C5" s="77">
        <f>H9+H26+H43+H60+H77+H94+H111+H128</f>
        <v>24</v>
      </c>
      <c r="D5" s="33"/>
      <c r="E5" s="33"/>
      <c r="F5" s="33"/>
      <c r="G5" s="34"/>
    </row>
    <row r="6" ht="15.75" customHeight="1">
      <c r="B6" s="97" t="s">
        <v>190</v>
      </c>
      <c r="C6" s="77">
        <f>F9+F26+F43+F60+F77+F94+F111+F128</f>
        <v>10</v>
      </c>
      <c r="D6" s="33"/>
      <c r="E6" s="33"/>
      <c r="F6" s="33"/>
      <c r="G6" s="34"/>
    </row>
    <row r="7" ht="15.75" customHeight="1">
      <c r="B7" s="66" t="s">
        <v>297</v>
      </c>
    </row>
    <row r="8" ht="15.75" customHeight="1"/>
    <row r="9" ht="15.75" customHeight="1">
      <c r="A9" s="99" t="s">
        <v>298</v>
      </c>
      <c r="E9" s="91" t="s">
        <v>190</v>
      </c>
      <c r="F9" s="100">
        <v>0.0</v>
      </c>
      <c r="G9" s="91" t="s">
        <v>268</v>
      </c>
      <c r="H9" s="100">
        <v>2.0</v>
      </c>
    </row>
    <row r="10" ht="15.75" customHeight="1">
      <c r="A10" s="66" t="s">
        <v>299</v>
      </c>
    </row>
    <row r="11" ht="15.75" customHeight="1">
      <c r="A11" s="105" t="s">
        <v>202</v>
      </c>
      <c r="B11" s="88" t="s">
        <v>80</v>
      </c>
      <c r="C11" s="33"/>
      <c r="D11" s="33"/>
      <c r="E11" s="33"/>
      <c r="F11" s="33"/>
      <c r="G11" s="33"/>
      <c r="H11" s="34"/>
    </row>
    <row r="12" ht="15.75" customHeight="1">
      <c r="A12" s="105" t="s">
        <v>202</v>
      </c>
      <c r="B12" s="77"/>
      <c r="C12" s="33"/>
      <c r="D12" s="33"/>
      <c r="E12" s="33"/>
      <c r="F12" s="33"/>
      <c r="G12" s="33"/>
      <c r="H12" s="34"/>
    </row>
    <row r="13" ht="15.75" customHeight="1">
      <c r="A13" s="105" t="s">
        <v>202</v>
      </c>
      <c r="B13" s="77"/>
      <c r="C13" s="33"/>
      <c r="D13" s="33"/>
      <c r="E13" s="33"/>
      <c r="F13" s="33"/>
      <c r="G13" s="33"/>
      <c r="H13" s="34"/>
    </row>
    <row r="14" ht="15.75" customHeight="1">
      <c r="A14" s="105" t="s">
        <v>269</v>
      </c>
      <c r="B14" s="74" t="s">
        <v>300</v>
      </c>
    </row>
    <row r="15" ht="15.75" customHeight="1">
      <c r="A15" s="101" t="s">
        <v>271</v>
      </c>
      <c r="B15" s="33"/>
      <c r="C15" s="33"/>
      <c r="D15" s="33"/>
      <c r="E15" s="33"/>
      <c r="F15" s="33"/>
      <c r="G15" s="33"/>
      <c r="H15" s="34"/>
    </row>
    <row r="16" ht="15.75" customHeight="1">
      <c r="A16" s="118" t="s">
        <v>301</v>
      </c>
      <c r="B16" s="59"/>
      <c r="C16" s="59"/>
      <c r="D16" s="59"/>
      <c r="E16" s="59"/>
      <c r="F16" s="59"/>
      <c r="G16" s="59"/>
      <c r="H16" s="60"/>
    </row>
    <row r="17" ht="15.75" customHeight="1">
      <c r="A17" s="113"/>
      <c r="H17" s="114"/>
    </row>
    <row r="18" ht="15.75" customHeight="1">
      <c r="A18" s="61"/>
      <c r="B18" s="62"/>
      <c r="C18" s="62"/>
      <c r="D18" s="62"/>
      <c r="E18" s="62"/>
      <c r="F18" s="62"/>
      <c r="G18" s="62"/>
      <c r="H18" s="63"/>
    </row>
    <row r="19" ht="15.75" customHeight="1">
      <c r="A19" s="101" t="s">
        <v>302</v>
      </c>
      <c r="B19" s="33"/>
      <c r="C19" s="33"/>
      <c r="D19" s="33"/>
      <c r="E19" s="33"/>
      <c r="F19" s="33"/>
      <c r="G19" s="33"/>
      <c r="H19" s="34"/>
    </row>
    <row r="20" ht="15.75" customHeight="1">
      <c r="A20" s="118" t="s">
        <v>303</v>
      </c>
      <c r="B20" s="59"/>
      <c r="C20" s="59"/>
      <c r="D20" s="59"/>
      <c r="E20" s="59"/>
      <c r="F20" s="59"/>
      <c r="G20" s="59"/>
      <c r="H20" s="60"/>
    </row>
    <row r="21" ht="15.75" customHeight="1">
      <c r="A21" s="113"/>
      <c r="H21" s="114"/>
    </row>
    <row r="22" ht="15.75" customHeight="1">
      <c r="A22" s="113"/>
      <c r="H22" s="114"/>
    </row>
    <row r="23" ht="15.75" customHeight="1">
      <c r="A23" s="61"/>
      <c r="B23" s="62"/>
      <c r="C23" s="62"/>
      <c r="D23" s="62"/>
      <c r="E23" s="62"/>
      <c r="F23" s="62"/>
      <c r="G23" s="62"/>
      <c r="H23" s="63"/>
    </row>
    <row r="24" ht="15.75" customHeight="1">
      <c r="A24" s="99"/>
      <c r="B24" s="99"/>
      <c r="C24" s="99"/>
      <c r="D24" s="99"/>
      <c r="E24" s="91"/>
      <c r="F24" s="119"/>
      <c r="G24" s="91"/>
      <c r="H24" s="119"/>
    </row>
    <row r="25" ht="15.75" customHeight="1">
      <c r="A25" s="99"/>
      <c r="B25" s="99"/>
      <c r="C25" s="99"/>
      <c r="D25" s="99"/>
      <c r="E25" s="91"/>
      <c r="F25" s="119"/>
      <c r="G25" s="91"/>
      <c r="H25" s="119"/>
    </row>
    <row r="26" ht="15.75" customHeight="1">
      <c r="A26" s="99" t="s">
        <v>304</v>
      </c>
      <c r="E26" s="91" t="s">
        <v>190</v>
      </c>
      <c r="F26" s="100">
        <v>2.0</v>
      </c>
      <c r="G26" s="91" t="s">
        <v>268</v>
      </c>
      <c r="H26" s="100">
        <v>3.0</v>
      </c>
    </row>
    <row r="27" ht="15.75" customHeight="1">
      <c r="A27" s="66" t="s">
        <v>284</v>
      </c>
    </row>
    <row r="28" ht="15.75" customHeight="1">
      <c r="A28" s="105" t="s">
        <v>202</v>
      </c>
      <c r="B28" s="88" t="s">
        <v>80</v>
      </c>
      <c r="C28" s="33"/>
      <c r="D28" s="33"/>
      <c r="E28" s="33"/>
      <c r="F28" s="33"/>
      <c r="G28" s="33"/>
      <c r="H28" s="34"/>
    </row>
    <row r="29" ht="15.75" customHeight="1">
      <c r="A29" s="105" t="s">
        <v>202</v>
      </c>
      <c r="B29" s="88" t="s">
        <v>88</v>
      </c>
      <c r="C29" s="33"/>
      <c r="D29" s="33"/>
      <c r="E29" s="33"/>
      <c r="F29" s="33"/>
      <c r="G29" s="33"/>
      <c r="H29" s="34"/>
    </row>
    <row r="30" ht="15.75" customHeight="1">
      <c r="A30" s="105" t="s">
        <v>202</v>
      </c>
      <c r="B30" s="77"/>
      <c r="C30" s="33"/>
      <c r="D30" s="33"/>
      <c r="E30" s="33"/>
      <c r="F30" s="33"/>
      <c r="G30" s="33"/>
      <c r="H30" s="34"/>
    </row>
    <row r="31" ht="15.75" customHeight="1">
      <c r="A31" s="105" t="s">
        <v>269</v>
      </c>
      <c r="B31" s="88" t="s">
        <v>305</v>
      </c>
      <c r="C31" s="33"/>
      <c r="D31" s="33"/>
      <c r="E31" s="33"/>
      <c r="F31" s="33"/>
      <c r="G31" s="33"/>
      <c r="H31" s="34"/>
    </row>
    <row r="32" ht="15.75" customHeight="1">
      <c r="A32" s="101" t="s">
        <v>271</v>
      </c>
      <c r="B32" s="33"/>
      <c r="C32" s="33"/>
      <c r="D32" s="33"/>
      <c r="E32" s="33"/>
      <c r="F32" s="33"/>
      <c r="G32" s="33"/>
      <c r="H32" s="34"/>
    </row>
    <row r="33" ht="15.75" customHeight="1">
      <c r="A33" s="102" t="s">
        <v>306</v>
      </c>
      <c r="B33" s="59"/>
      <c r="C33" s="59"/>
      <c r="D33" s="59"/>
      <c r="E33" s="59"/>
      <c r="F33" s="59"/>
      <c r="G33" s="59"/>
      <c r="H33" s="60"/>
    </row>
    <row r="34" ht="15.75" customHeight="1">
      <c r="A34" s="113"/>
      <c r="H34" s="114"/>
    </row>
    <row r="35" ht="15.75" customHeight="1">
      <c r="A35" s="61"/>
      <c r="B35" s="62"/>
      <c r="C35" s="62"/>
      <c r="D35" s="62"/>
      <c r="E35" s="62"/>
      <c r="F35" s="62"/>
      <c r="G35" s="62"/>
      <c r="H35" s="63"/>
    </row>
    <row r="36" ht="15.75" customHeight="1">
      <c r="A36" s="101" t="s">
        <v>273</v>
      </c>
      <c r="B36" s="33"/>
      <c r="C36" s="33"/>
      <c r="D36" s="33"/>
      <c r="E36" s="33"/>
      <c r="F36" s="33"/>
      <c r="G36" s="33"/>
      <c r="H36" s="34"/>
    </row>
    <row r="37" ht="15.75" customHeight="1">
      <c r="A37" s="102" t="s">
        <v>307</v>
      </c>
      <c r="B37" s="59"/>
      <c r="C37" s="59"/>
      <c r="D37" s="59"/>
      <c r="E37" s="59"/>
      <c r="F37" s="59"/>
      <c r="G37" s="59"/>
      <c r="H37" s="60"/>
    </row>
    <row r="38" ht="15.75" customHeight="1">
      <c r="A38" s="113"/>
      <c r="H38" s="114"/>
    </row>
    <row r="39" ht="15.75" customHeight="1">
      <c r="A39" s="113"/>
      <c r="H39" s="114"/>
    </row>
    <row r="40" ht="15.75" customHeight="1">
      <c r="A40" s="61"/>
      <c r="B40" s="62"/>
      <c r="C40" s="62"/>
      <c r="D40" s="62"/>
      <c r="E40" s="62"/>
      <c r="F40" s="62"/>
      <c r="G40" s="62"/>
      <c r="H40" s="63"/>
    </row>
    <row r="41" ht="15.75" customHeight="1"/>
    <row r="42" ht="15.75" customHeight="1"/>
    <row r="43" ht="15.75" customHeight="1">
      <c r="A43" s="99" t="s">
        <v>308</v>
      </c>
      <c r="E43" s="91" t="s">
        <v>190</v>
      </c>
      <c r="F43" s="100">
        <v>2.0</v>
      </c>
      <c r="G43" s="91" t="s">
        <v>268</v>
      </c>
      <c r="H43" s="100">
        <v>4.0</v>
      </c>
    </row>
    <row r="44" ht="15.75" customHeight="1">
      <c r="A44" s="66" t="s">
        <v>284</v>
      </c>
    </row>
    <row r="45" ht="15.75" customHeight="1">
      <c r="A45" s="105" t="s">
        <v>202</v>
      </c>
      <c r="B45" s="88" t="s">
        <v>88</v>
      </c>
      <c r="C45" s="33"/>
      <c r="D45" s="33"/>
      <c r="E45" s="33"/>
      <c r="F45" s="33"/>
      <c r="G45" s="33"/>
      <c r="H45" s="34"/>
    </row>
    <row r="46" ht="15.75" customHeight="1">
      <c r="A46" s="105" t="s">
        <v>202</v>
      </c>
      <c r="B46" s="77"/>
      <c r="C46" s="33"/>
      <c r="D46" s="33"/>
      <c r="E46" s="33"/>
      <c r="F46" s="33"/>
      <c r="G46" s="33"/>
      <c r="H46" s="34"/>
    </row>
    <row r="47" ht="15.75" customHeight="1">
      <c r="A47" s="105" t="s">
        <v>202</v>
      </c>
      <c r="B47" s="77"/>
      <c r="C47" s="33"/>
      <c r="D47" s="33"/>
      <c r="E47" s="33"/>
      <c r="F47" s="33"/>
      <c r="G47" s="33"/>
      <c r="H47" s="34"/>
    </row>
    <row r="48" ht="15.75" customHeight="1">
      <c r="A48" s="105" t="s">
        <v>269</v>
      </c>
      <c r="B48" s="88" t="s">
        <v>309</v>
      </c>
      <c r="C48" s="33"/>
      <c r="D48" s="33"/>
      <c r="E48" s="33"/>
      <c r="F48" s="33"/>
      <c r="G48" s="33"/>
      <c r="H48" s="34"/>
    </row>
    <row r="49" ht="15.75" customHeight="1">
      <c r="A49" s="101" t="s">
        <v>271</v>
      </c>
      <c r="B49" s="33"/>
      <c r="C49" s="33"/>
      <c r="D49" s="33"/>
      <c r="E49" s="33"/>
      <c r="F49" s="33"/>
      <c r="G49" s="33"/>
      <c r="H49" s="34"/>
    </row>
    <row r="50" ht="15.75" customHeight="1">
      <c r="A50" s="102" t="s">
        <v>310</v>
      </c>
      <c r="B50" s="59"/>
      <c r="C50" s="59"/>
      <c r="D50" s="59"/>
      <c r="E50" s="59"/>
      <c r="F50" s="59"/>
      <c r="G50" s="59"/>
      <c r="H50" s="60"/>
    </row>
    <row r="51" ht="15.75" customHeight="1">
      <c r="A51" s="113"/>
      <c r="H51" s="114"/>
    </row>
    <row r="52" ht="15.75" customHeight="1">
      <c r="A52" s="61"/>
      <c r="B52" s="62"/>
      <c r="C52" s="62"/>
      <c r="D52" s="62"/>
      <c r="E52" s="62"/>
      <c r="F52" s="62"/>
      <c r="G52" s="62"/>
      <c r="H52" s="63"/>
    </row>
    <row r="53" ht="15.75" customHeight="1">
      <c r="A53" s="101" t="s">
        <v>273</v>
      </c>
      <c r="B53" s="33"/>
      <c r="C53" s="33"/>
      <c r="D53" s="33"/>
      <c r="E53" s="33"/>
      <c r="F53" s="33"/>
      <c r="G53" s="33"/>
      <c r="H53" s="34"/>
    </row>
    <row r="54" ht="15.75" customHeight="1">
      <c r="A54" s="102" t="s">
        <v>311</v>
      </c>
      <c r="B54" s="59"/>
      <c r="C54" s="59"/>
      <c r="D54" s="59"/>
      <c r="E54" s="59"/>
      <c r="F54" s="59"/>
      <c r="G54" s="59"/>
      <c r="H54" s="60"/>
    </row>
    <row r="55" ht="15.75" customHeight="1">
      <c r="A55" s="113"/>
      <c r="H55" s="114"/>
    </row>
    <row r="56" ht="15.75" customHeight="1">
      <c r="A56" s="113"/>
      <c r="H56" s="114"/>
    </row>
    <row r="57" ht="15.75" customHeight="1">
      <c r="A57" s="61"/>
      <c r="B57" s="62"/>
      <c r="C57" s="62"/>
      <c r="D57" s="62"/>
      <c r="E57" s="62"/>
      <c r="F57" s="62"/>
      <c r="G57" s="62"/>
      <c r="H57" s="63"/>
    </row>
    <row r="58" ht="15.75" customHeight="1"/>
    <row r="59" ht="15.75" customHeight="1"/>
    <row r="60" ht="15.75" customHeight="1">
      <c r="A60" s="99" t="s">
        <v>312</v>
      </c>
      <c r="E60" s="91" t="s">
        <v>190</v>
      </c>
      <c r="F60" s="100">
        <v>2.0</v>
      </c>
      <c r="G60" s="91" t="s">
        <v>268</v>
      </c>
      <c r="H60" s="100">
        <v>6.0</v>
      </c>
    </row>
    <row r="61" ht="15.75" customHeight="1">
      <c r="A61" s="111" t="s">
        <v>280</v>
      </c>
    </row>
    <row r="62" ht="15.75" customHeight="1">
      <c r="A62" s="105" t="s">
        <v>202</v>
      </c>
      <c r="B62" s="88" t="s">
        <v>127</v>
      </c>
      <c r="C62" s="33"/>
      <c r="D62" s="33"/>
      <c r="E62" s="33"/>
      <c r="F62" s="33"/>
      <c r="G62" s="33"/>
      <c r="H62" s="34"/>
    </row>
    <row r="63" ht="15.75" customHeight="1">
      <c r="A63" s="105" t="s">
        <v>202</v>
      </c>
      <c r="B63" s="77"/>
      <c r="C63" s="33"/>
      <c r="D63" s="33"/>
      <c r="E63" s="33"/>
      <c r="F63" s="33"/>
      <c r="G63" s="33"/>
      <c r="H63" s="34"/>
    </row>
    <row r="64" ht="15.75" customHeight="1">
      <c r="A64" s="105" t="s">
        <v>202</v>
      </c>
      <c r="B64" s="77"/>
      <c r="C64" s="33"/>
      <c r="D64" s="33"/>
      <c r="E64" s="33"/>
      <c r="F64" s="33"/>
      <c r="G64" s="33"/>
      <c r="H64" s="34"/>
    </row>
    <row r="65" ht="15.75" customHeight="1">
      <c r="A65" s="105" t="s">
        <v>269</v>
      </c>
      <c r="B65" s="88" t="s">
        <v>313</v>
      </c>
      <c r="C65" s="33"/>
      <c r="D65" s="33"/>
      <c r="E65" s="33"/>
      <c r="F65" s="33"/>
      <c r="G65" s="33"/>
      <c r="H65" s="34"/>
    </row>
    <row r="66" ht="15.75" customHeight="1">
      <c r="A66" s="101" t="s">
        <v>271</v>
      </c>
      <c r="B66" s="33"/>
      <c r="C66" s="33"/>
      <c r="D66" s="33"/>
      <c r="E66" s="33"/>
      <c r="F66" s="33"/>
      <c r="G66" s="33"/>
      <c r="H66" s="34"/>
    </row>
    <row r="67" ht="15.75" customHeight="1">
      <c r="A67" s="102" t="s">
        <v>314</v>
      </c>
      <c r="B67" s="59"/>
      <c r="C67" s="59"/>
      <c r="D67" s="59"/>
      <c r="E67" s="59"/>
      <c r="F67" s="59"/>
      <c r="G67" s="59"/>
      <c r="H67" s="60"/>
    </row>
    <row r="68" ht="15.75" customHeight="1">
      <c r="A68" s="113"/>
      <c r="H68" s="114"/>
    </row>
    <row r="69" ht="15.75" customHeight="1">
      <c r="A69" s="61"/>
      <c r="B69" s="62"/>
      <c r="C69" s="62"/>
      <c r="D69" s="62"/>
      <c r="E69" s="62"/>
      <c r="F69" s="62"/>
      <c r="G69" s="62"/>
      <c r="H69" s="63"/>
    </row>
    <row r="70" ht="15.75" customHeight="1">
      <c r="A70" s="101" t="s">
        <v>273</v>
      </c>
      <c r="B70" s="33"/>
      <c r="C70" s="33"/>
      <c r="D70" s="33"/>
      <c r="E70" s="33"/>
      <c r="F70" s="33"/>
      <c r="G70" s="33"/>
      <c r="H70" s="34"/>
    </row>
    <row r="71" ht="15.75" customHeight="1">
      <c r="A71" s="102" t="s">
        <v>315</v>
      </c>
      <c r="B71" s="59"/>
      <c r="C71" s="59"/>
      <c r="D71" s="59"/>
      <c r="E71" s="59"/>
      <c r="F71" s="59"/>
      <c r="G71" s="59"/>
      <c r="H71" s="60"/>
    </row>
    <row r="72" ht="15.75" customHeight="1">
      <c r="A72" s="113"/>
      <c r="H72" s="114"/>
    </row>
    <row r="73" ht="15.75" customHeight="1">
      <c r="A73" s="113"/>
      <c r="H73" s="114"/>
    </row>
    <row r="74" ht="15.75" customHeight="1">
      <c r="A74" s="61"/>
      <c r="B74" s="62"/>
      <c r="C74" s="62"/>
      <c r="D74" s="62"/>
      <c r="E74" s="62"/>
      <c r="F74" s="62"/>
      <c r="G74" s="62"/>
      <c r="H74" s="63"/>
    </row>
    <row r="75" ht="15.75" customHeight="1"/>
    <row r="76" ht="15.75" customHeight="1"/>
    <row r="77" ht="15.75" customHeight="1">
      <c r="A77" s="99" t="s">
        <v>316</v>
      </c>
      <c r="E77" s="91" t="s">
        <v>190</v>
      </c>
      <c r="F77" s="100">
        <v>2.0</v>
      </c>
      <c r="G77" s="91" t="s">
        <v>268</v>
      </c>
      <c r="H77" s="100">
        <v>6.0</v>
      </c>
    </row>
    <row r="78" ht="15.75" customHeight="1">
      <c r="A78" s="111" t="s">
        <v>280</v>
      </c>
    </row>
    <row r="79" ht="15.75" customHeight="1">
      <c r="A79" s="105" t="s">
        <v>202</v>
      </c>
      <c r="B79" s="88" t="s">
        <v>141</v>
      </c>
      <c r="C79" s="33"/>
      <c r="D79" s="33"/>
      <c r="E79" s="33"/>
      <c r="F79" s="33"/>
      <c r="G79" s="33"/>
      <c r="H79" s="34"/>
    </row>
    <row r="80" ht="15.75" customHeight="1">
      <c r="A80" s="105" t="s">
        <v>202</v>
      </c>
      <c r="B80" s="77"/>
      <c r="C80" s="33"/>
      <c r="D80" s="33"/>
      <c r="E80" s="33"/>
      <c r="F80" s="33"/>
      <c r="G80" s="33"/>
      <c r="H80" s="34"/>
    </row>
    <row r="81" ht="15.75" customHeight="1">
      <c r="A81" s="105" t="s">
        <v>202</v>
      </c>
      <c r="B81" s="77"/>
      <c r="C81" s="33"/>
      <c r="D81" s="33"/>
      <c r="E81" s="33"/>
      <c r="F81" s="33"/>
      <c r="G81" s="33"/>
      <c r="H81" s="34"/>
    </row>
    <row r="82" ht="15.75" customHeight="1">
      <c r="A82" s="105" t="s">
        <v>269</v>
      </c>
      <c r="B82" s="88" t="s">
        <v>317</v>
      </c>
      <c r="C82" s="33"/>
      <c r="D82" s="33"/>
      <c r="E82" s="33"/>
      <c r="F82" s="33"/>
      <c r="G82" s="33"/>
      <c r="H82" s="34"/>
    </row>
    <row r="83" ht="15.75" customHeight="1">
      <c r="A83" s="101" t="s">
        <v>271</v>
      </c>
      <c r="B83" s="33"/>
      <c r="C83" s="33"/>
      <c r="D83" s="33"/>
      <c r="E83" s="33"/>
      <c r="F83" s="33"/>
      <c r="G83" s="33"/>
      <c r="H83" s="34"/>
    </row>
    <row r="84" ht="15.75" customHeight="1">
      <c r="A84" s="102" t="s">
        <v>318</v>
      </c>
      <c r="B84" s="59"/>
      <c r="C84" s="59"/>
      <c r="D84" s="59"/>
      <c r="E84" s="59"/>
      <c r="F84" s="59"/>
      <c r="G84" s="59"/>
      <c r="H84" s="60"/>
    </row>
    <row r="85" ht="15.75" customHeight="1">
      <c r="A85" s="113"/>
      <c r="H85" s="114"/>
    </row>
    <row r="86" ht="15.75" customHeight="1">
      <c r="A86" s="61"/>
      <c r="B86" s="62"/>
      <c r="C86" s="62"/>
      <c r="D86" s="62"/>
      <c r="E86" s="62"/>
      <c r="F86" s="62"/>
      <c r="G86" s="62"/>
      <c r="H86" s="63"/>
    </row>
    <row r="87" ht="15.75" customHeight="1">
      <c r="A87" s="101" t="s">
        <v>273</v>
      </c>
      <c r="B87" s="33"/>
      <c r="C87" s="33"/>
      <c r="D87" s="33"/>
      <c r="E87" s="33"/>
      <c r="F87" s="33"/>
      <c r="G87" s="33"/>
      <c r="H87" s="34"/>
    </row>
    <row r="88" ht="15.75" customHeight="1">
      <c r="A88" s="102" t="s">
        <v>319</v>
      </c>
      <c r="B88" s="59"/>
      <c r="C88" s="59"/>
      <c r="D88" s="59"/>
      <c r="E88" s="59"/>
      <c r="F88" s="59"/>
      <c r="G88" s="59"/>
      <c r="H88" s="60"/>
    </row>
    <row r="89" ht="15.75" customHeight="1">
      <c r="A89" s="113"/>
      <c r="H89" s="114"/>
    </row>
    <row r="90" ht="15.75" customHeight="1">
      <c r="A90" s="113"/>
      <c r="H90" s="114"/>
    </row>
    <row r="91" ht="15.75" customHeight="1">
      <c r="A91" s="61"/>
      <c r="B91" s="62"/>
      <c r="C91" s="62"/>
      <c r="D91" s="62"/>
      <c r="E91" s="62"/>
      <c r="F91" s="62"/>
      <c r="G91" s="62"/>
      <c r="H91" s="63"/>
    </row>
    <row r="92" ht="15.75" customHeight="1"/>
    <row r="93" ht="15.75" customHeight="1"/>
    <row r="94" ht="15.75" customHeight="1">
      <c r="A94" s="99" t="s">
        <v>320</v>
      </c>
      <c r="E94" s="91" t="s">
        <v>190</v>
      </c>
      <c r="F94" s="100">
        <v>2.0</v>
      </c>
      <c r="G94" s="91" t="s">
        <v>268</v>
      </c>
      <c r="H94" s="100">
        <v>3.0</v>
      </c>
    </row>
    <row r="95" ht="15.75" customHeight="1">
      <c r="A95" s="111" t="s">
        <v>280</v>
      </c>
    </row>
    <row r="96" ht="15.75" customHeight="1">
      <c r="A96" s="105" t="s">
        <v>202</v>
      </c>
      <c r="B96" s="88" t="s">
        <v>127</v>
      </c>
      <c r="C96" s="33"/>
      <c r="D96" s="33"/>
      <c r="E96" s="33"/>
      <c r="F96" s="33"/>
      <c r="G96" s="33"/>
      <c r="H96" s="34"/>
    </row>
    <row r="97" ht="15.75" customHeight="1">
      <c r="A97" s="105" t="s">
        <v>202</v>
      </c>
      <c r="B97" s="88" t="s">
        <v>141</v>
      </c>
      <c r="C97" s="33"/>
      <c r="D97" s="33"/>
      <c r="E97" s="33"/>
      <c r="F97" s="33"/>
      <c r="G97" s="33"/>
      <c r="H97" s="34"/>
    </row>
    <row r="98" ht="15.75" customHeight="1">
      <c r="A98" s="105" t="s">
        <v>202</v>
      </c>
      <c r="B98" s="88" t="s">
        <v>148</v>
      </c>
      <c r="C98" s="33"/>
      <c r="D98" s="33"/>
      <c r="E98" s="33"/>
      <c r="F98" s="33"/>
      <c r="G98" s="33"/>
      <c r="H98" s="34"/>
    </row>
    <row r="99" ht="15.75" customHeight="1">
      <c r="A99" s="105" t="s">
        <v>269</v>
      </c>
      <c r="B99" s="88" t="s">
        <v>321</v>
      </c>
      <c r="C99" s="33"/>
      <c r="D99" s="33"/>
      <c r="E99" s="33"/>
      <c r="F99" s="33"/>
      <c r="G99" s="33"/>
      <c r="H99" s="34"/>
    </row>
    <row r="100" ht="15.75" customHeight="1">
      <c r="A100" s="101" t="s">
        <v>271</v>
      </c>
      <c r="B100" s="33"/>
      <c r="C100" s="33"/>
      <c r="D100" s="33"/>
      <c r="E100" s="33"/>
      <c r="F100" s="33"/>
      <c r="G100" s="33"/>
      <c r="H100" s="34"/>
    </row>
    <row r="101" ht="15.75" customHeight="1">
      <c r="A101" s="102" t="s">
        <v>322</v>
      </c>
      <c r="B101" s="59"/>
      <c r="C101" s="59"/>
      <c r="D101" s="59"/>
      <c r="E101" s="59"/>
      <c r="F101" s="59"/>
      <c r="G101" s="59"/>
      <c r="H101" s="60"/>
    </row>
    <row r="102" ht="15.75" customHeight="1">
      <c r="A102" s="113"/>
      <c r="H102" s="114"/>
    </row>
    <row r="103" ht="15.75" customHeight="1">
      <c r="A103" s="61"/>
      <c r="B103" s="62"/>
      <c r="C103" s="62"/>
      <c r="D103" s="62"/>
      <c r="E103" s="62"/>
      <c r="F103" s="62"/>
      <c r="G103" s="62"/>
      <c r="H103" s="63"/>
    </row>
    <row r="104" ht="15.75" customHeight="1">
      <c r="A104" s="101" t="s">
        <v>273</v>
      </c>
      <c r="B104" s="33"/>
      <c r="C104" s="33"/>
      <c r="D104" s="33"/>
      <c r="E104" s="33"/>
      <c r="F104" s="33"/>
      <c r="G104" s="33"/>
      <c r="H104" s="34"/>
    </row>
    <row r="105" ht="15.75" customHeight="1">
      <c r="A105" s="102" t="s">
        <v>323</v>
      </c>
      <c r="B105" s="59"/>
      <c r="C105" s="59"/>
      <c r="D105" s="59"/>
      <c r="E105" s="59"/>
      <c r="F105" s="59"/>
      <c r="G105" s="59"/>
      <c r="H105" s="60"/>
    </row>
    <row r="106" ht="15.75" customHeight="1">
      <c r="A106" s="113"/>
      <c r="H106" s="114"/>
    </row>
    <row r="107" ht="15.75" customHeight="1">
      <c r="A107" s="113"/>
      <c r="H107" s="114"/>
    </row>
    <row r="108" ht="15.75" customHeight="1">
      <c r="A108" s="61"/>
      <c r="B108" s="62"/>
      <c r="C108" s="62"/>
      <c r="D108" s="62"/>
      <c r="E108" s="62"/>
      <c r="F108" s="62"/>
      <c r="G108" s="62"/>
      <c r="H108" s="63"/>
    </row>
    <row r="109" ht="15.75" customHeight="1"/>
    <row r="110" ht="15.75" customHeight="1"/>
    <row r="111" ht="15.75" customHeight="1">
      <c r="A111" s="99" t="s">
        <v>324</v>
      </c>
      <c r="E111" s="91" t="s">
        <v>190</v>
      </c>
      <c r="F111" s="103"/>
      <c r="G111" s="91" t="s">
        <v>268</v>
      </c>
      <c r="H111" s="103"/>
    </row>
    <row r="112" ht="15.75" customHeight="1">
      <c r="A112" s="111" t="s">
        <v>280</v>
      </c>
    </row>
    <row r="113" ht="15.75" customHeight="1">
      <c r="A113" s="105" t="s">
        <v>202</v>
      </c>
      <c r="B113" s="77"/>
      <c r="C113" s="33"/>
      <c r="D113" s="33"/>
      <c r="E113" s="33"/>
      <c r="F113" s="33"/>
      <c r="G113" s="33"/>
      <c r="H113" s="34"/>
    </row>
    <row r="114" ht="15.75" customHeight="1">
      <c r="A114" s="105" t="s">
        <v>202</v>
      </c>
      <c r="B114" s="77"/>
      <c r="C114" s="33"/>
      <c r="D114" s="33"/>
      <c r="E114" s="33"/>
      <c r="F114" s="33"/>
      <c r="G114" s="33"/>
      <c r="H114" s="34"/>
    </row>
    <row r="115" ht="15.75" customHeight="1">
      <c r="A115" s="105" t="s">
        <v>202</v>
      </c>
      <c r="B115" s="77"/>
      <c r="C115" s="33"/>
      <c r="D115" s="33"/>
      <c r="E115" s="33"/>
      <c r="F115" s="33"/>
      <c r="G115" s="33"/>
      <c r="H115" s="34"/>
    </row>
    <row r="116" ht="15.75" customHeight="1">
      <c r="A116" s="105" t="s">
        <v>269</v>
      </c>
      <c r="B116" s="77"/>
      <c r="C116" s="33"/>
      <c r="D116" s="33"/>
      <c r="E116" s="33"/>
      <c r="F116" s="33"/>
      <c r="G116" s="33"/>
      <c r="H116" s="34"/>
    </row>
    <row r="117" ht="15.75" customHeight="1">
      <c r="A117" s="101" t="s">
        <v>271</v>
      </c>
      <c r="B117" s="33"/>
      <c r="C117" s="33"/>
      <c r="D117" s="33"/>
      <c r="E117" s="33"/>
      <c r="F117" s="33"/>
      <c r="G117" s="33"/>
      <c r="H117" s="34"/>
    </row>
    <row r="118" ht="15.75" customHeight="1">
      <c r="A118" s="112"/>
      <c r="B118" s="59"/>
      <c r="C118" s="59"/>
      <c r="D118" s="59"/>
      <c r="E118" s="59"/>
      <c r="F118" s="59"/>
      <c r="G118" s="59"/>
      <c r="H118" s="60"/>
    </row>
    <row r="119" ht="15.75" customHeight="1">
      <c r="A119" s="113"/>
      <c r="H119" s="114"/>
    </row>
    <row r="120" ht="15.75" customHeight="1">
      <c r="A120" s="61"/>
      <c r="B120" s="62"/>
      <c r="C120" s="62"/>
      <c r="D120" s="62"/>
      <c r="E120" s="62"/>
      <c r="F120" s="62"/>
      <c r="G120" s="62"/>
      <c r="H120" s="63"/>
    </row>
    <row r="121" ht="15.75" customHeight="1">
      <c r="A121" s="101" t="s">
        <v>273</v>
      </c>
      <c r="B121" s="33"/>
      <c r="C121" s="33"/>
      <c r="D121" s="33"/>
      <c r="E121" s="33"/>
      <c r="F121" s="33"/>
      <c r="G121" s="33"/>
      <c r="H121" s="34"/>
    </row>
    <row r="122" ht="15.75" customHeight="1">
      <c r="A122" s="112"/>
      <c r="B122" s="59"/>
      <c r="C122" s="59"/>
      <c r="D122" s="59"/>
      <c r="E122" s="59"/>
      <c r="F122" s="59"/>
      <c r="G122" s="59"/>
      <c r="H122" s="60"/>
    </row>
    <row r="123" ht="15.75" customHeight="1">
      <c r="A123" s="113"/>
      <c r="H123" s="114"/>
    </row>
    <row r="124" ht="15.75" customHeight="1">
      <c r="A124" s="113"/>
      <c r="H124" s="114"/>
    </row>
    <row r="125" ht="15.75" customHeight="1">
      <c r="A125" s="61"/>
      <c r="B125" s="62"/>
      <c r="C125" s="62"/>
      <c r="D125" s="62"/>
      <c r="E125" s="62"/>
      <c r="F125" s="62"/>
      <c r="G125" s="62"/>
      <c r="H125" s="63"/>
    </row>
    <row r="126" ht="15.75" customHeight="1"/>
    <row r="127" ht="15.75" customHeight="1"/>
    <row r="128" ht="15.75" customHeight="1">
      <c r="A128" s="99" t="s">
        <v>325</v>
      </c>
      <c r="E128" s="91" t="s">
        <v>190</v>
      </c>
      <c r="F128" s="103"/>
      <c r="G128" s="91" t="s">
        <v>268</v>
      </c>
      <c r="H128" s="103"/>
    </row>
    <row r="129" ht="15.75" customHeight="1">
      <c r="A129" s="111" t="s">
        <v>280</v>
      </c>
    </row>
    <row r="130" ht="15.75" customHeight="1">
      <c r="A130" s="105" t="s">
        <v>202</v>
      </c>
      <c r="B130" s="77"/>
      <c r="C130" s="33"/>
      <c r="D130" s="33"/>
      <c r="E130" s="33"/>
      <c r="F130" s="33"/>
      <c r="G130" s="33"/>
      <c r="H130" s="34"/>
    </row>
    <row r="131" ht="15.75" customHeight="1">
      <c r="A131" s="105" t="s">
        <v>202</v>
      </c>
      <c r="B131" s="77"/>
      <c r="C131" s="33"/>
      <c r="D131" s="33"/>
      <c r="E131" s="33"/>
      <c r="F131" s="33"/>
      <c r="G131" s="33"/>
      <c r="H131" s="34"/>
    </row>
    <row r="132" ht="15.75" customHeight="1">
      <c r="A132" s="105" t="s">
        <v>202</v>
      </c>
      <c r="B132" s="77"/>
      <c r="C132" s="33"/>
      <c r="D132" s="33"/>
      <c r="E132" s="33"/>
      <c r="F132" s="33"/>
      <c r="G132" s="33"/>
      <c r="H132" s="34"/>
    </row>
    <row r="133" ht="15.75" customHeight="1">
      <c r="A133" s="105" t="s">
        <v>269</v>
      </c>
      <c r="B133" s="77"/>
      <c r="C133" s="33"/>
      <c r="D133" s="33"/>
      <c r="E133" s="33"/>
      <c r="F133" s="33"/>
      <c r="G133" s="33"/>
      <c r="H133" s="34"/>
    </row>
    <row r="134" ht="15.75" customHeight="1">
      <c r="A134" s="101" t="s">
        <v>271</v>
      </c>
      <c r="B134" s="33"/>
      <c r="C134" s="33"/>
      <c r="D134" s="33"/>
      <c r="E134" s="33"/>
      <c r="F134" s="33"/>
      <c r="G134" s="33"/>
      <c r="H134" s="34"/>
    </row>
    <row r="135" ht="15.75" customHeight="1">
      <c r="A135" s="112"/>
      <c r="B135" s="59"/>
      <c r="C135" s="59"/>
      <c r="D135" s="59"/>
      <c r="E135" s="59"/>
      <c r="F135" s="59"/>
      <c r="G135" s="59"/>
      <c r="H135" s="60"/>
    </row>
    <row r="136" ht="15.75" customHeight="1">
      <c r="A136" s="113"/>
      <c r="H136" s="114"/>
    </row>
    <row r="137" ht="15.75" customHeight="1">
      <c r="A137" s="61"/>
      <c r="B137" s="62"/>
      <c r="C137" s="62"/>
      <c r="D137" s="62"/>
      <c r="E137" s="62"/>
      <c r="F137" s="62"/>
      <c r="G137" s="62"/>
      <c r="H137" s="63"/>
    </row>
    <row r="138" ht="15.75" customHeight="1">
      <c r="A138" s="101" t="s">
        <v>273</v>
      </c>
      <c r="B138" s="33"/>
      <c r="C138" s="33"/>
      <c r="D138" s="33"/>
      <c r="E138" s="33"/>
      <c r="F138" s="33"/>
      <c r="G138" s="33"/>
      <c r="H138" s="34"/>
    </row>
    <row r="139" ht="15.75" customHeight="1">
      <c r="A139" s="112"/>
      <c r="B139" s="59"/>
      <c r="C139" s="59"/>
      <c r="D139" s="59"/>
      <c r="E139" s="59"/>
      <c r="F139" s="59"/>
      <c r="G139" s="59"/>
      <c r="H139" s="60"/>
    </row>
    <row r="140" ht="15.75" customHeight="1">
      <c r="A140" s="113"/>
      <c r="H140" s="114"/>
    </row>
    <row r="141" ht="15.75" customHeight="1">
      <c r="A141" s="113"/>
      <c r="H141" s="114"/>
    </row>
    <row r="142" ht="15.75" customHeight="1">
      <c r="A142" s="61"/>
      <c r="B142" s="62"/>
      <c r="C142" s="62"/>
      <c r="D142" s="62"/>
      <c r="E142" s="62"/>
      <c r="F142" s="62"/>
      <c r="G142" s="62"/>
      <c r="H142" s="63"/>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B130:B132">
      <formula1>Metadata!$B$2:$B$40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6" t="s">
        <v>326</v>
      </c>
      <c r="B1" s="6" t="s">
        <v>327</v>
      </c>
      <c r="C1" s="6" t="s">
        <v>20</v>
      </c>
      <c r="D1" s="6" t="s">
        <v>21</v>
      </c>
    </row>
    <row r="2">
      <c r="A2" s="6" t="s">
        <v>328</v>
      </c>
      <c r="B2" s="6" t="str">
        <f>Competencias!C13</f>
        <v>Analiza los fundamentos del hardware, software y arquitectura computacional mediante el ciclo fetch-decode-execute, sistemas de numeración y codificación de información para establecer la base conceptual del procesamiento y flujo de datos en sistemas computacionales </v>
      </c>
      <c r="C2" s="30" t="s">
        <v>329</v>
      </c>
      <c r="D2" s="30" t="s">
        <v>23</v>
      </c>
    </row>
    <row r="3">
      <c r="A3" s="6" t="s">
        <v>330</v>
      </c>
      <c r="B3" s="6" t="str">
        <f>Competencias!C15</f>
        <v>Identifica los componentes físicos y lógicos de un sistema computacional utilizando el modelo de Von Neumann y la clasificación de software por categorías para distinguir la función de cada elemento dentro de la arquitectura de procesamiento </v>
      </c>
      <c r="C3" s="30" t="s">
        <v>331</v>
      </c>
      <c r="D3" s="30" t="s">
        <v>27</v>
      </c>
    </row>
    <row r="4">
      <c r="A4" s="6" t="s">
        <v>332</v>
      </c>
      <c r="B4" s="6" t="str">
        <f>Competencias!C17</f>
        <v>Convierte valores numéricos entre sistemas de numeración decimal, binario, octal y hexadecimal aplicando los métodos de conversión posicional y los estándares de codificación ASCII, UNICODE e ISO-8859 para representar datos primitivos, imágenes, audio y video en formato digital </v>
      </c>
      <c r="C4" s="30" t="s">
        <v>22</v>
      </c>
      <c r="D4" s="30" t="s">
        <v>333</v>
      </c>
    </row>
    <row r="5">
      <c r="A5" s="6" t="s">
        <v>334</v>
      </c>
      <c r="B5" s="6" t="str">
        <f>Competencias!C19</f>
        <v>Descompone problemas computacionales en subproblemas definidos mediante técnicas de descomposición, reconocimiento de patrones y abstracción para estructurar soluciones algorítmicas a partir de instancias y contextos concretos </v>
      </c>
      <c r="C5" s="30" t="s">
        <v>26</v>
      </c>
      <c r="D5" s="30" t="s">
        <v>335</v>
      </c>
    </row>
    <row r="6">
      <c r="A6" s="6" t="s">
        <v>336</v>
      </c>
      <c r="B6" s="6" t="str">
        <f>Competencias!C21</f>
        <v>Diseña algoritmos que resuelven problemas determinísticos, condicionales y cíclicos empleando estructuras de control secuenciales, condicionales y repetitivas en pseudocódigo para producir soluciones correctas, legibles y verificables en un entorno de desarrollo introductorio </v>
      </c>
      <c r="C6" s="30" t="s">
        <v>24</v>
      </c>
      <c r="D6" s="30" t="s">
        <v>337</v>
      </c>
    </row>
    <row r="7">
      <c r="A7" s="6" t="s">
        <v>338</v>
      </c>
      <c r="B7" s="6" t="str">
        <f>Competencias!C23</f>
        <v>Implementa algoritmos con manejo de arreglos unidimensionales y multidimensionales utilizando herramientas de pseudocódigo y diagramas de flujo para representar y administrar colecciones de datos de forma estructurada </v>
      </c>
      <c r="C7" s="30" t="s">
        <v>339</v>
      </c>
      <c r="D7" s="30" t="s">
        <v>25</v>
      </c>
    </row>
    <row r="8">
      <c r="A8" s="6" t="s">
        <v>340</v>
      </c>
      <c r="B8" s="6" t="str">
        <f>Competencias!C25</f>
        <v>Evalúa la calidad y corrección de algoritmos propios y de pares aplicando criterios de claridad, eficiencia estructural y conformidad con las características de un buen algoritmo para mejorar la solución antes de su implementación en un lenguaje de programación formal </v>
      </c>
      <c r="C8" s="30" t="s">
        <v>341</v>
      </c>
      <c r="D8" s="30" t="s">
        <v>342</v>
      </c>
    </row>
    <row r="9">
      <c r="A9" s="6" t="s">
        <v>343</v>
      </c>
      <c r="C9" s="30" t="s">
        <v>344</v>
      </c>
    </row>
    <row r="10">
      <c r="A10" s="6" t="s">
        <v>345</v>
      </c>
      <c r="C10" s="30" t="s">
        <v>346</v>
      </c>
    </row>
    <row r="11">
      <c r="A11" s="6" t="s">
        <v>347</v>
      </c>
    </row>
    <row r="12">
      <c r="A12" s="6" t="s">
        <v>348</v>
      </c>
    </row>
    <row r="13">
      <c r="A13" s="6" t="s">
        <v>349</v>
      </c>
    </row>
    <row r="14">
      <c r="A14" s="6" t="s">
        <v>350</v>
      </c>
    </row>
    <row r="15">
      <c r="A15" s="6" t="s">
        <v>351</v>
      </c>
    </row>
    <row r="16">
      <c r="A16" s="6" t="s">
        <v>352</v>
      </c>
    </row>
    <row r="17">
      <c r="A17" s="6" t="s">
        <v>353</v>
      </c>
    </row>
    <row r="18">
      <c r="A18" s="6" t="s">
        <v>354</v>
      </c>
    </row>
    <row r="19">
      <c r="A19" s="6" t="s">
        <v>355</v>
      </c>
    </row>
    <row r="20">
      <c r="A20" s="6" t="s">
        <v>356</v>
      </c>
    </row>
    <row r="21">
      <c r="A21" s="6" t="s">
        <v>357</v>
      </c>
    </row>
    <row r="22">
      <c r="A22" s="6" t="s">
        <v>358</v>
      </c>
    </row>
    <row r="23">
      <c r="A23" s="6" t="s">
        <v>359</v>
      </c>
    </row>
    <row r="24">
      <c r="A24" s="6" t="s">
        <v>360</v>
      </c>
    </row>
    <row r="25">
      <c r="A25" s="6" t="s">
        <v>361</v>
      </c>
    </row>
    <row r="26">
      <c r="A26" s="6" t="s">
        <v>362</v>
      </c>
    </row>
    <row r="27">
      <c r="A27" s="6" t="s">
        <v>363</v>
      </c>
    </row>
    <row r="28">
      <c r="A28" s="6" t="s">
        <v>364</v>
      </c>
    </row>
    <row r="29">
      <c r="A29" s="6" t="s">
        <v>365</v>
      </c>
    </row>
    <row r="30">
      <c r="A30" s="6" t="s">
        <v>366</v>
      </c>
    </row>
    <row r="31">
      <c r="A31" s="6" t="s">
        <v>367</v>
      </c>
    </row>
    <row r="32">
      <c r="A32" s="6" t="s">
        <v>368</v>
      </c>
    </row>
    <row r="33">
      <c r="A33" s="6" t="s">
        <v>369</v>
      </c>
    </row>
    <row r="34">
      <c r="A34" s="6" t="s">
        <v>370</v>
      </c>
    </row>
    <row r="35">
      <c r="A35" s="6" t="s">
        <v>371</v>
      </c>
    </row>
    <row r="36">
      <c r="A36" s="6" t="s">
        <v>372</v>
      </c>
    </row>
    <row r="37">
      <c r="A37" s="6" t="s">
        <v>373</v>
      </c>
    </row>
    <row r="38">
      <c r="A38" s="6" t="s">
        <v>374</v>
      </c>
    </row>
    <row r="39">
      <c r="A39" s="6" t="s">
        <v>375</v>
      </c>
    </row>
    <row r="40">
      <c r="A40" s="6" t="s">
        <v>376</v>
      </c>
    </row>
    <row r="41">
      <c r="A41" s="6" t="s">
        <v>377</v>
      </c>
    </row>
    <row r="42">
      <c r="A42" s="6" t="s">
        <v>378</v>
      </c>
    </row>
    <row r="43">
      <c r="A43" s="6" t="s">
        <v>379</v>
      </c>
    </row>
    <row r="44">
      <c r="A44" s="6" t="s">
        <v>380</v>
      </c>
    </row>
    <row r="45">
      <c r="A45" s="6" t="s">
        <v>381</v>
      </c>
    </row>
    <row r="46">
      <c r="A46" s="6" t="s">
        <v>382</v>
      </c>
    </row>
    <row r="47">
      <c r="A47" s="6" t="s">
        <v>383</v>
      </c>
    </row>
    <row r="48">
      <c r="A48" s="6" t="s">
        <v>384</v>
      </c>
    </row>
    <row r="49">
      <c r="A49" s="6" t="s">
        <v>385</v>
      </c>
    </row>
    <row r="50">
      <c r="A50" s="6" t="s">
        <v>386</v>
      </c>
    </row>
    <row r="51">
      <c r="A51" s="6" t="s">
        <v>387</v>
      </c>
    </row>
    <row r="52">
      <c r="A52" s="6" t="s">
        <v>388</v>
      </c>
    </row>
    <row r="53">
      <c r="A53" s="6" t="s">
        <v>389</v>
      </c>
    </row>
    <row r="54">
      <c r="A54" s="6" t="s">
        <v>390</v>
      </c>
    </row>
    <row r="55">
      <c r="A55" s="6" t="s">
        <v>391</v>
      </c>
    </row>
    <row r="56">
      <c r="A56" s="6" t="s">
        <v>392</v>
      </c>
    </row>
    <row r="57">
      <c r="A57" s="6" t="s">
        <v>393</v>
      </c>
    </row>
    <row r="58">
      <c r="A58" s="6" t="s">
        <v>394</v>
      </c>
    </row>
    <row r="59">
      <c r="A59" s="6" t="s">
        <v>395</v>
      </c>
    </row>
    <row r="60">
      <c r="A60" s="6" t="s">
        <v>396</v>
      </c>
    </row>
    <row r="61">
      <c r="A61" s="6" t="s">
        <v>397</v>
      </c>
    </row>
    <row r="62">
      <c r="A62" s="6" t="s">
        <v>398</v>
      </c>
    </row>
    <row r="63">
      <c r="A63" s="6" t="s">
        <v>399</v>
      </c>
    </row>
    <row r="64">
      <c r="A64" s="6" t="s">
        <v>400</v>
      </c>
    </row>
    <row r="65">
      <c r="A65" s="6" t="s">
        <v>401</v>
      </c>
    </row>
    <row r="66">
      <c r="A66" s="6" t="s">
        <v>402</v>
      </c>
    </row>
    <row r="67">
      <c r="A67" s="6" t="s">
        <v>403</v>
      </c>
    </row>
    <row r="68">
      <c r="A68" s="6" t="s">
        <v>404</v>
      </c>
    </row>
    <row r="69">
      <c r="A69" s="6" t="s">
        <v>405</v>
      </c>
    </row>
    <row r="70">
      <c r="A70" s="6" t="s">
        <v>406</v>
      </c>
    </row>
    <row r="71">
      <c r="A71" s="6" t="s">
        <v>407</v>
      </c>
    </row>
    <row r="72">
      <c r="A72" s="6" t="s">
        <v>408</v>
      </c>
    </row>
    <row r="73">
      <c r="A73" s="6" t="s">
        <v>409</v>
      </c>
    </row>
    <row r="74">
      <c r="A74" s="6" t="s">
        <v>410</v>
      </c>
    </row>
    <row r="75">
      <c r="A75" s="6" t="s">
        <v>411</v>
      </c>
    </row>
    <row r="76">
      <c r="A76" s="6" t="s">
        <v>412</v>
      </c>
    </row>
    <row r="77">
      <c r="A77" s="6" t="s">
        <v>413</v>
      </c>
    </row>
    <row r="78">
      <c r="A78" s="6" t="s">
        <v>414</v>
      </c>
    </row>
    <row r="79">
      <c r="A79" s="6" t="s">
        <v>415</v>
      </c>
    </row>
    <row r="80">
      <c r="A80" s="6" t="s">
        <v>2</v>
      </c>
    </row>
    <row r="81">
      <c r="A81" s="6" t="s">
        <v>416</v>
      </c>
    </row>
  </sheetData>
  <drawing r:id="rId1"/>
</worksheet>
</file>