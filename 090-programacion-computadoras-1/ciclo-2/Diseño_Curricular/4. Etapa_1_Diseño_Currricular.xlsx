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Metadata" sheetId="14" r:id="rId17"/>
    <sheet state="visible" name="Proyectos" sheetId="15" r:id="rId18"/>
    <sheet state="visible" name="Practicas" sheetId="16" r:id="rId19"/>
    <sheet state="visible" name="Tareas" sheetId="17" r:id="rId20"/>
    <sheet state="visible" name="Resumen de Ponderaciones" sheetId="18" r:id="rId21"/>
  </sheets>
  <definedNames/>
  <calcPr/>
</workbook>
</file>

<file path=xl/sharedStrings.xml><?xml version="1.0" encoding="utf-8"?>
<sst xmlns="http://schemas.openxmlformats.org/spreadsheetml/2006/main" count="1142" uniqueCount="220">
  <si>
    <t>Curso</t>
  </si>
  <si>
    <t>90 - Programacion de Computadoras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</si>
  <si>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</si>
  <si>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</si>
  <si>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</si>
  <si>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</si>
  <si>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</si>
  <si>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</si>
  <si>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</si>
  <si>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</si>
  <si>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Aplica conceptos fundamentales de programación mediante ejercicios prácticos y análisis de código, en entornos virtuales de laboratorio para desarrollar el pensamiento lógico y computacional </t>
  </si>
  <si>
    <t>Inicio y Diagnóstico</t>
  </si>
  <si>
    <t>¿Qué es la programación?</t>
  </si>
  <si>
    <t>Julio</t>
  </si>
  <si>
    <t>¿Qué es un lenguaje de programación?</t>
  </si>
  <si>
    <t>Variables y tipos de variables</t>
  </si>
  <si>
    <t>Tipos de variables</t>
  </si>
  <si>
    <t>Estructuras de control</t>
  </si>
  <si>
    <t>Condiciones en programación</t>
  </si>
  <si>
    <t>Ejemplos prácticos de estructuras de control</t>
  </si>
  <si>
    <t>Introducción a las máquinas virtuales</t>
  </si>
  <si>
    <t xml:space="preserve">Evalúa resultados obtenidos en procesos de programación y ofimática utilizando pruebas de funcionamiento, revisión crítica de errores y optimización de recursos bajo criterios de funcionalidad y eficiencia </t>
  </si>
  <si>
    <t>Maquinas Virtuales</t>
  </si>
  <si>
    <t>Instalación de VirtualBox</t>
  </si>
  <si>
    <t>Configuración de la VM</t>
  </si>
  <si>
    <t>Requisitos mínimos para la VM</t>
  </si>
  <si>
    <t>Uso del DTT en el entorno de desarrollo</t>
  </si>
  <si>
    <t>Práctica en pareja con VM</t>
  </si>
  <si>
    <t>Resolución de dudas en foros</t>
  </si>
  <si>
    <t xml:space="preserve">Integra  herramientas de ofimática  como Word, Excel, PowerPoint y Access en la resolución de tareas y proyectos con base en situaciones académicas y laborales comunes </t>
  </si>
  <si>
    <t>Introducción al Paquete Microsoft Office</t>
  </si>
  <si>
    <t>Lectura General Microsoft  Office</t>
  </si>
  <si>
    <t>Agosto</t>
  </si>
  <si>
    <t>Lectura General Microsoft  Word</t>
  </si>
  <si>
    <t>Lectura General Microsoft  Excel</t>
  </si>
  <si>
    <t>Lectura General Microsoft  Power Point</t>
  </si>
  <si>
    <t>Lectura General Microsoft  Access</t>
  </si>
  <si>
    <t>Lectura de la práctica única</t>
  </si>
  <si>
    <t>preguntas y dudas</t>
  </si>
  <si>
    <t>Herramientas de Excel</t>
  </si>
  <si>
    <t>Manipulación de celdas</t>
  </si>
  <si>
    <t>Fórmulas</t>
  </si>
  <si>
    <t>Funciones</t>
  </si>
  <si>
    <t>Creación de gráficos</t>
  </si>
  <si>
    <t>Análisis de datos en Excel</t>
  </si>
  <si>
    <t>Uso de tablas dinámicas</t>
  </si>
  <si>
    <t>Ejemplos practicos</t>
  </si>
  <si>
    <t xml:space="preserve">Diseña macros automatizadas en hojas de cálculo utilizando Visual Basic para Aplicaciones (VBA) mediante la implementación de funciones y ciclos condicionales con conexión a bases de datos para optimizar tareas repetitivas </t>
  </si>
  <si>
    <t>Integración de formularios y tablas en VBA</t>
  </si>
  <si>
    <t>Importar y Exportar Excel con macros</t>
  </si>
  <si>
    <t>Funcion de programador en Excel</t>
  </si>
  <si>
    <t>Formularios en excel con VBA</t>
  </si>
  <si>
    <t>Creación de macros en Excel</t>
  </si>
  <si>
    <t>Automatización con macros</t>
  </si>
  <si>
    <t>Asignar macros a controles en excel</t>
  </si>
  <si>
    <t>Ejemplos prácticos de formularios</t>
  </si>
  <si>
    <t xml:space="preserve">Formula consultas en bases de datos relacionales empleando herramientas de Access y modelos entidad-relación bajo criterios de integridad y relaciones correctas para organizar y extraer información relevante </t>
  </si>
  <si>
    <t>Diseño de Bases de Datos</t>
  </si>
  <si>
    <t>¿Qué es un diagrama ER?</t>
  </si>
  <si>
    <t>Propósito de los diagramas ER</t>
  </si>
  <si>
    <t>Entidades y atributos</t>
  </si>
  <si>
    <t>Relaciones entre entidades</t>
  </si>
  <si>
    <t>Cardinalidad de las relaciones</t>
  </si>
  <si>
    <t>Tipos de relaciones (uno a uno, uno a muchos, etc.)</t>
  </si>
  <si>
    <t>Ejemplo práctico de un diagrama ER</t>
  </si>
  <si>
    <t>Introduccion a SQL</t>
  </si>
  <si>
    <t xml:space="preserve">Que es una sentencia de SQL </t>
  </si>
  <si>
    <t>Septiembre</t>
  </si>
  <si>
    <t>Cuales categorías se divide las sentencias</t>
  </si>
  <si>
    <t>Lectura de SQL General</t>
  </si>
  <si>
    <t>Ejemplos de sentencias DDL</t>
  </si>
  <si>
    <t>Ejemplos de sentencias DML</t>
  </si>
  <si>
    <t>Estructuras de las sentecias</t>
  </si>
  <si>
    <t>Ejemplo practico de una base de datos basado en el ER</t>
  </si>
  <si>
    <t>Implementación en Access</t>
  </si>
  <si>
    <t>Importancia de diagramas ER</t>
  </si>
  <si>
    <t>Creación de tablas</t>
  </si>
  <si>
    <t>Definición de campos y tipos de datos</t>
  </si>
  <si>
    <t>Relaciones entre tablas</t>
  </si>
  <si>
    <t>Creación de consultas en Access</t>
  </si>
  <si>
    <t>Formularios en Access</t>
  </si>
  <si>
    <t>Lectura de la proyecto único</t>
  </si>
  <si>
    <t xml:space="preserve">Crea soluciones digitales utilizando entornos de programación visual y aplicaciones de ofimática con estrategias de automatización básica y diseño de bases de datos	para resolver problemas reales de forma efectiva </t>
  </si>
  <si>
    <t xml:space="preserve">Introduccion a programacion en Visual Basic App </t>
  </si>
  <si>
    <t>¿Qué visual basic aplication?</t>
  </si>
  <si>
    <t>¿Para qué visual basic aplication?</t>
  </si>
  <si>
    <t>Que es la logica booleana</t>
  </si>
  <si>
    <t>Condicionales y estructuras de control</t>
  </si>
  <si>
    <t>Definicion de funciones, metodos y sus ambitos</t>
  </si>
  <si>
    <t>Ejemplo práctico</t>
  </si>
  <si>
    <t>Integracion de Acces con Excel por VBA</t>
  </si>
  <si>
    <t>Comunicion entre aplicaciones de microsoft</t>
  </si>
  <si>
    <t>Arq. Cliente servidor.</t>
  </si>
  <si>
    <t>Lectura conexion Excel y access</t>
  </si>
  <si>
    <t>Gestion de librerias</t>
  </si>
  <si>
    <t xml:space="preserve">Ejmplo Practico de conexion </t>
  </si>
  <si>
    <t>Conferencia del Curso</t>
  </si>
  <si>
    <t>Cuestionario sobre Conferencia</t>
  </si>
  <si>
    <t>Herramientas de Power BI</t>
  </si>
  <si>
    <t>¿Qué es Power BI?</t>
  </si>
  <si>
    <t>Octubre</t>
  </si>
  <si>
    <t>Conexión con orígenes de datos (Excel/Access)</t>
  </si>
  <si>
    <t>Visualizaciones básicas</t>
  </si>
  <si>
    <t>Creación de informes interactivos</t>
  </si>
  <si>
    <t>Conexiones con access</t>
  </si>
  <si>
    <t>Creacion de reportes</t>
  </si>
  <si>
    <t xml:space="preserve">Final del Curso        </t>
  </si>
  <si>
    <t>¿Qué es internet?</t>
  </si>
  <si>
    <t>Navegación en la web</t>
  </si>
  <si>
    <t>Revisión de notas</t>
  </si>
  <si>
    <t>Examen final</t>
  </si>
  <si>
    <t>Evaluación del curso</t>
  </si>
  <si>
    <t>Cierre del proyecto final</t>
  </si>
  <si>
    <t>Retroalimentación de los estudiantes</t>
  </si>
  <si>
    <t>Valores</t>
  </si>
  <si>
    <t>Responsabilidad: Cumplir con tareas y tiempos establecidos.
Honestidad: Realizar trabajos propios sin copiar.
Colaboración: Trabajar en equipo y ayudar a otros.
Disciplina: Usar correctamente las herramientas tecnológicas.
Creatividad: Buscar soluciones originales y prácticas.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</si>
  <si>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</si>
  <si>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</si>
  <si>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estudiante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</si>
  <si>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</si>
  <si>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</si>
  <si>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</si>
  <si>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</si>
  <si>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</si>
  <si>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</si>
  <si>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</si>
  <si>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</si>
  <si>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</si>
  <si>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</si>
  <si>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</si>
  <si>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</si>
  <si>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r>
      <rPr>
        <rFont val="Arial"/>
        <b/>
        <color theme="1"/>
      </rPr>
      <t>Responsabilidad</t>
    </r>
    <r>
      <rPr>
        <rFont val="Arial"/>
        <color theme="1"/>
      </rPr>
      <t xml:space="preserve">: Cumplir con tareas y tiempos establecidos.
</t>
    </r>
    <r>
      <rPr>
        <rFont val="Arial"/>
        <b/>
        <color theme="1"/>
      </rPr>
      <t>Honestidad</t>
    </r>
    <r>
      <rPr>
        <rFont val="Arial"/>
        <color theme="1"/>
      </rPr>
      <t xml:space="preserve">: Realizar trabajos propios sin copiar.
</t>
    </r>
    <r>
      <rPr>
        <rFont val="Arial"/>
        <b/>
        <color theme="1"/>
      </rPr>
      <t>Colaboración</t>
    </r>
    <r>
      <rPr>
        <rFont val="Arial"/>
        <color theme="1"/>
      </rPr>
      <t xml:space="preserve">: Trabajar en equipo y ayudar a otros.
</t>
    </r>
    <r>
      <rPr>
        <rFont val="Arial"/>
        <b/>
        <color theme="1"/>
      </rPr>
      <t>Disciplina</t>
    </r>
    <r>
      <rPr>
        <rFont val="Arial"/>
        <color theme="1"/>
      </rPr>
      <t xml:space="preserve">: Usar correctamente las herramientas tecnológicas.
</t>
    </r>
    <r>
      <rPr>
        <rFont val="Arial"/>
        <b/>
        <color theme="1"/>
      </rPr>
      <t>Creatividad</t>
    </r>
    <r>
      <rPr>
        <rFont val="Arial"/>
        <color theme="1"/>
      </rPr>
      <t>: Buscar soluciones originales y prácticas.</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</si>
  <si>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</si>
  <si>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</si>
  <si>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</si>
  <si>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</si>
  <si>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</si>
  <si>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</si>
  <si>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</si>
  <si>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</si>
  <si>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</si>
  <si>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</si>
  <si>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</si>
  <si>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</si>
  <si>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</si>
  <si>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</si>
  <si>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</si>
  <si>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</si>
  <si>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</si>
  <si>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</si>
  <si>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</si>
  <si>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t>
  </si>
  <si>
    <t>Tiempo Maximo</t>
  </si>
  <si>
    <t>Otros : puedes modificarlo e indicar que recurso usarias por ejemplo exposiciones</t>
  </si>
  <si>
    <t>Cierre</t>
  </si>
  <si>
    <t>Presentacion de power point/canva/google</t>
  </si>
  <si>
    <t>Dudas</t>
  </si>
  <si>
    <t>x</t>
  </si>
  <si>
    <t>Total Ponderacion de Proyectos</t>
  </si>
  <si>
    <t>Proyecto No. 1</t>
  </si>
  <si>
    <t>Nombre</t>
  </si>
  <si>
    <t>PROYECTO APP TRANSFER F1</t>
  </si>
  <si>
    <t>Horas aproximadas de realización</t>
  </si>
  <si>
    <t>Pronderación</t>
  </si>
  <si>
    <t>Semana en que se asignará el proyecto</t>
  </si>
  <si>
    <t>Competencias</t>
  </si>
  <si>
    <t>Breve Descripción</t>
  </si>
  <si>
    <t>La Fase del Poyecto esta orientado a la solucion de los requerimientos que describen como diseñar e implementar un modelo Entidad Relacion y el modelo fisico en el gestor de base de datos ACCESS.</t>
  </si>
  <si>
    <t>Proyecto No. 2</t>
  </si>
  <si>
    <t>PROYECTO APP TRANSFER F2</t>
  </si>
  <si>
    <t>La Fase del Poyecto esta orientado a la solucion de los requerimientos que describen como comunicar la aplicacion de Excel con Access para el procesamiento de los datos recopilados por medio de Formularios.creados en Excel</t>
  </si>
  <si>
    <t>Proyecto No. 3</t>
  </si>
  <si>
    <t>Total Ponderacion de Practicas</t>
  </si>
  <si>
    <t>Practica No. 1</t>
  </si>
  <si>
    <t>Virtual Machine</t>
  </si>
  <si>
    <t>Semana en que se asignará la practica</t>
  </si>
  <si>
    <t xml:space="preserve">Las máquinas virtuales son ordenadores de software que proporcionan la mismafuncionalidad que los ordenadores físicos. Como ocurre con los ordenadores físicos,ejecutan aplicaciones y un sistema operativo. Sin embargo, las máquinas virtualesson archivos informáticos que se ejecutan en un ordenador físico y se comportancomo un ordenador físico. En otras palabras, las máquinas virtuales se  omportan como sistemas informáticos independientes. Para llevar a cabo la virtualización es necesario un software encargado de las operaciones de gestión de recursos, a este tipo de software se le conoce como “hipervisor” el cual debe ser ejecutado dentro de la máquina host. 
Se le solicita desarrollar la instalación de cualquier Sistema operativo Windows en una máquina virtual. Puede utilizar cualquier hipervisor, se recomienda el uso de VirtualBox, Oracle VM VirtualBox. </t>
  </si>
  <si>
    <t>Practica No. 2</t>
  </si>
  <si>
    <t>Practica No. 3</t>
  </si>
  <si>
    <t>Practica No. 4</t>
  </si>
  <si>
    <t>Practica No. 5</t>
  </si>
  <si>
    <t>Practica No. 6</t>
  </si>
  <si>
    <t>Practica No. 7</t>
  </si>
  <si>
    <t>Total Ponderacion de Tareas</t>
  </si>
  <si>
    <t>Tarea No. 1</t>
  </si>
  <si>
    <t xml:space="preserve">Instalación de un Hipervisor
</t>
  </si>
  <si>
    <t>Semana en que se asignará la tarea</t>
  </si>
  <si>
    <t xml:space="preserve">Familiarizarse con la instalación y configuración de un software de virtualización.
</t>
  </si>
  <si>
    <t>Tarea No. 2</t>
  </si>
  <si>
    <t>Microsoft Excel y Analisis de Datos</t>
  </si>
  <si>
    <t>El objetivo de esta tarea es que desarrolles habilidades avanzadas en el uso de Microsoft Excel, incluyendo la gestión de datos, la aplicación de funciones y fórmulas avanzadas, el análisis mediante tablas dinámicas y la creación de visualizaciones gráficas para interpretar la información de manera efectiva.</t>
  </si>
  <si>
    <t>Tarea No. 3</t>
  </si>
  <si>
    <t>Microsoft Excel y VBA (Macros)</t>
  </si>
  <si>
    <t>Desarrollar un formulario interactivo en Microsoft Excel utilizando macros programados en VBA (Visual Basic for Applications). El formulario permitirá ingresar los datos de un usuario y reflejar la información capturada en una tabla dentro de la hoja de cálculo.</t>
  </si>
  <si>
    <t>Tarea No. 4</t>
  </si>
  <si>
    <t>Powerpoint sobre tema del Curso</t>
  </si>
  <si>
    <t>Desarrollar una presentación utilizando PowerPoint o Canva que aborde un tema de interés relacionado con la materia de Programación de Computadoras. La presentación debe ser clara, coherente y visualmente atractiva, incorporando los elementos y técnicas estudiados en la clase</t>
  </si>
  <si>
    <t>Tarea No. 5</t>
  </si>
  <si>
    <t>Investigacion sobre Visual Basic</t>
  </si>
  <si>
    <t xml:space="preserve">Cada estudiante deberá realizar una investigación sobre los componentes que se pueden utilizar en Visual Basic para desarrollar aplicaciones, describiendo específicamente su funcionalidad y cómo pueden conectarse a una base de datos. Además, deben incluir ejemplos visuales (imágenes) de los componentes.
</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</si>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</sst>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color rgb="FFFFFFFF"/>
      <name val="Arial"/>
    </font>
    <font>
      <b/>
      <color theme="1"/>
      <name val="Arial"/>
    </font>
    <font>
      <color rgb="FF1155CC"/>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EFEFEF"/>
      <name val="Arial"/>
      <scheme val="minor"/>
    </font>
    <font>
      <b/>
      <color rgb="FF000000"/>
      <name val="Arial"/>
      <scheme val="minor"/>
    </font>
    <font>
      <sz val="12.0"/>
      <color rgb="FFEFEFEF"/>
      <name val="Arial"/>
    </font>
  </fonts>
  <fills count="25">
    <fill>
      <patternFill patternType="none"/>
    </fill>
    <fill>
      <patternFill patternType="lightGray"/>
    </fill>
    <fill>
      <patternFill patternType="solid">
        <fgColor rgb="FFD9EAD3"/>
        <bgColor rgb="FFD9EAD3"/>
      </patternFill>
    </fill>
    <fill>
      <patternFill patternType="solid">
        <fgColor rgb="FF666666"/>
        <bgColor rgb="FF666666"/>
      </patternFill>
    </fill>
    <fill>
      <patternFill patternType="solid">
        <fgColor rgb="FFFF9900"/>
        <bgColor rgb="FFFF9900"/>
      </patternFill>
    </fill>
    <fill>
      <patternFill patternType="solid">
        <fgColor rgb="FF741B47"/>
        <bgColor rgb="FF741B47"/>
      </patternFill>
    </fill>
    <fill>
      <patternFill patternType="solid">
        <fgColor rgb="FF38761D"/>
        <bgColor rgb="FF38761D"/>
      </patternFill>
    </fill>
    <fill>
      <patternFill patternType="solid">
        <fgColor rgb="FF274E13"/>
        <bgColor rgb="FF274E13"/>
      </patternFill>
    </fill>
    <fill>
      <patternFill patternType="solid">
        <fgColor rgb="FFCC0000"/>
        <bgColor rgb="FFCC0000"/>
      </patternFill>
    </fill>
    <fill>
      <patternFill patternType="solid">
        <fgColor rgb="FFF1C232"/>
        <bgColor rgb="FFF1C232"/>
      </patternFill>
    </fill>
    <fill>
      <patternFill patternType="solid">
        <fgColor rgb="FF990000"/>
        <bgColor rgb="FF990000"/>
      </patternFill>
    </fill>
    <fill>
      <patternFill patternType="solid">
        <fgColor rgb="FFFF6D01"/>
        <bgColor rgb="FFFF6D01"/>
      </patternFill>
    </fill>
    <fill>
      <patternFill patternType="solid">
        <fgColor rgb="FF674EA7"/>
        <bgColor rgb="FF674EA7"/>
      </patternFill>
    </fill>
    <fill>
      <patternFill patternType="solid">
        <fgColor rgb="FFFBBC04"/>
        <bgColor rgb="FFFBBC04"/>
      </patternFill>
    </fill>
    <fill>
      <patternFill patternType="solid">
        <fgColor rgb="FF46BDC6"/>
        <bgColor rgb="FF46BDC6"/>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1" fillId="0" fontId="4" numFmtId="0" xfId="0" applyAlignment="1" applyBorder="1" applyFont="1">
      <alignment readingOrder="0"/>
    </xf>
    <xf borderId="1" fillId="0" fontId="2" numFmtId="0" xfId="0" applyAlignment="1" applyBorder="1" applyFont="1">
      <alignment readingOrder="0"/>
    </xf>
    <xf borderId="1" fillId="0" fontId="5" numFmtId="0" xfId="0" applyAlignment="1" applyBorder="1" applyFont="1">
      <alignment readingOrder="0" vertical="bottom"/>
    </xf>
    <xf borderId="1" fillId="3" fontId="6" numFmtId="0" xfId="0" applyAlignment="1" applyBorder="1" applyFill="1" applyFont="1">
      <alignment vertical="bottom"/>
    </xf>
    <xf borderId="1" fillId="0" fontId="7" numFmtId="0" xfId="0" applyAlignment="1" applyBorder="1" applyFont="1">
      <alignment horizontal="center" shrinkToFit="0" wrapText="1"/>
    </xf>
    <xf borderId="1" fillId="4" fontId="5" numFmtId="0" xfId="0" applyAlignment="1" applyBorder="1" applyFill="1" applyFont="1">
      <alignment vertical="bottom"/>
    </xf>
    <xf borderId="1" fillId="5" fontId="6" numFmtId="0" xfId="0" applyAlignment="1" applyBorder="1" applyFill="1" applyFont="1">
      <alignment readingOrder="0" vertical="bottom"/>
    </xf>
    <xf borderId="1" fillId="5" fontId="6" numFmtId="0" xfId="0" applyAlignment="1" applyBorder="1" applyFont="1">
      <alignment vertical="bottom"/>
    </xf>
    <xf borderId="1" fillId="6" fontId="6" numFmtId="0" xfId="0" applyAlignment="1" applyBorder="1" applyFill="1" applyFont="1">
      <alignment vertical="bottom"/>
    </xf>
    <xf borderId="1" fillId="6" fontId="6" numFmtId="0" xfId="0" applyAlignment="1" applyBorder="1" applyFont="1">
      <alignment readingOrder="0" vertical="bottom"/>
    </xf>
    <xf borderId="1" fillId="7" fontId="6" numFmtId="0" xfId="0" applyAlignment="1" applyBorder="1" applyFill="1" applyFont="1">
      <alignment vertical="bottom"/>
    </xf>
    <xf borderId="1" fillId="8" fontId="6" numFmtId="0" xfId="0" applyAlignment="1" applyBorder="1" applyFill="1" applyFont="1">
      <alignment vertical="bottom"/>
    </xf>
    <xf borderId="1" fillId="8" fontId="6" numFmtId="0" xfId="0" applyAlignment="1" applyBorder="1" applyFont="1">
      <alignment readingOrder="0" vertical="bottom"/>
    </xf>
    <xf borderId="0" fillId="9" fontId="5" numFmtId="0" xfId="0" applyAlignment="1" applyFill="1" applyFont="1">
      <alignment vertical="bottom"/>
    </xf>
    <xf borderId="0" fillId="9" fontId="5" numFmtId="0" xfId="0" applyAlignment="1" applyFont="1">
      <alignment readingOrder="0" vertical="bottom"/>
    </xf>
    <xf borderId="1" fillId="0" fontId="2" numFmtId="0" xfId="0" applyBorder="1" applyFont="1"/>
    <xf borderId="1" fillId="10" fontId="6" numFmtId="0" xfId="0" applyAlignment="1" applyBorder="1" applyFill="1" applyFont="1">
      <alignment vertical="bottom"/>
    </xf>
    <xf borderId="1" fillId="11" fontId="6" numFmtId="0" xfId="0" applyAlignment="1" applyBorder="1" applyFill="1" applyFont="1">
      <alignment readingOrder="0" vertical="bottom"/>
    </xf>
    <xf borderId="1" fillId="11" fontId="6" numFmtId="0" xfId="0" applyAlignment="1" applyBorder="1" applyFont="1">
      <alignment vertical="bottom"/>
    </xf>
    <xf borderId="1" fillId="12" fontId="6" numFmtId="0" xfId="0" applyAlignment="1" applyBorder="1" applyFill="1" applyFont="1">
      <alignment vertical="bottom"/>
    </xf>
    <xf borderId="1" fillId="12" fontId="6" numFmtId="0" xfId="0" applyAlignment="1" applyBorder="1" applyFont="1">
      <alignment readingOrder="0" vertical="bottom"/>
    </xf>
    <xf borderId="1" fillId="12" fontId="6" numFmtId="0" xfId="0" applyAlignment="1" applyBorder="1" applyFont="1">
      <alignment vertical="bottom"/>
    </xf>
    <xf borderId="1" fillId="13" fontId="8" numFmtId="0" xfId="0" applyAlignment="1" applyBorder="1" applyFill="1" applyFont="1">
      <alignment vertical="bottom"/>
    </xf>
    <xf borderId="1" fillId="13" fontId="8" numFmtId="0" xfId="0" applyAlignment="1" applyBorder="1" applyFont="1">
      <alignment readingOrder="0" vertical="bottom"/>
    </xf>
    <xf borderId="1" fillId="14" fontId="5" numFmtId="0" xfId="0" applyAlignment="1" applyBorder="1" applyFill="1" applyFont="1">
      <alignment vertical="bottom"/>
    </xf>
    <xf borderId="1" fillId="0" fontId="2" numFmtId="0" xfId="0" applyBorder="1" applyFont="1"/>
    <xf borderId="1" fillId="0" fontId="9" numFmtId="0" xfId="0" applyAlignment="1" applyBorder="1" applyFont="1">
      <alignment horizontal="center" readingOrder="0" shrinkToFit="0" vertical="center" wrapText="1"/>
    </xf>
    <xf borderId="0" fillId="0" fontId="10"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11" numFmtId="0" xfId="0" applyAlignment="1" applyFont="1">
      <alignment horizontal="right" vertical="bottom"/>
    </xf>
    <xf borderId="0" fillId="15" fontId="5" numFmtId="0" xfId="0" applyAlignment="1" applyFill="1" applyFont="1">
      <alignment readingOrder="0" vertical="bottom"/>
    </xf>
    <xf borderId="0" fillId="0" fontId="11" numFmtId="0" xfId="0" applyAlignment="1" applyFont="1">
      <alignment vertical="bottom"/>
    </xf>
    <xf borderId="0" fillId="0" fontId="5" numFmtId="0" xfId="0" applyAlignment="1" applyFont="1">
      <alignment readingOrder="0"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2" fontId="2" numFmtId="0" xfId="0" applyFont="1"/>
    <xf borderId="0" fillId="0" fontId="12" numFmtId="0" xfId="0" applyFont="1"/>
    <xf borderId="0" fillId="0" fontId="12" numFmtId="0" xfId="0" applyAlignment="1" applyFont="1">
      <alignment readingOrder="0"/>
    </xf>
    <xf borderId="0" fillId="15" fontId="2" numFmtId="0" xfId="0" applyAlignment="1" applyFont="1">
      <alignment horizontal="left" readingOrder="0" shrinkToFit="0" wrapText="1"/>
    </xf>
    <xf borderId="0" fillId="0" fontId="2" numFmtId="0" xfId="0" applyAlignment="1" applyFont="1">
      <alignment readingOrder="0" shrinkToFit="0" wrapText="1"/>
    </xf>
    <xf borderId="0" fillId="0" fontId="9" numFmtId="0" xfId="0" applyAlignment="1" applyFont="1">
      <alignment readingOrder="0"/>
    </xf>
    <xf borderId="0" fillId="0" fontId="1" numFmtId="0" xfId="0" applyAlignment="1" applyFont="1">
      <alignment horizontal="right" readingOrder="0"/>
    </xf>
    <xf borderId="0" fillId="16" fontId="13" numFmtId="0" xfId="0" applyAlignment="1" applyFill="1" applyFont="1">
      <alignment readingOrder="0"/>
    </xf>
    <xf borderId="0" fillId="16" fontId="14" numFmtId="0" xfId="0" applyFont="1"/>
    <xf borderId="1" fillId="0" fontId="9" numFmtId="0" xfId="0" applyAlignment="1" applyBorder="1" applyFont="1">
      <alignment readingOrder="0"/>
    </xf>
    <xf borderId="1" fillId="0" fontId="15" numFmtId="0" xfId="0" applyAlignment="1" applyBorder="1" applyFont="1">
      <alignment readingOrder="0"/>
    </xf>
    <xf borderId="0" fillId="0" fontId="9" numFmtId="0" xfId="0" applyAlignment="1" applyFont="1">
      <alignment horizontal="center"/>
    </xf>
    <xf borderId="1" fillId="0" fontId="16" numFmtId="0" xfId="0" applyAlignment="1" applyBorder="1" applyFont="1">
      <alignment readingOrder="0"/>
    </xf>
    <xf borderId="1" fillId="0" fontId="16" numFmtId="0" xfId="0" applyAlignment="1" applyBorder="1" applyFont="1">
      <alignment horizontal="center" readingOrder="0"/>
    </xf>
    <xf borderId="1" fillId="0" fontId="16" numFmtId="0" xfId="0" applyBorder="1" applyFont="1"/>
    <xf borderId="0" fillId="17" fontId="2" numFmtId="0" xfId="0" applyFill="1" applyFont="1"/>
    <xf borderId="0" fillId="17" fontId="9" numFmtId="0" xfId="0" applyAlignment="1" applyFont="1">
      <alignment readingOrder="0"/>
    </xf>
    <xf borderId="0" fillId="17" fontId="2" numFmtId="0" xfId="0" applyAlignment="1" applyFont="1">
      <alignment readingOrder="0"/>
    </xf>
    <xf borderId="0" fillId="0" fontId="2" numFmtId="0" xfId="0" applyAlignment="1" applyFont="1">
      <alignment shrinkToFit="0" wrapText="1"/>
    </xf>
    <xf borderId="0" fillId="0" fontId="13" numFmtId="0" xfId="0" applyAlignment="1" applyFont="1">
      <alignment readingOrder="0"/>
    </xf>
    <xf borderId="0" fillId="16" fontId="2" numFmtId="0" xfId="0" applyFont="1"/>
    <xf borderId="0" fillId="0" fontId="9" numFmtId="0" xfId="0" applyFont="1"/>
    <xf borderId="2" fillId="0" fontId="9" numFmtId="0" xfId="0" applyAlignment="1" applyBorder="1" applyFont="1">
      <alignment readingOrder="0"/>
    </xf>
    <xf borderId="3" fillId="0" fontId="9" numFmtId="0" xfId="0" applyAlignment="1" applyBorder="1" applyFont="1">
      <alignment readingOrder="0"/>
    </xf>
    <xf borderId="4" fillId="0" fontId="17" numFmtId="0" xfId="0" applyBorder="1" applyFont="1"/>
    <xf borderId="1" fillId="0" fontId="9" numFmtId="0" xfId="0" applyAlignment="1" applyBorder="1" applyFont="1">
      <alignment readingOrder="0" shrinkToFit="0" wrapText="1"/>
    </xf>
    <xf borderId="5" fillId="0" fontId="17" numFmtId="0" xfId="0" applyBorder="1" applyFont="1"/>
    <xf borderId="1" fillId="0" fontId="2" numFmtId="0" xfId="0" applyAlignment="1" applyBorder="1" applyFont="1">
      <alignment readingOrder="0" shrinkToFit="0" wrapText="1"/>
    </xf>
    <xf borderId="1" fillId="0" fontId="2" numFmtId="0" xfId="0" applyAlignment="1" applyBorder="1" applyFont="1">
      <alignment horizontal="center" readingOrder="0" vertical="center"/>
    </xf>
    <xf borderId="0" fillId="18" fontId="2" numFmtId="0" xfId="0" applyFill="1" applyFont="1"/>
    <xf borderId="0" fillId="18" fontId="2" numFmtId="0" xfId="0" applyAlignment="1" applyFont="1">
      <alignment readingOrder="0"/>
    </xf>
    <xf borderId="0" fillId="18" fontId="9" numFmtId="0" xfId="0" applyAlignment="1" applyFont="1">
      <alignment readingOrder="0"/>
    </xf>
    <xf borderId="1" fillId="0" fontId="18" numFmtId="0" xfId="0" applyAlignment="1" applyBorder="1" applyFont="1">
      <alignment readingOrder="0"/>
    </xf>
    <xf borderId="1" fillId="0" fontId="19" numFmtId="0" xfId="0" applyAlignment="1" applyBorder="1" applyFont="1">
      <alignment readingOrder="0"/>
    </xf>
    <xf borderId="0" fillId="15" fontId="2" numFmtId="0" xfId="0" applyAlignment="1" applyFont="1">
      <alignment readingOrder="0" shrinkToFit="0" wrapText="1"/>
    </xf>
    <xf borderId="1" fillId="0" fontId="20" numFmtId="0" xfId="0" applyAlignment="1" applyBorder="1" applyFont="1">
      <alignment readingOrder="0"/>
    </xf>
    <xf borderId="0" fillId="0" fontId="2" numFmtId="0" xfId="0" applyFont="1"/>
    <xf borderId="0" fillId="0" fontId="2" numFmtId="49" xfId="0" applyFont="1" applyNumberFormat="1"/>
    <xf borderId="3" fillId="0" fontId="2" numFmtId="0" xfId="0" applyBorder="1" applyFont="1"/>
    <xf borderId="6" fillId="0" fontId="17" numFmtId="0" xfId="0" applyBorder="1" applyFont="1"/>
    <xf borderId="7" fillId="0" fontId="17" numFmtId="0" xfId="0" applyBorder="1" applyFont="1"/>
    <xf borderId="0" fillId="19" fontId="11" numFmtId="0" xfId="0" applyAlignment="1" applyFill="1" applyFont="1">
      <alignment horizontal="right" vertical="bottom"/>
    </xf>
    <xf borderId="0" fillId="20" fontId="5" numFmtId="0" xfId="0" applyAlignment="1" applyFill="1" applyFont="1">
      <alignment vertical="bottom"/>
    </xf>
    <xf borderId="0" fillId="17" fontId="5" numFmtId="0" xfId="0" applyAlignment="1" applyFont="1">
      <alignment readingOrder="0" vertical="bottom"/>
    </xf>
    <xf borderId="0" fillId="0" fontId="7" numFmtId="0" xfId="0" applyFont="1"/>
    <xf borderId="3" fillId="0" fontId="5" numFmtId="0" xfId="0" applyAlignment="1" applyBorder="1" applyFont="1">
      <alignment readingOrder="0" vertical="bottom"/>
    </xf>
    <xf borderId="3" fillId="0" fontId="5" numFmtId="0" xfId="0" applyAlignment="1" applyBorder="1" applyFont="1">
      <alignment vertical="bottom"/>
    </xf>
    <xf borderId="0" fillId="0" fontId="7" numFmtId="0" xfId="0" applyAlignment="1" applyFont="1">
      <alignment vertical="bottom"/>
    </xf>
    <xf borderId="3" fillId="17" fontId="5" numFmtId="0" xfId="0" applyAlignment="1" applyBorder="1" applyFont="1">
      <alignment readingOrder="0" shrinkToFit="0" vertical="bottom" wrapText="1"/>
    </xf>
    <xf borderId="0" fillId="21" fontId="5" numFmtId="0" xfId="0" applyAlignment="1" applyFill="1" applyFont="1">
      <alignment vertical="bottom"/>
    </xf>
    <xf borderId="0" fillId="17" fontId="5" numFmtId="0" xfId="0" applyAlignment="1" applyFont="1">
      <alignment vertical="bottom"/>
    </xf>
    <xf borderId="3" fillId="17" fontId="5" numFmtId="0" xfId="0" applyAlignment="1" applyBorder="1" applyFont="1">
      <alignment vertical="bottom"/>
    </xf>
    <xf borderId="0" fillId="22" fontId="5" numFmtId="0" xfId="0" applyAlignment="1" applyFill="1" applyFont="1">
      <alignment vertical="bottom"/>
    </xf>
    <xf borderId="3" fillId="17" fontId="5" numFmtId="0" xfId="0" applyAlignment="1" applyBorder="1" applyFont="1">
      <alignment readingOrder="0" vertical="bottom"/>
    </xf>
    <xf borderId="0" fillId="2" fontId="11" numFmtId="0" xfId="0" applyAlignment="1" applyFont="1">
      <alignment vertical="bottom"/>
    </xf>
    <xf borderId="0" fillId="16" fontId="21" numFmtId="0" xfId="0" applyAlignment="1" applyFont="1">
      <alignment vertical="bottom"/>
    </xf>
    <xf borderId="0" fillId="16" fontId="5" numFmtId="0" xfId="0" applyAlignment="1" applyFont="1">
      <alignment vertical="bottom"/>
    </xf>
    <xf borderId="0" fillId="0" fontId="11" numFmtId="0" xfId="0" applyAlignment="1" applyFont="1">
      <alignment horizontal="right" readingOrder="0" vertical="bottom"/>
    </xf>
    <xf borderId="0" fillId="18" fontId="11" numFmtId="0" xfId="0" applyAlignment="1" applyFont="1">
      <alignment horizontal="right" vertical="bottom"/>
    </xf>
    <xf borderId="0" fillId="17" fontId="11" numFmtId="0" xfId="0" applyAlignment="1" applyFont="1">
      <alignment horizontal="right" readingOrder="0" vertical="bottom"/>
    </xf>
    <xf borderId="0" fillId="23" fontId="10" numFmtId="0" xfId="0" applyAlignment="1" applyFill="1" applyFont="1">
      <alignment horizontal="right" vertical="bottom"/>
    </xf>
    <xf borderId="0" fillId="23" fontId="11" numFmtId="0" xfId="0" applyAlignment="1" applyFont="1">
      <alignment horizontal="right" vertical="bottom"/>
    </xf>
    <xf borderId="0" fillId="24" fontId="11"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18</xdr:row>
      <xdr:rowOff>9525</xdr:rowOff>
    </xdr:from>
    <xdr:ext cx="8039100" cy="4533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76.38"/>
    <col customWidth="1" min="4" max="4" width="48.25"/>
    <col customWidth="1" min="5" max="5" width="65.63"/>
    <col customWidth="1" min="7" max="7" width="9.5"/>
  </cols>
  <sheetData>
    <row r="1">
      <c r="A1" s="1" t="s">
        <v>0</v>
      </c>
      <c r="B1" s="2" t="s">
        <v>1</v>
      </c>
      <c r="F1" s="3" t="s">
        <v>2</v>
      </c>
      <c r="J1" s="4"/>
    </row>
    <row r="2">
      <c r="A2" s="5"/>
      <c r="B2" s="5"/>
      <c r="C2" s="5"/>
      <c r="D2" s="5"/>
      <c r="E2" s="5"/>
      <c r="F2" s="5"/>
      <c r="G2" s="5"/>
    </row>
    <row r="3">
      <c r="A3" s="6" t="s">
        <v>3</v>
      </c>
      <c r="B3" s="6" t="s">
        <v>4</v>
      </c>
      <c r="C3" s="6" t="s">
        <v>5</v>
      </c>
      <c r="D3" s="6" t="s">
        <v>6</v>
      </c>
      <c r="E3" s="6" t="s">
        <v>7</v>
      </c>
      <c r="F3" s="6" t="s">
        <v>8</v>
      </c>
      <c r="G3" s="6" t="s">
        <v>9</v>
      </c>
    </row>
    <row r="4">
      <c r="A4" s="7">
        <v>1.0</v>
      </c>
      <c r="B4" s="7" t="s">
        <v>10</v>
      </c>
      <c r="C4" s="7">
        <v>1.0</v>
      </c>
      <c r="D4" s="8" t="s">
        <v>11</v>
      </c>
      <c r="E4" s="9" t="s">
        <v>12</v>
      </c>
      <c r="F4" s="10" t="s">
        <v>13</v>
      </c>
      <c r="G4" s="10">
        <v>1.0</v>
      </c>
    </row>
    <row r="5">
      <c r="A5" s="7">
        <v>2.0</v>
      </c>
      <c r="B5" s="7" t="s">
        <v>10</v>
      </c>
      <c r="C5" s="7">
        <v>1.0</v>
      </c>
      <c r="D5" s="8" t="s">
        <v>11</v>
      </c>
      <c r="E5" s="9" t="s">
        <v>14</v>
      </c>
      <c r="F5" s="10" t="s">
        <v>13</v>
      </c>
      <c r="G5" s="10">
        <v>1.0</v>
      </c>
    </row>
    <row r="6">
      <c r="A6" s="7">
        <v>3.0</v>
      </c>
      <c r="B6" s="7" t="s">
        <v>10</v>
      </c>
      <c r="C6" s="7">
        <v>1.0</v>
      </c>
      <c r="D6" s="8" t="s">
        <v>11</v>
      </c>
      <c r="E6" s="9" t="s">
        <v>15</v>
      </c>
      <c r="F6" s="10" t="s">
        <v>13</v>
      </c>
      <c r="G6" s="10">
        <v>1.0</v>
      </c>
    </row>
    <row r="7">
      <c r="A7" s="7">
        <v>4.0</v>
      </c>
      <c r="B7" s="7" t="s">
        <v>10</v>
      </c>
      <c r="C7" s="7">
        <v>1.0</v>
      </c>
      <c r="D7" s="8" t="s">
        <v>11</v>
      </c>
      <c r="E7" s="9" t="s">
        <v>16</v>
      </c>
      <c r="F7" s="10" t="s">
        <v>13</v>
      </c>
      <c r="G7" s="10">
        <v>1.0</v>
      </c>
    </row>
    <row r="8">
      <c r="A8" s="7">
        <v>5.0</v>
      </c>
      <c r="B8" s="7" t="s">
        <v>10</v>
      </c>
      <c r="C8" s="7">
        <v>1.0</v>
      </c>
      <c r="D8" s="8" t="s">
        <v>11</v>
      </c>
      <c r="E8" s="9" t="s">
        <v>17</v>
      </c>
      <c r="F8" s="10" t="s">
        <v>13</v>
      </c>
      <c r="G8" s="10">
        <v>1.0</v>
      </c>
    </row>
    <row r="9">
      <c r="A9" s="7">
        <v>6.0</v>
      </c>
      <c r="B9" s="7" t="s">
        <v>10</v>
      </c>
      <c r="C9" s="7">
        <v>1.0</v>
      </c>
      <c r="D9" s="8" t="s">
        <v>11</v>
      </c>
      <c r="E9" s="9" t="s">
        <v>18</v>
      </c>
      <c r="F9" s="10" t="s">
        <v>13</v>
      </c>
      <c r="G9" s="10">
        <v>1.0</v>
      </c>
    </row>
    <row r="10">
      <c r="A10" s="7">
        <v>7.0</v>
      </c>
      <c r="B10" s="7" t="s">
        <v>10</v>
      </c>
      <c r="C10" s="7">
        <v>1.0</v>
      </c>
      <c r="D10" s="8" t="s">
        <v>11</v>
      </c>
      <c r="E10" s="9" t="s">
        <v>19</v>
      </c>
      <c r="F10" s="10" t="s">
        <v>13</v>
      </c>
      <c r="G10" s="10">
        <v>1.0</v>
      </c>
    </row>
    <row r="11">
      <c r="A11" s="7">
        <v>8.0</v>
      </c>
      <c r="B11" s="7" t="s">
        <v>10</v>
      </c>
      <c r="C11" s="7">
        <v>1.0</v>
      </c>
      <c r="D11" s="8" t="s">
        <v>11</v>
      </c>
      <c r="E11" s="11" t="s">
        <v>20</v>
      </c>
      <c r="F11" s="10" t="s">
        <v>13</v>
      </c>
      <c r="G11" s="10">
        <v>2.0</v>
      </c>
    </row>
    <row r="12">
      <c r="A12" s="7">
        <v>9.0</v>
      </c>
      <c r="B12" s="7" t="s">
        <v>21</v>
      </c>
      <c r="C12" s="7">
        <v>2.0</v>
      </c>
      <c r="D12" s="8" t="s">
        <v>22</v>
      </c>
      <c r="E12" s="11" t="s">
        <v>23</v>
      </c>
      <c r="F12" s="10" t="s">
        <v>13</v>
      </c>
      <c r="G12" s="10">
        <v>2.0</v>
      </c>
    </row>
    <row r="13">
      <c r="A13" s="7">
        <v>10.0</v>
      </c>
      <c r="B13" s="7" t="s">
        <v>21</v>
      </c>
      <c r="C13" s="7">
        <v>2.0</v>
      </c>
      <c r="D13" s="8" t="s">
        <v>22</v>
      </c>
      <c r="E13" s="11" t="s">
        <v>24</v>
      </c>
      <c r="F13" s="10" t="s">
        <v>13</v>
      </c>
      <c r="G13" s="10">
        <v>2.0</v>
      </c>
    </row>
    <row r="14">
      <c r="A14" s="7">
        <v>11.0</v>
      </c>
      <c r="B14" s="7" t="s">
        <v>21</v>
      </c>
      <c r="C14" s="7">
        <v>2.0</v>
      </c>
      <c r="D14" s="8" t="s">
        <v>22</v>
      </c>
      <c r="E14" s="11" t="s">
        <v>25</v>
      </c>
      <c r="F14" s="10" t="s">
        <v>13</v>
      </c>
      <c r="G14" s="10">
        <v>2.0</v>
      </c>
    </row>
    <row r="15">
      <c r="A15" s="7">
        <v>12.0</v>
      </c>
      <c r="B15" s="7" t="s">
        <v>21</v>
      </c>
      <c r="C15" s="7">
        <v>2.0</v>
      </c>
      <c r="D15" s="8" t="s">
        <v>22</v>
      </c>
      <c r="E15" s="11" t="s">
        <v>26</v>
      </c>
      <c r="F15" s="10" t="s">
        <v>13</v>
      </c>
      <c r="G15" s="10">
        <v>2.0</v>
      </c>
    </row>
    <row r="16">
      <c r="A16" s="7">
        <v>13.0</v>
      </c>
      <c r="B16" s="7" t="s">
        <v>21</v>
      </c>
      <c r="C16" s="7">
        <v>2.0</v>
      </c>
      <c r="D16" s="8" t="s">
        <v>22</v>
      </c>
      <c r="E16" s="11" t="s">
        <v>27</v>
      </c>
      <c r="F16" s="10" t="s">
        <v>13</v>
      </c>
      <c r="G16" s="10">
        <v>2.0</v>
      </c>
    </row>
    <row r="17">
      <c r="A17" s="7">
        <v>14.0</v>
      </c>
      <c r="B17" s="7" t="s">
        <v>21</v>
      </c>
      <c r="C17" s="7">
        <v>2.0</v>
      </c>
      <c r="D17" s="8" t="s">
        <v>22</v>
      </c>
      <c r="E17" s="11" t="s">
        <v>28</v>
      </c>
      <c r="F17" s="10" t="s">
        <v>13</v>
      </c>
      <c r="G17" s="10">
        <v>2.0</v>
      </c>
    </row>
    <row r="18">
      <c r="A18" s="7">
        <v>15.0</v>
      </c>
      <c r="B18" s="7" t="s">
        <v>29</v>
      </c>
      <c r="C18" s="7">
        <v>3.0</v>
      </c>
      <c r="D18" s="8" t="s">
        <v>30</v>
      </c>
      <c r="E18" s="12" t="s">
        <v>31</v>
      </c>
      <c r="F18" s="10" t="s">
        <v>32</v>
      </c>
      <c r="G18" s="10">
        <v>3.0</v>
      </c>
    </row>
    <row r="19">
      <c r="A19" s="7">
        <v>16.0</v>
      </c>
      <c r="B19" s="7" t="s">
        <v>29</v>
      </c>
      <c r="C19" s="7">
        <v>3.0</v>
      </c>
      <c r="D19" s="8" t="s">
        <v>30</v>
      </c>
      <c r="E19" s="13" t="s">
        <v>33</v>
      </c>
      <c r="F19" s="10" t="s">
        <v>32</v>
      </c>
      <c r="G19" s="10">
        <v>3.0</v>
      </c>
    </row>
    <row r="20">
      <c r="A20" s="7">
        <v>17.0</v>
      </c>
      <c r="B20" s="7" t="s">
        <v>29</v>
      </c>
      <c r="C20" s="7">
        <v>3.0</v>
      </c>
      <c r="D20" s="8" t="s">
        <v>30</v>
      </c>
      <c r="E20" s="13" t="s">
        <v>34</v>
      </c>
      <c r="F20" s="10" t="s">
        <v>32</v>
      </c>
      <c r="G20" s="10">
        <v>3.0</v>
      </c>
    </row>
    <row r="21">
      <c r="A21" s="7">
        <v>18.0</v>
      </c>
      <c r="B21" s="7" t="s">
        <v>29</v>
      </c>
      <c r="C21" s="7">
        <v>3.0</v>
      </c>
      <c r="D21" s="8" t="s">
        <v>30</v>
      </c>
      <c r="E21" s="13" t="s">
        <v>35</v>
      </c>
      <c r="F21" s="10" t="s">
        <v>32</v>
      </c>
      <c r="G21" s="10">
        <v>3.0</v>
      </c>
    </row>
    <row r="22">
      <c r="A22" s="7">
        <v>19.0</v>
      </c>
      <c r="B22" s="7" t="s">
        <v>29</v>
      </c>
      <c r="C22" s="7">
        <v>3.0</v>
      </c>
      <c r="D22" s="8" t="s">
        <v>30</v>
      </c>
      <c r="E22" s="13" t="s">
        <v>36</v>
      </c>
      <c r="F22" s="10" t="s">
        <v>32</v>
      </c>
      <c r="G22" s="10">
        <v>3.0</v>
      </c>
    </row>
    <row r="23">
      <c r="A23" s="7">
        <v>20.0</v>
      </c>
      <c r="B23" s="7" t="s">
        <v>29</v>
      </c>
      <c r="C23" s="7">
        <v>3.0</v>
      </c>
      <c r="D23" s="8" t="s">
        <v>30</v>
      </c>
      <c r="E23" s="13" t="s">
        <v>37</v>
      </c>
      <c r="F23" s="10" t="s">
        <v>32</v>
      </c>
      <c r="G23" s="10">
        <v>3.0</v>
      </c>
    </row>
    <row r="24">
      <c r="A24" s="7">
        <v>21.0</v>
      </c>
      <c r="B24" s="7" t="s">
        <v>29</v>
      </c>
      <c r="C24" s="7">
        <v>3.0</v>
      </c>
      <c r="D24" s="8" t="s">
        <v>30</v>
      </c>
      <c r="E24" s="13" t="s">
        <v>38</v>
      </c>
      <c r="F24" s="10" t="s">
        <v>32</v>
      </c>
      <c r="G24" s="10">
        <v>3.0</v>
      </c>
    </row>
    <row r="25">
      <c r="A25" s="7">
        <v>22.0</v>
      </c>
      <c r="B25" s="7" t="s">
        <v>29</v>
      </c>
      <c r="C25" s="7">
        <v>4.0</v>
      </c>
      <c r="D25" s="8" t="s">
        <v>39</v>
      </c>
      <c r="E25" s="14" t="s">
        <v>40</v>
      </c>
      <c r="F25" s="10" t="s">
        <v>32</v>
      </c>
      <c r="G25" s="10">
        <v>4.0</v>
      </c>
    </row>
    <row r="26">
      <c r="A26" s="7">
        <v>23.0</v>
      </c>
      <c r="B26" s="7" t="s">
        <v>29</v>
      </c>
      <c r="C26" s="7">
        <v>4.0</v>
      </c>
      <c r="D26" s="8" t="s">
        <v>39</v>
      </c>
      <c r="E26" s="15" t="s">
        <v>41</v>
      </c>
      <c r="F26" s="10" t="s">
        <v>32</v>
      </c>
      <c r="G26" s="10">
        <v>4.0</v>
      </c>
    </row>
    <row r="27">
      <c r="A27" s="7">
        <v>24.0</v>
      </c>
      <c r="B27" s="7" t="s">
        <v>29</v>
      </c>
      <c r="C27" s="7">
        <v>4.0</v>
      </c>
      <c r="D27" s="8" t="s">
        <v>39</v>
      </c>
      <c r="E27" s="15" t="s">
        <v>42</v>
      </c>
      <c r="F27" s="10" t="s">
        <v>32</v>
      </c>
      <c r="G27" s="10">
        <v>4.0</v>
      </c>
    </row>
    <row r="28">
      <c r="A28" s="7">
        <v>25.0</v>
      </c>
      <c r="B28" s="7" t="s">
        <v>29</v>
      </c>
      <c r="C28" s="7">
        <v>4.0</v>
      </c>
      <c r="D28" s="8" t="s">
        <v>39</v>
      </c>
      <c r="E28" s="14" t="s">
        <v>43</v>
      </c>
      <c r="F28" s="10" t="s">
        <v>32</v>
      </c>
      <c r="G28" s="10">
        <v>4.0</v>
      </c>
    </row>
    <row r="29">
      <c r="A29" s="7">
        <v>26.0</v>
      </c>
      <c r="B29" s="7" t="s">
        <v>29</v>
      </c>
      <c r="C29" s="7">
        <v>4.0</v>
      </c>
      <c r="D29" s="8" t="s">
        <v>39</v>
      </c>
      <c r="E29" s="14" t="s">
        <v>44</v>
      </c>
      <c r="F29" s="10" t="s">
        <v>32</v>
      </c>
      <c r="G29" s="10">
        <v>4.0</v>
      </c>
    </row>
    <row r="30">
      <c r="A30" s="7">
        <v>27.0</v>
      </c>
      <c r="B30" s="7" t="s">
        <v>29</v>
      </c>
      <c r="C30" s="7">
        <v>4.0</v>
      </c>
      <c r="D30" s="8" t="s">
        <v>39</v>
      </c>
      <c r="E30" s="14" t="s">
        <v>45</v>
      </c>
      <c r="F30" s="10" t="s">
        <v>32</v>
      </c>
      <c r="G30" s="10">
        <v>4.0</v>
      </c>
    </row>
    <row r="31">
      <c r="A31" s="7">
        <v>28.0</v>
      </c>
      <c r="B31" s="7" t="s">
        <v>29</v>
      </c>
      <c r="C31" s="7">
        <v>4.0</v>
      </c>
      <c r="D31" s="8" t="s">
        <v>39</v>
      </c>
      <c r="E31" s="15" t="s">
        <v>46</v>
      </c>
      <c r="F31" s="10" t="s">
        <v>32</v>
      </c>
      <c r="G31" s="10">
        <v>4.0</v>
      </c>
    </row>
    <row r="32">
      <c r="A32" s="7">
        <v>29.0</v>
      </c>
      <c r="B32" s="7" t="s">
        <v>47</v>
      </c>
      <c r="C32" s="7">
        <v>5.0</v>
      </c>
      <c r="D32" s="8" t="s">
        <v>48</v>
      </c>
      <c r="E32" s="16" t="s">
        <v>49</v>
      </c>
      <c r="F32" s="10" t="s">
        <v>32</v>
      </c>
      <c r="G32" s="10">
        <v>5.0</v>
      </c>
    </row>
    <row r="33">
      <c r="A33" s="7">
        <v>30.0</v>
      </c>
      <c r="B33" s="7" t="s">
        <v>47</v>
      </c>
      <c r="C33" s="7">
        <v>5.0</v>
      </c>
      <c r="D33" s="8" t="s">
        <v>48</v>
      </c>
      <c r="E33" s="16" t="s">
        <v>50</v>
      </c>
      <c r="F33" s="10" t="s">
        <v>32</v>
      </c>
      <c r="G33" s="10">
        <v>5.0</v>
      </c>
    </row>
    <row r="34">
      <c r="A34" s="7">
        <v>31.0</v>
      </c>
      <c r="B34" s="7" t="s">
        <v>47</v>
      </c>
      <c r="C34" s="7">
        <v>5.0</v>
      </c>
      <c r="D34" s="8" t="s">
        <v>48</v>
      </c>
      <c r="E34" s="16" t="s">
        <v>51</v>
      </c>
      <c r="F34" s="10" t="s">
        <v>32</v>
      </c>
      <c r="G34" s="10">
        <v>5.0</v>
      </c>
    </row>
    <row r="35">
      <c r="A35" s="7">
        <v>32.0</v>
      </c>
      <c r="B35" s="7" t="s">
        <v>47</v>
      </c>
      <c r="C35" s="7">
        <v>5.0</v>
      </c>
      <c r="D35" s="8" t="s">
        <v>48</v>
      </c>
      <c r="E35" s="16" t="s">
        <v>52</v>
      </c>
      <c r="F35" s="10" t="s">
        <v>32</v>
      </c>
      <c r="G35" s="10">
        <v>5.0</v>
      </c>
    </row>
    <row r="36">
      <c r="A36" s="7">
        <v>33.0</v>
      </c>
      <c r="B36" s="7" t="s">
        <v>47</v>
      </c>
      <c r="C36" s="7">
        <v>5.0</v>
      </c>
      <c r="D36" s="8" t="s">
        <v>48</v>
      </c>
      <c r="E36" s="16" t="s">
        <v>53</v>
      </c>
      <c r="F36" s="10" t="s">
        <v>32</v>
      </c>
      <c r="G36" s="10">
        <v>5.0</v>
      </c>
    </row>
    <row r="37">
      <c r="A37" s="7">
        <v>34.0</v>
      </c>
      <c r="B37" s="7" t="s">
        <v>47</v>
      </c>
      <c r="C37" s="7">
        <v>5.0</v>
      </c>
      <c r="D37" s="8" t="s">
        <v>48</v>
      </c>
      <c r="E37" s="16" t="s">
        <v>54</v>
      </c>
      <c r="F37" s="10" t="s">
        <v>32</v>
      </c>
      <c r="G37" s="10">
        <v>5.0</v>
      </c>
    </row>
    <row r="38">
      <c r="A38" s="7">
        <v>35.0</v>
      </c>
      <c r="B38" s="7" t="s">
        <v>47</v>
      </c>
      <c r="C38" s="7">
        <v>5.0</v>
      </c>
      <c r="D38" s="8" t="s">
        <v>48</v>
      </c>
      <c r="E38" s="16" t="s">
        <v>55</v>
      </c>
      <c r="F38" s="10" t="s">
        <v>32</v>
      </c>
      <c r="G38" s="10">
        <v>5.0</v>
      </c>
    </row>
    <row r="39">
      <c r="A39" s="7">
        <v>36.0</v>
      </c>
      <c r="B39" s="7" t="s">
        <v>56</v>
      </c>
      <c r="C39" s="7">
        <v>6.0</v>
      </c>
      <c r="D39" s="8" t="s">
        <v>57</v>
      </c>
      <c r="E39" s="17" t="s">
        <v>58</v>
      </c>
      <c r="F39" s="10" t="s">
        <v>32</v>
      </c>
      <c r="G39" s="10">
        <v>6.0</v>
      </c>
    </row>
    <row r="40">
      <c r="A40" s="7">
        <v>37.0</v>
      </c>
      <c r="B40" s="7" t="s">
        <v>56</v>
      </c>
      <c r="C40" s="7">
        <v>6.0</v>
      </c>
      <c r="D40" s="8" t="s">
        <v>57</v>
      </c>
      <c r="E40" s="17" t="s">
        <v>59</v>
      </c>
      <c r="F40" s="10" t="s">
        <v>32</v>
      </c>
      <c r="G40" s="10">
        <v>6.0</v>
      </c>
    </row>
    <row r="41">
      <c r="A41" s="7">
        <v>38.0</v>
      </c>
      <c r="B41" s="7" t="s">
        <v>56</v>
      </c>
      <c r="C41" s="7">
        <v>6.0</v>
      </c>
      <c r="D41" s="8" t="s">
        <v>57</v>
      </c>
      <c r="E41" s="17" t="s">
        <v>60</v>
      </c>
      <c r="F41" s="10" t="s">
        <v>32</v>
      </c>
      <c r="G41" s="10">
        <v>6.0</v>
      </c>
    </row>
    <row r="42">
      <c r="A42" s="7">
        <v>39.0</v>
      </c>
      <c r="B42" s="7" t="s">
        <v>56</v>
      </c>
      <c r="C42" s="7">
        <v>6.0</v>
      </c>
      <c r="D42" s="8" t="s">
        <v>57</v>
      </c>
      <c r="E42" s="18" t="s">
        <v>61</v>
      </c>
      <c r="F42" s="10" t="s">
        <v>32</v>
      </c>
      <c r="G42" s="10">
        <v>6.0</v>
      </c>
    </row>
    <row r="43">
      <c r="A43" s="7">
        <v>40.0</v>
      </c>
      <c r="B43" s="7" t="s">
        <v>56</v>
      </c>
      <c r="C43" s="7">
        <v>6.0</v>
      </c>
      <c r="D43" s="8" t="s">
        <v>57</v>
      </c>
      <c r="E43" s="18" t="s">
        <v>62</v>
      </c>
      <c r="F43" s="10" t="s">
        <v>32</v>
      </c>
      <c r="G43" s="10">
        <v>6.0</v>
      </c>
    </row>
    <row r="44">
      <c r="A44" s="7">
        <v>41.0</v>
      </c>
      <c r="B44" s="7" t="s">
        <v>56</v>
      </c>
      <c r="C44" s="7">
        <v>6.0</v>
      </c>
      <c r="D44" s="8" t="s">
        <v>57</v>
      </c>
      <c r="E44" s="17" t="s">
        <v>63</v>
      </c>
      <c r="F44" s="10" t="s">
        <v>32</v>
      </c>
      <c r="G44" s="10">
        <v>6.0</v>
      </c>
    </row>
    <row r="45">
      <c r="A45" s="7">
        <v>42.0</v>
      </c>
      <c r="B45" s="7" t="s">
        <v>56</v>
      </c>
      <c r="C45" s="7">
        <v>6.0</v>
      </c>
      <c r="D45" s="8" t="s">
        <v>57</v>
      </c>
      <c r="E45" s="17" t="s">
        <v>64</v>
      </c>
      <c r="F45" s="10" t="s">
        <v>32</v>
      </c>
      <c r="G45" s="10">
        <v>6.0</v>
      </c>
    </row>
    <row r="46">
      <c r="A46" s="7">
        <v>43.0</v>
      </c>
      <c r="B46" s="7" t="s">
        <v>10</v>
      </c>
      <c r="C46" s="7">
        <v>7.0</v>
      </c>
      <c r="D46" s="8" t="s">
        <v>65</v>
      </c>
      <c r="E46" s="19" t="s">
        <v>66</v>
      </c>
      <c r="F46" s="10" t="s">
        <v>67</v>
      </c>
      <c r="G46" s="10">
        <v>7.0</v>
      </c>
    </row>
    <row r="47">
      <c r="A47" s="7">
        <v>44.0</v>
      </c>
      <c r="B47" s="7" t="s">
        <v>10</v>
      </c>
      <c r="C47" s="7">
        <v>7.0</v>
      </c>
      <c r="D47" s="8" t="s">
        <v>65</v>
      </c>
      <c r="E47" s="19" t="s">
        <v>68</v>
      </c>
      <c r="F47" s="10" t="s">
        <v>67</v>
      </c>
      <c r="G47" s="10">
        <v>7.0</v>
      </c>
    </row>
    <row r="48">
      <c r="A48" s="7">
        <v>45.0</v>
      </c>
      <c r="B48" s="7" t="s">
        <v>10</v>
      </c>
      <c r="C48" s="7">
        <v>7.0</v>
      </c>
      <c r="D48" s="8" t="s">
        <v>65</v>
      </c>
      <c r="E48" s="20" t="s">
        <v>69</v>
      </c>
      <c r="F48" s="10" t="s">
        <v>67</v>
      </c>
      <c r="G48" s="10">
        <v>7.0</v>
      </c>
    </row>
    <row r="49">
      <c r="A49" s="7">
        <v>46.0</v>
      </c>
      <c r="B49" s="7" t="s">
        <v>10</v>
      </c>
      <c r="C49" s="7">
        <v>7.0</v>
      </c>
      <c r="D49" s="8" t="s">
        <v>65</v>
      </c>
      <c r="E49" s="19" t="s">
        <v>70</v>
      </c>
      <c r="F49" s="10" t="s">
        <v>67</v>
      </c>
      <c r="G49" s="10">
        <v>7.0</v>
      </c>
    </row>
    <row r="50">
      <c r="A50" s="7">
        <v>47.0</v>
      </c>
      <c r="B50" s="7" t="s">
        <v>10</v>
      </c>
      <c r="C50" s="7">
        <v>7.0</v>
      </c>
      <c r="D50" s="8" t="s">
        <v>65</v>
      </c>
      <c r="E50" s="19" t="s">
        <v>71</v>
      </c>
      <c r="F50" s="10" t="s">
        <v>67</v>
      </c>
      <c r="G50" s="10">
        <v>7.0</v>
      </c>
    </row>
    <row r="51">
      <c r="A51" s="7">
        <v>48.0</v>
      </c>
      <c r="B51" s="7" t="s">
        <v>10</v>
      </c>
      <c r="C51" s="7">
        <v>7.0</v>
      </c>
      <c r="D51" s="8" t="s">
        <v>65</v>
      </c>
      <c r="E51" s="19" t="s">
        <v>72</v>
      </c>
      <c r="F51" s="10" t="s">
        <v>67</v>
      </c>
      <c r="G51" s="10">
        <v>7.0</v>
      </c>
    </row>
    <row r="52">
      <c r="A52" s="7">
        <v>49.0</v>
      </c>
      <c r="B52" s="7" t="s">
        <v>10</v>
      </c>
      <c r="C52" s="7">
        <v>7.0</v>
      </c>
      <c r="D52" s="8" t="s">
        <v>65</v>
      </c>
      <c r="E52" s="19" t="s">
        <v>73</v>
      </c>
      <c r="F52" s="10" t="s">
        <v>67</v>
      </c>
      <c r="G52" s="10">
        <v>7.0</v>
      </c>
    </row>
    <row r="53">
      <c r="A53" s="7">
        <v>50.0</v>
      </c>
      <c r="B53" s="7" t="s">
        <v>56</v>
      </c>
      <c r="C53" s="21">
        <v>8.0</v>
      </c>
      <c r="D53" s="8" t="s">
        <v>74</v>
      </c>
      <c r="E53" s="22" t="s">
        <v>75</v>
      </c>
      <c r="F53" s="10" t="s">
        <v>67</v>
      </c>
      <c r="G53" s="10">
        <v>8.0</v>
      </c>
    </row>
    <row r="54">
      <c r="A54" s="7">
        <v>51.0</v>
      </c>
      <c r="B54" s="7" t="s">
        <v>56</v>
      </c>
      <c r="C54" s="21">
        <v>8.0</v>
      </c>
      <c r="D54" s="8" t="s">
        <v>74</v>
      </c>
      <c r="E54" s="22" t="s">
        <v>76</v>
      </c>
      <c r="F54" s="10" t="s">
        <v>67</v>
      </c>
      <c r="G54" s="10">
        <v>8.0</v>
      </c>
    </row>
    <row r="55">
      <c r="A55" s="7">
        <v>52.0</v>
      </c>
      <c r="B55" s="7" t="s">
        <v>56</v>
      </c>
      <c r="C55" s="21">
        <v>8.0</v>
      </c>
      <c r="D55" s="8" t="s">
        <v>74</v>
      </c>
      <c r="E55" s="22" t="s">
        <v>77</v>
      </c>
      <c r="F55" s="10" t="s">
        <v>67</v>
      </c>
      <c r="G55" s="10">
        <v>8.0</v>
      </c>
    </row>
    <row r="56">
      <c r="A56" s="7">
        <v>53.0</v>
      </c>
      <c r="B56" s="7" t="s">
        <v>56</v>
      </c>
      <c r="C56" s="21">
        <v>8.0</v>
      </c>
      <c r="D56" s="8" t="s">
        <v>74</v>
      </c>
      <c r="E56" s="22" t="s">
        <v>78</v>
      </c>
      <c r="F56" s="10" t="s">
        <v>67</v>
      </c>
      <c r="G56" s="10">
        <v>8.0</v>
      </c>
    </row>
    <row r="57">
      <c r="A57" s="7">
        <v>54.0</v>
      </c>
      <c r="B57" s="7" t="s">
        <v>56</v>
      </c>
      <c r="C57" s="21">
        <v>8.0</v>
      </c>
      <c r="D57" s="8" t="s">
        <v>74</v>
      </c>
      <c r="E57" s="22" t="s">
        <v>79</v>
      </c>
      <c r="F57" s="10" t="s">
        <v>67</v>
      </c>
      <c r="G57" s="10">
        <v>8.0</v>
      </c>
    </row>
    <row r="58">
      <c r="A58" s="7">
        <v>55.0</v>
      </c>
      <c r="B58" s="7" t="s">
        <v>56</v>
      </c>
      <c r="C58" s="21">
        <v>8.0</v>
      </c>
      <c r="D58" s="8" t="s">
        <v>74</v>
      </c>
      <c r="E58" s="22" t="s">
        <v>80</v>
      </c>
      <c r="F58" s="10" t="s">
        <v>67</v>
      </c>
      <c r="G58" s="10">
        <v>8.0</v>
      </c>
    </row>
    <row r="59">
      <c r="A59" s="7">
        <v>56.0</v>
      </c>
      <c r="B59" s="7" t="s">
        <v>56</v>
      </c>
      <c r="C59" s="21">
        <v>8.0</v>
      </c>
      <c r="D59" s="8" t="s">
        <v>74</v>
      </c>
      <c r="E59" s="22" t="s">
        <v>81</v>
      </c>
      <c r="F59" s="10" t="s">
        <v>67</v>
      </c>
      <c r="G59" s="10">
        <v>8.0</v>
      </c>
    </row>
    <row r="60">
      <c r="A60" s="7">
        <v>57.0</v>
      </c>
      <c r="B60" s="7" t="s">
        <v>82</v>
      </c>
      <c r="C60" s="21">
        <v>9.0</v>
      </c>
      <c r="D60" s="8" t="s">
        <v>83</v>
      </c>
      <c r="E60" s="23" t="s">
        <v>84</v>
      </c>
      <c r="F60" s="10" t="s">
        <v>67</v>
      </c>
      <c r="G60" s="10">
        <v>9.0</v>
      </c>
    </row>
    <row r="61">
      <c r="A61" s="7">
        <v>58.0</v>
      </c>
      <c r="B61" s="7" t="s">
        <v>82</v>
      </c>
      <c r="C61" s="21">
        <v>9.0</v>
      </c>
      <c r="D61" s="8" t="s">
        <v>83</v>
      </c>
      <c r="E61" s="24" t="s">
        <v>85</v>
      </c>
      <c r="F61" s="10" t="s">
        <v>67</v>
      </c>
      <c r="G61" s="10">
        <v>9.0</v>
      </c>
    </row>
    <row r="62">
      <c r="A62" s="7">
        <v>59.0</v>
      </c>
      <c r="B62" s="7" t="s">
        <v>82</v>
      </c>
      <c r="C62" s="21">
        <v>9.0</v>
      </c>
      <c r="D62" s="8" t="s">
        <v>83</v>
      </c>
      <c r="E62" s="24" t="s">
        <v>15</v>
      </c>
      <c r="F62" s="10" t="s">
        <v>67</v>
      </c>
      <c r="G62" s="10">
        <v>9.0</v>
      </c>
    </row>
    <row r="63">
      <c r="A63" s="7">
        <v>60.0</v>
      </c>
      <c r="B63" s="7" t="s">
        <v>82</v>
      </c>
      <c r="C63" s="21">
        <v>9.0</v>
      </c>
      <c r="D63" s="8" t="s">
        <v>83</v>
      </c>
      <c r="E63" s="24" t="s">
        <v>86</v>
      </c>
      <c r="F63" s="10" t="s">
        <v>67</v>
      </c>
      <c r="G63" s="10">
        <v>9.0</v>
      </c>
    </row>
    <row r="64">
      <c r="A64" s="7">
        <v>61.0</v>
      </c>
      <c r="B64" s="7" t="s">
        <v>82</v>
      </c>
      <c r="C64" s="21">
        <v>9.0</v>
      </c>
      <c r="D64" s="8" t="s">
        <v>83</v>
      </c>
      <c r="E64" s="24" t="s">
        <v>87</v>
      </c>
      <c r="F64" s="10" t="s">
        <v>67</v>
      </c>
      <c r="G64" s="10">
        <v>9.0</v>
      </c>
    </row>
    <row r="65">
      <c r="A65" s="7">
        <v>62.0</v>
      </c>
      <c r="B65" s="7" t="s">
        <v>82</v>
      </c>
      <c r="C65" s="21">
        <v>9.0</v>
      </c>
      <c r="D65" s="8" t="s">
        <v>83</v>
      </c>
      <c r="E65" s="24" t="s">
        <v>88</v>
      </c>
      <c r="F65" s="10" t="s">
        <v>67</v>
      </c>
      <c r="G65" s="10">
        <v>9.0</v>
      </c>
    </row>
    <row r="66">
      <c r="A66" s="7">
        <v>63.0</v>
      </c>
      <c r="B66" s="7" t="s">
        <v>82</v>
      </c>
      <c r="C66" s="21">
        <v>9.0</v>
      </c>
      <c r="D66" s="8" t="s">
        <v>83</v>
      </c>
      <c r="E66" s="24" t="s">
        <v>89</v>
      </c>
      <c r="F66" s="10" t="s">
        <v>67</v>
      </c>
      <c r="G66" s="10">
        <v>9.0</v>
      </c>
    </row>
    <row r="67">
      <c r="A67" s="7">
        <v>64.0</v>
      </c>
      <c r="B67" s="7" t="s">
        <v>82</v>
      </c>
      <c r="C67" s="21">
        <v>10.0</v>
      </c>
      <c r="D67" s="8" t="s">
        <v>90</v>
      </c>
      <c r="E67" s="25" t="s">
        <v>91</v>
      </c>
      <c r="F67" s="10" t="s">
        <v>67</v>
      </c>
      <c r="G67" s="10">
        <v>10.0</v>
      </c>
    </row>
    <row r="68">
      <c r="A68" s="7">
        <v>65.0</v>
      </c>
      <c r="B68" s="7" t="s">
        <v>82</v>
      </c>
      <c r="C68" s="21">
        <v>10.0</v>
      </c>
      <c r="D68" s="8" t="s">
        <v>90</v>
      </c>
      <c r="E68" s="25" t="s">
        <v>92</v>
      </c>
      <c r="F68" s="10" t="s">
        <v>67</v>
      </c>
      <c r="G68" s="10">
        <v>10.0</v>
      </c>
    </row>
    <row r="69">
      <c r="A69" s="7">
        <v>66.0</v>
      </c>
      <c r="B69" s="7" t="s">
        <v>82</v>
      </c>
      <c r="C69" s="21">
        <v>10.0</v>
      </c>
      <c r="D69" s="8" t="s">
        <v>90</v>
      </c>
      <c r="E69" s="26" t="s">
        <v>93</v>
      </c>
      <c r="F69" s="10" t="s">
        <v>67</v>
      </c>
      <c r="G69" s="10">
        <v>10.0</v>
      </c>
    </row>
    <row r="70">
      <c r="A70" s="7">
        <v>67.0</v>
      </c>
      <c r="B70" s="7" t="s">
        <v>82</v>
      </c>
      <c r="C70" s="21">
        <v>10.0</v>
      </c>
      <c r="D70" s="8" t="s">
        <v>90</v>
      </c>
      <c r="E70" s="25" t="s">
        <v>94</v>
      </c>
      <c r="F70" s="10" t="s">
        <v>67</v>
      </c>
      <c r="G70" s="10">
        <v>10.0</v>
      </c>
    </row>
    <row r="71">
      <c r="A71" s="7">
        <v>68.0</v>
      </c>
      <c r="B71" s="7" t="s">
        <v>82</v>
      </c>
      <c r="C71" s="21">
        <v>10.0</v>
      </c>
      <c r="D71" s="8" t="s">
        <v>90</v>
      </c>
      <c r="E71" s="27" t="s">
        <v>95</v>
      </c>
      <c r="F71" s="10" t="s">
        <v>67</v>
      </c>
      <c r="G71" s="10">
        <v>10.0</v>
      </c>
    </row>
    <row r="72">
      <c r="A72" s="7">
        <v>69.0</v>
      </c>
      <c r="B72" s="7" t="s">
        <v>82</v>
      </c>
      <c r="C72" s="21">
        <v>10.0</v>
      </c>
      <c r="D72" s="8" t="s">
        <v>90</v>
      </c>
      <c r="E72" s="27" t="s">
        <v>96</v>
      </c>
      <c r="F72" s="10" t="s">
        <v>67</v>
      </c>
      <c r="G72" s="10">
        <v>10.0</v>
      </c>
    </row>
    <row r="73">
      <c r="A73" s="7">
        <v>70.0</v>
      </c>
      <c r="B73" s="7" t="s">
        <v>82</v>
      </c>
      <c r="C73" s="21">
        <v>10.0</v>
      </c>
      <c r="D73" s="8" t="s">
        <v>90</v>
      </c>
      <c r="E73" s="27" t="s">
        <v>97</v>
      </c>
      <c r="F73" s="10" t="s">
        <v>67</v>
      </c>
      <c r="G73" s="10">
        <v>10.0</v>
      </c>
    </row>
    <row r="74">
      <c r="A74" s="7">
        <v>71.0</v>
      </c>
      <c r="B74" s="7" t="s">
        <v>10</v>
      </c>
      <c r="C74" s="21">
        <v>11.0</v>
      </c>
      <c r="D74" s="8" t="s">
        <v>98</v>
      </c>
      <c r="E74" s="28" t="s">
        <v>99</v>
      </c>
      <c r="F74" s="10" t="s">
        <v>100</v>
      </c>
      <c r="G74" s="10">
        <v>11.0</v>
      </c>
    </row>
    <row r="75">
      <c r="A75" s="7">
        <v>72.0</v>
      </c>
      <c r="B75" s="7" t="s">
        <v>10</v>
      </c>
      <c r="C75" s="21">
        <v>11.0</v>
      </c>
      <c r="D75" s="8" t="s">
        <v>98</v>
      </c>
      <c r="E75" s="28" t="s">
        <v>101</v>
      </c>
      <c r="F75" s="10" t="s">
        <v>100</v>
      </c>
      <c r="G75" s="10">
        <v>11.0</v>
      </c>
    </row>
    <row r="76">
      <c r="A76" s="7">
        <v>73.0</v>
      </c>
      <c r="B76" s="7" t="s">
        <v>10</v>
      </c>
      <c r="C76" s="21">
        <v>11.0</v>
      </c>
      <c r="D76" s="8" t="s">
        <v>98</v>
      </c>
      <c r="E76" s="28" t="s">
        <v>102</v>
      </c>
      <c r="F76" s="10" t="s">
        <v>100</v>
      </c>
      <c r="G76" s="10">
        <v>11.0</v>
      </c>
    </row>
    <row r="77">
      <c r="A77" s="7">
        <v>74.0</v>
      </c>
      <c r="B77" s="7" t="s">
        <v>10</v>
      </c>
      <c r="C77" s="21">
        <v>11.0</v>
      </c>
      <c r="D77" s="8" t="s">
        <v>98</v>
      </c>
      <c r="E77" s="28" t="s">
        <v>103</v>
      </c>
      <c r="F77" s="10" t="s">
        <v>100</v>
      </c>
      <c r="G77" s="10">
        <v>11.0</v>
      </c>
    </row>
    <row r="78">
      <c r="A78" s="7">
        <v>75.0</v>
      </c>
      <c r="B78" s="7" t="s">
        <v>10</v>
      </c>
      <c r="C78" s="21">
        <v>11.0</v>
      </c>
      <c r="D78" s="8" t="s">
        <v>98</v>
      </c>
      <c r="E78" s="29" t="s">
        <v>104</v>
      </c>
      <c r="F78" s="10" t="s">
        <v>100</v>
      </c>
      <c r="G78" s="10">
        <v>11.0</v>
      </c>
    </row>
    <row r="79">
      <c r="A79" s="7">
        <v>76.0</v>
      </c>
      <c r="B79" s="7" t="s">
        <v>10</v>
      </c>
      <c r="C79" s="21">
        <v>11.0</v>
      </c>
      <c r="D79" s="8" t="s">
        <v>98</v>
      </c>
      <c r="E79" s="29" t="s">
        <v>105</v>
      </c>
      <c r="F79" s="10" t="s">
        <v>100</v>
      </c>
      <c r="G79" s="10">
        <v>11.0</v>
      </c>
    </row>
    <row r="80">
      <c r="A80" s="7">
        <v>77.0</v>
      </c>
      <c r="B80" s="7" t="s">
        <v>10</v>
      </c>
      <c r="C80" s="21">
        <v>11.0</v>
      </c>
      <c r="D80" s="8" t="s">
        <v>98</v>
      </c>
      <c r="E80" s="28" t="s">
        <v>89</v>
      </c>
      <c r="F80" s="10" t="s">
        <v>100</v>
      </c>
      <c r="G80" s="10">
        <v>11.0</v>
      </c>
    </row>
    <row r="81">
      <c r="A81" s="7">
        <v>78.0</v>
      </c>
      <c r="B81" s="7" t="s">
        <v>10</v>
      </c>
      <c r="C81" s="21">
        <v>12.0</v>
      </c>
      <c r="D81" s="8" t="s">
        <v>106</v>
      </c>
      <c r="E81" s="30" t="s">
        <v>107</v>
      </c>
      <c r="F81" s="10" t="s">
        <v>100</v>
      </c>
      <c r="G81" s="10">
        <v>12.0</v>
      </c>
    </row>
    <row r="82">
      <c r="A82" s="7">
        <v>79.0</v>
      </c>
      <c r="B82" s="7" t="s">
        <v>21</v>
      </c>
      <c r="C82" s="21">
        <v>12.0</v>
      </c>
      <c r="D82" s="8" t="s">
        <v>106</v>
      </c>
      <c r="E82" s="30" t="s">
        <v>108</v>
      </c>
      <c r="F82" s="10" t="s">
        <v>100</v>
      </c>
      <c r="G82" s="10">
        <v>12.0</v>
      </c>
    </row>
    <row r="83">
      <c r="A83" s="7">
        <v>80.0</v>
      </c>
      <c r="B83" s="7" t="s">
        <v>21</v>
      </c>
      <c r="C83" s="21">
        <v>12.0</v>
      </c>
      <c r="D83" s="8" t="s">
        <v>106</v>
      </c>
      <c r="E83" s="30" t="s">
        <v>109</v>
      </c>
      <c r="F83" s="10" t="s">
        <v>100</v>
      </c>
      <c r="G83" s="10">
        <v>12.0</v>
      </c>
    </row>
    <row r="84">
      <c r="A84" s="7">
        <v>81.0</v>
      </c>
      <c r="B84" s="7" t="s">
        <v>21</v>
      </c>
      <c r="C84" s="21">
        <v>12.0</v>
      </c>
      <c r="D84" s="8" t="s">
        <v>106</v>
      </c>
      <c r="E84" s="30" t="s">
        <v>110</v>
      </c>
      <c r="F84" s="10" t="s">
        <v>100</v>
      </c>
      <c r="G84" s="10">
        <v>12.0</v>
      </c>
    </row>
    <row r="85">
      <c r="A85" s="7">
        <v>82.0</v>
      </c>
      <c r="B85" s="7" t="s">
        <v>21</v>
      </c>
      <c r="C85" s="21">
        <v>12.0</v>
      </c>
      <c r="D85" s="8" t="s">
        <v>106</v>
      </c>
      <c r="E85" s="30" t="s">
        <v>111</v>
      </c>
      <c r="F85" s="10" t="s">
        <v>100</v>
      </c>
      <c r="G85" s="10">
        <v>12.0</v>
      </c>
    </row>
    <row r="86">
      <c r="A86" s="7">
        <v>83.0</v>
      </c>
      <c r="B86" s="7" t="s">
        <v>21</v>
      </c>
      <c r="C86" s="21">
        <v>12.0</v>
      </c>
      <c r="D86" s="8" t="s">
        <v>106</v>
      </c>
      <c r="E86" s="30" t="s">
        <v>112</v>
      </c>
      <c r="F86" s="10" t="s">
        <v>100</v>
      </c>
      <c r="G86" s="10">
        <v>12.0</v>
      </c>
    </row>
    <row r="87">
      <c r="A87" s="7">
        <v>84.0</v>
      </c>
      <c r="B87" s="7" t="s">
        <v>21</v>
      </c>
      <c r="C87" s="21">
        <v>12.0</v>
      </c>
      <c r="D87" s="8" t="s">
        <v>106</v>
      </c>
      <c r="E87" s="30" t="s">
        <v>113</v>
      </c>
      <c r="F87" s="10" t="s">
        <v>100</v>
      </c>
      <c r="G87" s="10">
        <v>12.0</v>
      </c>
    </row>
    <row r="88">
      <c r="A88" s="7"/>
      <c r="B88" s="31"/>
      <c r="C88" s="21"/>
      <c r="D88" s="8"/>
      <c r="E88" s="8"/>
      <c r="F88" s="32"/>
      <c r="G88" s="32"/>
    </row>
    <row r="89">
      <c r="A89" s="7"/>
      <c r="B89" s="31"/>
      <c r="C89" s="31"/>
      <c r="D89" s="8"/>
      <c r="E89" s="8"/>
      <c r="F89" s="32"/>
      <c r="G89" s="32"/>
    </row>
    <row r="90">
      <c r="A90" s="7"/>
      <c r="B90" s="31"/>
      <c r="C90" s="31"/>
      <c r="D90" s="8"/>
      <c r="E90" s="8"/>
      <c r="F90" s="32"/>
      <c r="G90" s="32"/>
    </row>
    <row r="91">
      <c r="A91" s="7"/>
      <c r="B91" s="31"/>
      <c r="C91" s="31"/>
      <c r="D91" s="8"/>
      <c r="E91" s="8"/>
      <c r="F91" s="32"/>
      <c r="G91" s="32"/>
    </row>
    <row r="92">
      <c r="A92" s="7"/>
      <c r="B92" s="31"/>
      <c r="C92" s="31"/>
      <c r="D92" s="8"/>
      <c r="E92" s="8"/>
      <c r="F92" s="32"/>
      <c r="G92" s="32"/>
    </row>
    <row r="93">
      <c r="A93" s="7"/>
      <c r="B93" s="31"/>
      <c r="C93" s="31"/>
      <c r="D93" s="8"/>
      <c r="E93" s="8"/>
      <c r="F93" s="32"/>
      <c r="G93" s="32"/>
    </row>
    <row r="94">
      <c r="A94" s="7"/>
      <c r="B94" s="31"/>
      <c r="C94" s="31"/>
      <c r="D94" s="8"/>
      <c r="E94" s="8"/>
      <c r="F94" s="32"/>
      <c r="G94" s="32"/>
    </row>
    <row r="95">
      <c r="A95" s="7"/>
      <c r="B95" s="31"/>
      <c r="C95" s="31"/>
      <c r="D95" s="8"/>
      <c r="E95" s="8"/>
      <c r="F95" s="32"/>
      <c r="G95" s="32"/>
    </row>
    <row r="96">
      <c r="A96" s="7"/>
      <c r="B96" s="31"/>
      <c r="C96" s="31"/>
      <c r="D96" s="8"/>
      <c r="E96" s="8"/>
      <c r="F96" s="32"/>
      <c r="G96" s="32"/>
    </row>
    <row r="97">
      <c r="A97" s="7"/>
      <c r="B97" s="31"/>
      <c r="C97" s="31"/>
      <c r="D97" s="8"/>
      <c r="E97" s="8"/>
      <c r="F97" s="32"/>
      <c r="G97" s="32"/>
    </row>
    <row r="98">
      <c r="A98" s="7"/>
      <c r="B98" s="31"/>
      <c r="C98" s="31"/>
      <c r="D98" s="8"/>
      <c r="E98" s="8"/>
      <c r="F98" s="32"/>
      <c r="G98" s="32"/>
    </row>
    <row r="99">
      <c r="A99" s="7"/>
      <c r="B99" s="31"/>
      <c r="C99" s="31"/>
      <c r="D99" s="8"/>
      <c r="E99" s="8"/>
      <c r="F99" s="32"/>
      <c r="G99" s="32"/>
    </row>
    <row r="100">
      <c r="A100" s="7"/>
      <c r="B100" s="31"/>
      <c r="C100" s="31"/>
      <c r="D100" s="8"/>
      <c r="E100" s="8"/>
      <c r="F100" s="32"/>
      <c r="G100" s="32"/>
    </row>
    <row r="101">
      <c r="A101" s="7"/>
      <c r="B101" s="31"/>
      <c r="C101" s="31"/>
      <c r="D101" s="8"/>
      <c r="E101" s="8"/>
      <c r="F101" s="32"/>
      <c r="G101" s="32"/>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75.88"/>
    <col customWidth="1" min="3" max="3" width="50.0"/>
    <col customWidth="1" min="4" max="4" width="15.63"/>
  </cols>
  <sheetData>
    <row r="1">
      <c r="A1" s="33" t="s">
        <v>0</v>
      </c>
      <c r="B1" s="34" t="str">
        <f>'Diseño Curricular'!B1</f>
        <v>90 - Programacion de Computadoras 1</v>
      </c>
      <c r="I1" s="35"/>
      <c r="J1" s="35"/>
      <c r="K1" s="35"/>
      <c r="L1" s="35"/>
      <c r="M1" s="35"/>
      <c r="N1" s="35"/>
      <c r="O1" s="35"/>
      <c r="P1" s="35"/>
      <c r="Q1" s="35"/>
      <c r="R1" s="35"/>
      <c r="S1" s="35"/>
      <c r="T1" s="35"/>
      <c r="U1" s="35"/>
      <c r="V1" s="35"/>
      <c r="W1" s="35"/>
      <c r="X1" s="35"/>
      <c r="Y1" s="35"/>
      <c r="Z1" s="35"/>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3" t="s">
        <v>9</v>
      </c>
      <c r="B3" s="36">
        <v>0.0</v>
      </c>
      <c r="C3" s="35"/>
      <c r="D3" s="35"/>
      <c r="E3" s="35"/>
      <c r="F3" s="35"/>
      <c r="G3" s="35"/>
      <c r="H3" s="35"/>
      <c r="I3" s="35"/>
      <c r="J3" s="35"/>
      <c r="K3" s="35"/>
      <c r="L3" s="35"/>
      <c r="M3" s="35"/>
      <c r="N3" s="35"/>
      <c r="O3" s="35"/>
      <c r="P3" s="35"/>
      <c r="Q3" s="35"/>
      <c r="R3" s="35"/>
      <c r="S3" s="35"/>
      <c r="T3" s="35"/>
      <c r="U3" s="35"/>
      <c r="V3" s="35"/>
      <c r="W3" s="35"/>
      <c r="X3" s="35"/>
      <c r="Y3" s="35"/>
      <c r="Z3" s="35"/>
    </row>
    <row r="4">
      <c r="A4" s="35"/>
      <c r="B4" s="35"/>
      <c r="C4" s="35"/>
      <c r="D4" s="35"/>
      <c r="E4" s="35"/>
      <c r="F4" s="35"/>
      <c r="G4" s="35"/>
      <c r="H4" s="35"/>
      <c r="I4" s="35"/>
      <c r="J4" s="35"/>
      <c r="K4" s="35"/>
      <c r="L4" s="35"/>
      <c r="M4" s="35"/>
      <c r="N4" s="35"/>
      <c r="O4" s="35"/>
      <c r="P4" s="35"/>
      <c r="Q4" s="35"/>
      <c r="R4" s="35"/>
      <c r="S4" s="35"/>
      <c r="T4" s="35"/>
      <c r="U4" s="35"/>
      <c r="V4" s="35"/>
      <c r="W4" s="35"/>
      <c r="X4" s="35"/>
      <c r="Y4" s="35"/>
      <c r="Z4" s="35"/>
    </row>
    <row r="5" ht="72.75" customHeight="1">
      <c r="A5" s="33" t="s">
        <v>114</v>
      </c>
      <c r="B5" s="37" t="s">
        <v>115</v>
      </c>
      <c r="H5" s="35"/>
      <c r="I5" s="35"/>
      <c r="J5" s="35"/>
      <c r="K5" s="35"/>
      <c r="L5" s="35"/>
      <c r="M5" s="35"/>
      <c r="N5" s="35"/>
      <c r="O5" s="35"/>
      <c r="P5" s="35"/>
      <c r="Q5" s="35"/>
      <c r="R5" s="35"/>
      <c r="S5" s="35"/>
      <c r="T5" s="35"/>
      <c r="U5" s="35"/>
      <c r="V5" s="35"/>
      <c r="W5" s="35"/>
      <c r="X5" s="35"/>
      <c r="Y5" s="35"/>
      <c r="Z5" s="35"/>
    </row>
    <row r="6">
      <c r="A6" s="38" t="s">
        <v>116</v>
      </c>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3" t="s">
        <v>117</v>
      </c>
      <c r="B8" s="39" t="s">
        <v>118</v>
      </c>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8" t="s">
        <v>3</v>
      </c>
      <c r="B10" s="38" t="s">
        <v>119</v>
      </c>
      <c r="C10" s="35" t="s">
        <v>120</v>
      </c>
      <c r="D10" s="35" t="s">
        <v>121</v>
      </c>
      <c r="E10" s="35"/>
      <c r="F10" s="35"/>
      <c r="G10" s="35"/>
      <c r="H10" s="35"/>
      <c r="I10" s="35"/>
      <c r="J10" s="35"/>
      <c r="K10" s="35"/>
      <c r="L10" s="35"/>
      <c r="M10" s="35"/>
      <c r="N10" s="35"/>
      <c r="O10" s="35"/>
      <c r="P10" s="35"/>
      <c r="Q10" s="35"/>
      <c r="R10" s="35"/>
      <c r="S10" s="35"/>
      <c r="T10" s="35"/>
      <c r="U10" s="35"/>
      <c r="V10" s="35"/>
      <c r="W10" s="35"/>
      <c r="X10" s="35"/>
      <c r="Y10" s="35"/>
      <c r="Z10" s="35"/>
    </row>
    <row r="11">
      <c r="A11" s="40">
        <v>1.0</v>
      </c>
      <c r="B11" s="38" t="s">
        <v>122</v>
      </c>
      <c r="C11" s="35" t="s">
        <v>123</v>
      </c>
      <c r="D11" s="41">
        <v>5.0</v>
      </c>
      <c r="E11" s="35"/>
      <c r="F11" s="35"/>
      <c r="G11" s="35"/>
      <c r="H11" s="35"/>
      <c r="I11" s="35"/>
      <c r="J11" s="35"/>
      <c r="K11" s="35"/>
      <c r="L11" s="35"/>
      <c r="M11" s="35"/>
      <c r="N11" s="35"/>
      <c r="O11" s="35"/>
      <c r="P11" s="35"/>
      <c r="Q11" s="35"/>
      <c r="R11" s="35"/>
      <c r="S11" s="35"/>
      <c r="T11" s="35"/>
      <c r="U11" s="35"/>
      <c r="V11" s="35"/>
      <c r="W11" s="35"/>
      <c r="X11" s="35"/>
      <c r="Y11" s="35"/>
      <c r="Z11" s="35"/>
    </row>
    <row r="12">
      <c r="A12" s="40">
        <v>2.0</v>
      </c>
      <c r="B12" s="38" t="s">
        <v>124</v>
      </c>
      <c r="C12" s="35" t="s">
        <v>125</v>
      </c>
      <c r="D12" s="41">
        <v>15.0</v>
      </c>
      <c r="E12" s="35"/>
      <c r="F12" s="35"/>
      <c r="G12" s="35"/>
      <c r="H12" s="35"/>
      <c r="I12" s="35"/>
      <c r="J12" s="35"/>
      <c r="K12" s="35"/>
      <c r="L12" s="35"/>
      <c r="M12" s="35"/>
      <c r="N12" s="35"/>
      <c r="O12" s="35"/>
      <c r="P12" s="35"/>
      <c r="Q12" s="35"/>
      <c r="R12" s="35"/>
      <c r="S12" s="35"/>
      <c r="T12" s="35"/>
      <c r="U12" s="35"/>
      <c r="V12" s="35"/>
      <c r="W12" s="35"/>
      <c r="X12" s="35"/>
      <c r="Y12" s="35"/>
      <c r="Z12" s="35"/>
    </row>
    <row r="13">
      <c r="A13" s="40">
        <v>3.0</v>
      </c>
      <c r="B13" s="38" t="s">
        <v>126</v>
      </c>
      <c r="C13" s="35" t="s">
        <v>127</v>
      </c>
      <c r="D13" s="41">
        <v>40.0</v>
      </c>
      <c r="E13" s="35"/>
      <c r="F13" s="35"/>
      <c r="G13" s="35"/>
      <c r="H13" s="35"/>
      <c r="I13" s="35"/>
      <c r="J13" s="35"/>
      <c r="K13" s="35"/>
      <c r="L13" s="35"/>
      <c r="M13" s="35"/>
      <c r="N13" s="35"/>
      <c r="O13" s="35"/>
      <c r="P13" s="35"/>
      <c r="Q13" s="35"/>
      <c r="R13" s="35"/>
      <c r="S13" s="35"/>
      <c r="T13" s="35"/>
      <c r="U13" s="35"/>
      <c r="V13" s="35"/>
      <c r="W13" s="35"/>
      <c r="X13" s="35"/>
      <c r="Y13" s="35"/>
      <c r="Z13" s="35"/>
    </row>
    <row r="14">
      <c r="A14" s="40">
        <v>4.0</v>
      </c>
      <c r="B14" s="38" t="s">
        <v>128</v>
      </c>
      <c r="C14" s="35" t="s">
        <v>129</v>
      </c>
      <c r="D14" s="41">
        <v>20.0</v>
      </c>
      <c r="E14" s="35"/>
      <c r="F14" s="35"/>
      <c r="G14" s="35"/>
      <c r="H14" s="35"/>
      <c r="I14" s="35"/>
      <c r="J14" s="35"/>
      <c r="K14" s="35"/>
      <c r="L14" s="35"/>
      <c r="M14" s="35"/>
      <c r="N14" s="35"/>
      <c r="O14" s="35"/>
      <c r="P14" s="35"/>
      <c r="Q14" s="35"/>
      <c r="R14" s="35"/>
      <c r="S14" s="35"/>
      <c r="T14" s="35"/>
      <c r="U14" s="35"/>
      <c r="V14" s="35"/>
      <c r="W14" s="35"/>
      <c r="X14" s="35"/>
      <c r="Y14" s="35"/>
      <c r="Z14" s="35"/>
    </row>
    <row r="15">
      <c r="A15" s="40">
        <v>5.0</v>
      </c>
      <c r="B15" s="38" t="s">
        <v>130</v>
      </c>
      <c r="C15" s="35" t="s">
        <v>127</v>
      </c>
      <c r="D15" s="41">
        <v>20.0</v>
      </c>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1.0</v>
      </c>
    </row>
    <row r="5" ht="78.75" customHeight="1">
      <c r="A5" s="1" t="s">
        <v>114</v>
      </c>
      <c r="B5" s="45" t="s">
        <v>131</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25.0</v>
      </c>
      <c r="H16" s="53"/>
    </row>
    <row r="17">
      <c r="A17" s="51" t="s">
        <v>3</v>
      </c>
      <c r="B17" s="51" t="s">
        <v>6</v>
      </c>
      <c r="C17" s="51" t="s">
        <v>7</v>
      </c>
      <c r="D17" s="51"/>
      <c r="E17" s="51"/>
      <c r="F17" s="51"/>
      <c r="G17" s="51"/>
    </row>
    <row r="18">
      <c r="A18" s="7">
        <v>1.0</v>
      </c>
      <c r="B18" s="31" t="str">
        <f>IFERROR(__xludf.DUMMYFUNCTION("FILTER('Diseño Curricular'!D:D,'Diseño Curricular'!G:G=$B$3)"),"Inicio y Diagnóstico")</f>
        <v>Inicio y Diagnóstico</v>
      </c>
      <c r="C18" s="7" t="s">
        <v>12</v>
      </c>
      <c r="D18" s="54">
        <v>5.0</v>
      </c>
      <c r="E18" s="55">
        <v>2.0</v>
      </c>
      <c r="F18" s="54">
        <v>4.0</v>
      </c>
      <c r="G18" s="56"/>
    </row>
    <row r="19">
      <c r="A19" s="7">
        <v>2.0</v>
      </c>
      <c r="B19" s="31" t="str">
        <f>IFERROR(__xludf.DUMMYFUNCTION("""COMPUTED_VALUE"""),"Inicio y Diagnóstico")</f>
        <v>Inicio y Diagnóstico</v>
      </c>
      <c r="C19" s="7" t="s">
        <v>14</v>
      </c>
      <c r="D19" s="54">
        <v>5.0</v>
      </c>
      <c r="E19" s="55">
        <v>2.0</v>
      </c>
      <c r="F19" s="54">
        <v>4.0</v>
      </c>
      <c r="G19" s="56"/>
    </row>
    <row r="20">
      <c r="A20" s="7">
        <v>3.0</v>
      </c>
      <c r="B20" s="31" t="str">
        <f>IFERROR(__xludf.DUMMYFUNCTION("""COMPUTED_VALUE"""),"Inicio y Diagnóstico")</f>
        <v>Inicio y Diagnóstico</v>
      </c>
      <c r="C20" s="7" t="s">
        <v>15</v>
      </c>
      <c r="D20" s="54">
        <v>5.0</v>
      </c>
      <c r="E20" s="55">
        <v>2.0</v>
      </c>
      <c r="F20" s="54">
        <v>4.0</v>
      </c>
      <c r="G20" s="56"/>
    </row>
    <row r="21">
      <c r="A21" s="7">
        <v>4.0</v>
      </c>
      <c r="B21" s="31" t="str">
        <f>IFERROR(__xludf.DUMMYFUNCTION("""COMPUTED_VALUE"""),"Inicio y Diagnóstico")</f>
        <v>Inicio y Diagnóstico</v>
      </c>
      <c r="C21" s="7" t="s">
        <v>16</v>
      </c>
      <c r="D21" s="54">
        <v>5.0</v>
      </c>
      <c r="E21" s="55">
        <v>2.0</v>
      </c>
      <c r="F21" s="54">
        <v>4.0</v>
      </c>
      <c r="G21" s="56"/>
    </row>
    <row r="22">
      <c r="A22" s="7">
        <v>5.0</v>
      </c>
      <c r="B22" s="31" t="str">
        <f>IFERROR(__xludf.DUMMYFUNCTION("""COMPUTED_VALUE"""),"Inicio y Diagnóstico")</f>
        <v>Inicio y Diagnóstico</v>
      </c>
      <c r="C22" s="7" t="s">
        <v>17</v>
      </c>
      <c r="D22" s="54">
        <v>5.0</v>
      </c>
      <c r="E22" s="55">
        <v>2.0</v>
      </c>
      <c r="F22" s="54">
        <v>4.0</v>
      </c>
      <c r="G22" s="56"/>
    </row>
    <row r="23">
      <c r="A23" s="7">
        <v>6.0</v>
      </c>
      <c r="B23" s="31" t="str">
        <f>IFERROR(__xludf.DUMMYFUNCTION("""COMPUTED_VALUE"""),"Inicio y Diagnóstico")</f>
        <v>Inicio y Diagnóstico</v>
      </c>
      <c r="C23" s="7" t="s">
        <v>18</v>
      </c>
      <c r="D23" s="56"/>
      <c r="E23" s="55"/>
      <c r="F23" s="54">
        <v>4.0</v>
      </c>
      <c r="G23" s="56"/>
    </row>
    <row r="24">
      <c r="A24" s="7">
        <v>7.0</v>
      </c>
      <c r="B24" s="31" t="str">
        <f>IFERROR(__xludf.DUMMYFUNCTION("""COMPUTED_VALUE"""),"Inicio y Diagnóstico")</f>
        <v>Inicio y Diagnóstico</v>
      </c>
      <c r="C24" s="7" t="s">
        <v>19</v>
      </c>
      <c r="D24" s="56"/>
      <c r="E24" s="56"/>
      <c r="F24" s="56"/>
      <c r="G24" s="54">
        <v>20.0</v>
      </c>
    </row>
    <row r="25">
      <c r="A25" s="57"/>
      <c r="B25" s="57"/>
      <c r="C25" s="57"/>
      <c r="D25" s="57"/>
      <c r="E25" s="57"/>
      <c r="F25" s="57"/>
      <c r="G25" s="58" t="s">
        <v>142</v>
      </c>
      <c r="H25" s="59">
        <f>SUM(D16:G16)</f>
        <v>85</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70">
        <v>10.0</v>
      </c>
      <c r="F38" s="70"/>
      <c r="G38" s="70"/>
    </row>
    <row r="39">
      <c r="A39" s="7">
        <v>2.0</v>
      </c>
      <c r="B39" s="69" t="s">
        <v>10</v>
      </c>
      <c r="C39" s="31"/>
      <c r="D39" s="31"/>
      <c r="E39" s="70">
        <v>5.0</v>
      </c>
      <c r="F39" s="70"/>
      <c r="G39" s="70"/>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49">
      <c r="B49" s="5"/>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5">
        <v>0.0</v>
      </c>
    </row>
    <row r="53">
      <c r="A53" s="71"/>
      <c r="B53" s="71"/>
      <c r="C53" s="71"/>
      <c r="D53" s="71"/>
      <c r="E53" s="71"/>
      <c r="F53" s="71"/>
      <c r="G53" s="73" t="s">
        <v>142</v>
      </c>
      <c r="H53" s="71">
        <f>G52</f>
        <v>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2.0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105</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Curricular'!G:G=$B$3)"),"Inicio y Diagnóstico")</f>
        <v>Inicio y Diagnóstico</v>
      </c>
      <c r="C18" s="21" t="s">
        <v>20</v>
      </c>
      <c r="D18" s="54">
        <v>5.0</v>
      </c>
      <c r="E18" s="55">
        <v>2.0</v>
      </c>
      <c r="F18" s="54">
        <v>4.0</v>
      </c>
      <c r="G18" s="56"/>
    </row>
    <row r="19">
      <c r="A19" s="7">
        <v>2.0</v>
      </c>
      <c r="B19" s="31" t="str">
        <f>IFERROR(__xludf.DUMMYFUNCTION("""COMPUTED_VALUE"""),"Maquinas Virtuales")</f>
        <v>Maquinas Virtuales</v>
      </c>
      <c r="C19" s="21" t="s">
        <v>23</v>
      </c>
      <c r="D19" s="54">
        <v>5.0</v>
      </c>
      <c r="E19" s="55">
        <v>2.0</v>
      </c>
      <c r="F19" s="54">
        <v>4.0</v>
      </c>
      <c r="G19" s="56"/>
    </row>
    <row r="20">
      <c r="A20" s="7">
        <v>3.0</v>
      </c>
      <c r="B20" s="31" t="str">
        <f>IFERROR(__xludf.DUMMYFUNCTION("""COMPUTED_VALUE"""),"Maquinas Virtuales")</f>
        <v>Maquinas Virtuales</v>
      </c>
      <c r="C20" s="21" t="s">
        <v>24</v>
      </c>
      <c r="D20" s="54">
        <v>5.0</v>
      </c>
      <c r="E20" s="55">
        <v>2.0</v>
      </c>
      <c r="F20" s="54">
        <v>4.0</v>
      </c>
      <c r="G20" s="56"/>
    </row>
    <row r="21">
      <c r="A21" s="7">
        <v>4.0</v>
      </c>
      <c r="B21" s="31" t="str">
        <f>IFERROR(__xludf.DUMMYFUNCTION("""COMPUTED_VALUE"""),"Maquinas Virtuales")</f>
        <v>Maquinas Virtuales</v>
      </c>
      <c r="C21" s="21" t="s">
        <v>25</v>
      </c>
      <c r="D21" s="54">
        <v>5.0</v>
      </c>
      <c r="E21" s="55">
        <v>2.0</v>
      </c>
      <c r="F21" s="54">
        <v>4.0</v>
      </c>
      <c r="G21" s="56"/>
    </row>
    <row r="22">
      <c r="A22" s="7">
        <v>5.0</v>
      </c>
      <c r="B22" s="31" t="str">
        <f>IFERROR(__xludf.DUMMYFUNCTION("""COMPUTED_VALUE"""),"Maquinas Virtuales")</f>
        <v>Maquinas Virtuales</v>
      </c>
      <c r="C22" s="21" t="s">
        <v>26</v>
      </c>
      <c r="D22" s="54">
        <v>5.0</v>
      </c>
      <c r="E22" s="55">
        <v>2.0</v>
      </c>
      <c r="F22" s="54">
        <v>4.0</v>
      </c>
      <c r="G22" s="56"/>
    </row>
    <row r="23">
      <c r="A23" s="7">
        <v>6.0</v>
      </c>
      <c r="B23" s="31" t="str">
        <f>IFERROR(__xludf.DUMMYFUNCTION("""COMPUTED_VALUE"""),"Maquinas Virtuales")</f>
        <v>Maquinas Virtuales</v>
      </c>
      <c r="C23" s="21" t="s">
        <v>27</v>
      </c>
      <c r="D23" s="56"/>
      <c r="E23" s="55"/>
      <c r="F23" s="54">
        <v>4.0</v>
      </c>
      <c r="G23" s="56"/>
    </row>
    <row r="24">
      <c r="A24" s="7">
        <v>7.0</v>
      </c>
      <c r="B24" s="31" t="str">
        <f>IFERROR(__xludf.DUMMYFUNCTION("""COMPUTED_VALUE"""),"Maquinas Virtuales")</f>
        <v>Maquinas Virtuales</v>
      </c>
      <c r="C24" s="21" t="s">
        <v>28</v>
      </c>
      <c r="D24" s="56"/>
      <c r="E24" s="56"/>
      <c r="F24" s="56"/>
      <c r="G24" s="54">
        <v>25.0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70">
        <v>10.0</v>
      </c>
      <c r="F38" s="70"/>
      <c r="G38" s="70"/>
    </row>
    <row r="39">
      <c r="A39" s="7">
        <v>2.0</v>
      </c>
      <c r="B39" s="69" t="s">
        <v>10</v>
      </c>
      <c r="C39" s="31"/>
      <c r="D39" s="31"/>
      <c r="E39" s="70">
        <v>5.0</v>
      </c>
      <c r="F39" s="70"/>
      <c r="G39" s="70"/>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10.0</v>
      </c>
    </row>
    <row r="53">
      <c r="A53" s="71"/>
      <c r="B53" s="71"/>
      <c r="C53" s="71"/>
      <c r="D53" s="71"/>
      <c r="E53" s="71"/>
      <c r="F53" s="71"/>
      <c r="G53" s="73" t="s">
        <v>142</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3.0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20.0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Curricular'!G:G=$B$3)"),"Introducción al Paquete Microsoft Office")</f>
        <v>Introducción al Paquete Microsoft Office</v>
      </c>
      <c r="C18" s="31" t="str">
        <f>IFERROR(__xludf.DUMMYFUNCTION("FILTER('Diseño Curricular'!E:E,'Diseño Curricular'!G:G=$B$3)"),"Lectura General Microsoft  Office")</f>
        <v>Lectura General Microsoft  Office</v>
      </c>
      <c r="D18" s="54">
        <v>5.0</v>
      </c>
      <c r="E18" s="55">
        <v>2.0</v>
      </c>
      <c r="F18" s="54">
        <v>4.0</v>
      </c>
      <c r="G18" s="56"/>
    </row>
    <row r="19">
      <c r="A19" s="7">
        <v>2.0</v>
      </c>
      <c r="B19" s="31" t="str">
        <f>IFERROR(__xludf.DUMMYFUNCTION("""COMPUTED_VALUE"""),"Introducción al Paquete Microsoft Office")</f>
        <v>Introducción al Paquete Microsoft Office</v>
      </c>
      <c r="C19" s="31" t="str">
        <f>IFERROR(__xludf.DUMMYFUNCTION("""COMPUTED_VALUE"""),"Lectura General Microsoft  Word")</f>
        <v>Lectura General Microsoft  Word</v>
      </c>
      <c r="D19" s="54">
        <v>5.0</v>
      </c>
      <c r="E19" s="55">
        <v>2.0</v>
      </c>
      <c r="F19" s="54">
        <v>4.0</v>
      </c>
      <c r="G19" s="56"/>
    </row>
    <row r="20">
      <c r="A20" s="7">
        <v>3.0</v>
      </c>
      <c r="B20" s="31" t="str">
        <f>IFERROR(__xludf.DUMMYFUNCTION("""COMPUTED_VALUE"""),"Introducción al Paquete Microsoft Office")</f>
        <v>Introducción al Paquete Microsoft Office</v>
      </c>
      <c r="C20" s="31" t="str">
        <f>IFERROR(__xludf.DUMMYFUNCTION("""COMPUTED_VALUE"""),"Lectura General Microsoft  Excel")</f>
        <v>Lectura General Microsoft  Excel</v>
      </c>
      <c r="D20" s="54">
        <v>5.0</v>
      </c>
      <c r="E20" s="55">
        <v>2.0</v>
      </c>
      <c r="F20" s="54">
        <v>4.0</v>
      </c>
      <c r="G20" s="56"/>
    </row>
    <row r="21">
      <c r="A21" s="7">
        <v>4.0</v>
      </c>
      <c r="B21" s="31" t="str">
        <f>IFERROR(__xludf.DUMMYFUNCTION("""COMPUTED_VALUE"""),"Introducción al Paquete Microsoft Office")</f>
        <v>Introducción al Paquete Microsoft Office</v>
      </c>
      <c r="C21" s="31" t="str">
        <f>IFERROR(__xludf.DUMMYFUNCTION("""COMPUTED_VALUE"""),"Lectura General Microsoft  Power Point")</f>
        <v>Lectura General Microsoft  Power Point</v>
      </c>
      <c r="D21" s="54">
        <v>5.0</v>
      </c>
      <c r="E21" s="55">
        <v>2.0</v>
      </c>
      <c r="F21" s="54">
        <v>4.0</v>
      </c>
      <c r="G21" s="56"/>
    </row>
    <row r="22">
      <c r="A22" s="7">
        <v>5.0</v>
      </c>
      <c r="B22" s="31" t="str">
        <f>IFERROR(__xludf.DUMMYFUNCTION("""COMPUTED_VALUE"""),"Introducción al Paquete Microsoft Office")</f>
        <v>Introducción al Paquete Microsoft Office</v>
      </c>
      <c r="C22" s="31" t="str">
        <f>IFERROR(__xludf.DUMMYFUNCTION("""COMPUTED_VALUE"""),"Lectura General Microsoft  Access")</f>
        <v>Lectura General Microsoft  Access</v>
      </c>
      <c r="D22" s="54">
        <v>5.0</v>
      </c>
      <c r="E22" s="55">
        <v>2.0</v>
      </c>
      <c r="F22" s="54">
        <v>4.0</v>
      </c>
      <c r="G22" s="56"/>
    </row>
    <row r="23">
      <c r="A23" s="7">
        <v>6.0</v>
      </c>
      <c r="B23" s="31" t="str">
        <f>IFERROR(__xludf.DUMMYFUNCTION("""COMPUTED_VALUE"""),"Introducción al Paquete Microsoft Office")</f>
        <v>Introducción al Paquete Microsoft Office</v>
      </c>
      <c r="C23" s="31" t="str">
        <f>IFERROR(__xludf.DUMMYFUNCTION("""COMPUTED_VALUE"""),"Lectura de la práctica única")</f>
        <v>Lectura de la práctica única</v>
      </c>
      <c r="D23" s="56"/>
      <c r="E23" s="55"/>
      <c r="F23" s="54">
        <v>4.0</v>
      </c>
      <c r="G23" s="56"/>
    </row>
    <row r="24">
      <c r="A24" s="7">
        <v>7.0</v>
      </c>
      <c r="B24" s="31" t="str">
        <f>IFERROR(__xludf.DUMMYFUNCTION("""COMPUTED_VALUE"""),"Introducción al Paquete Microsoft Office")</f>
        <v>Introducción al Paquete Microsoft Office</v>
      </c>
      <c r="C24" s="31" t="str">
        <f>IFERROR(__xludf.DUMMYFUNCTION("""COMPUTED_VALUE"""),"preguntas y dudas")</f>
        <v>preguntas y dudas</v>
      </c>
      <c r="D24" s="56"/>
      <c r="E24" s="56"/>
      <c r="F24" s="56"/>
      <c r="G24" s="54">
        <v>25.0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70">
        <v>10.0</v>
      </c>
      <c r="D38" s="31"/>
      <c r="E38" s="31"/>
      <c r="F38" s="31"/>
      <c r="G38" s="70"/>
    </row>
    <row r="39">
      <c r="A39" s="7">
        <v>2.0</v>
      </c>
      <c r="B39" s="69" t="s">
        <v>29</v>
      </c>
      <c r="C39" s="70">
        <v>5.0</v>
      </c>
      <c r="D39" s="31"/>
      <c r="E39" s="31"/>
      <c r="F39" s="31"/>
      <c r="G39" s="70"/>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4.0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v>5.0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Curricular'!G:G=$B$3)"),"Herramientas de Excel")</f>
        <v>Herramientas de Excel</v>
      </c>
      <c r="C18" s="31" t="str">
        <f>IFERROR(__xludf.DUMMYFUNCTION("FILTER('Diseño Curricular'!E:E,'Diseño Curricular'!G:G=$B$3)"),"Manipulación de celdas")</f>
        <v>Manipulación de celdas</v>
      </c>
      <c r="D18" s="54">
        <v>5.0</v>
      </c>
      <c r="E18" s="55">
        <v>2.0</v>
      </c>
      <c r="F18" s="54">
        <v>4.0</v>
      </c>
      <c r="G18" s="56"/>
    </row>
    <row r="19">
      <c r="A19" s="7">
        <v>2.0</v>
      </c>
      <c r="B19" s="31" t="str">
        <f>IFERROR(__xludf.DUMMYFUNCTION("""COMPUTED_VALUE"""),"Herramientas de Excel")</f>
        <v>Herramientas de Excel</v>
      </c>
      <c r="C19" s="31" t="str">
        <f>IFERROR(__xludf.DUMMYFUNCTION("""COMPUTED_VALUE"""),"Fórmulas")</f>
        <v>Fórmulas</v>
      </c>
      <c r="D19" s="54">
        <v>5.0</v>
      </c>
      <c r="E19" s="55">
        <v>2.0</v>
      </c>
      <c r="F19" s="54">
        <v>4.0</v>
      </c>
      <c r="G19" s="56"/>
    </row>
    <row r="20">
      <c r="A20" s="7">
        <v>3.0</v>
      </c>
      <c r="B20" s="31" t="str">
        <f>IFERROR(__xludf.DUMMYFUNCTION("""COMPUTED_VALUE"""),"Herramientas de Excel")</f>
        <v>Herramientas de Excel</v>
      </c>
      <c r="C20" s="31" t="str">
        <f>IFERROR(__xludf.DUMMYFUNCTION("""COMPUTED_VALUE"""),"Funciones")</f>
        <v>Funciones</v>
      </c>
      <c r="D20" s="54">
        <v>5.0</v>
      </c>
      <c r="E20" s="55">
        <v>2.0</v>
      </c>
      <c r="F20" s="54">
        <v>4.0</v>
      </c>
      <c r="G20" s="56"/>
    </row>
    <row r="21">
      <c r="A21" s="7">
        <v>4.0</v>
      </c>
      <c r="B21" s="31" t="str">
        <f>IFERROR(__xludf.DUMMYFUNCTION("""COMPUTED_VALUE"""),"Herramientas de Excel")</f>
        <v>Herramientas de Excel</v>
      </c>
      <c r="C21" s="31" t="str">
        <f>IFERROR(__xludf.DUMMYFUNCTION("""COMPUTED_VALUE"""),"Creación de gráficos")</f>
        <v>Creación de gráficos</v>
      </c>
      <c r="D21" s="54">
        <v>5.0</v>
      </c>
      <c r="E21" s="55">
        <v>2.0</v>
      </c>
      <c r="F21" s="54">
        <v>4.0</v>
      </c>
      <c r="G21" s="56"/>
    </row>
    <row r="22">
      <c r="A22" s="7">
        <v>5.0</v>
      </c>
      <c r="B22" s="31" t="str">
        <f>IFERROR(__xludf.DUMMYFUNCTION("""COMPUTED_VALUE"""),"Herramientas de Excel")</f>
        <v>Herramientas de Excel</v>
      </c>
      <c r="C22" s="31" t="str">
        <f>IFERROR(__xludf.DUMMYFUNCTION("""COMPUTED_VALUE"""),"Análisis de datos en Excel")</f>
        <v>Análisis de datos en Excel</v>
      </c>
      <c r="D22" s="54">
        <v>5.0</v>
      </c>
      <c r="E22" s="55">
        <v>2.0</v>
      </c>
      <c r="F22" s="54">
        <v>4.0</v>
      </c>
      <c r="G22" s="56"/>
    </row>
    <row r="23">
      <c r="A23" s="7">
        <v>6.0</v>
      </c>
      <c r="B23" s="31" t="str">
        <f>IFERROR(__xludf.DUMMYFUNCTION("""COMPUTED_VALUE"""),"Herramientas de Excel")</f>
        <v>Herramientas de Excel</v>
      </c>
      <c r="C23" s="31" t="str">
        <f>IFERROR(__xludf.DUMMYFUNCTION("""COMPUTED_VALUE"""),"Uso de tablas dinámicas")</f>
        <v>Uso de tablas dinámicas</v>
      </c>
      <c r="D23" s="56"/>
      <c r="E23" s="55"/>
      <c r="F23" s="54">
        <v>4.0</v>
      </c>
      <c r="G23" s="56"/>
    </row>
    <row r="24">
      <c r="A24" s="7">
        <v>7.0</v>
      </c>
      <c r="B24" s="31" t="str">
        <f>IFERROR(__xludf.DUMMYFUNCTION("""COMPUTED_VALUE"""),"Herramientas de Excel")</f>
        <v>Herramientas de Excel</v>
      </c>
      <c r="C24" s="31" t="str">
        <f>IFERROR(__xludf.DUMMYFUNCTION("""COMPUTED_VALUE"""),"Ejemplos practicos")</f>
        <v>Ejemplos practicos</v>
      </c>
      <c r="D24" s="56"/>
      <c r="E24" s="56"/>
      <c r="F24" s="56"/>
      <c r="G24" s="54">
        <v>20.0</v>
      </c>
    </row>
    <row r="25">
      <c r="A25" s="57"/>
      <c r="B25" s="57"/>
      <c r="C25" s="57"/>
      <c r="D25" s="57"/>
      <c r="E25" s="57"/>
      <c r="F25" s="57"/>
      <c r="G25" s="58" t="s">
        <v>142</v>
      </c>
      <c r="H25" s="59">
        <v>80.0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10.0</v>
      </c>
    </row>
    <row r="39">
      <c r="A39" s="7">
        <v>2.0</v>
      </c>
      <c r="B39" s="69" t="s">
        <v>29</v>
      </c>
      <c r="C39" s="31"/>
      <c r="D39" s="31"/>
      <c r="E39" s="31"/>
      <c r="F39" s="31"/>
      <c r="G39" s="70"/>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2">
        <v>10.0</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10.0</v>
      </c>
    </row>
    <row r="53">
      <c r="A53" s="71"/>
      <c r="B53" s="71"/>
      <c r="C53" s="71"/>
      <c r="D53" s="71"/>
      <c r="E53" s="71"/>
      <c r="F53" s="71"/>
      <c r="G53" s="73" t="s">
        <v>142</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5.0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Curricular'!G:G=$B$3)"),"Integración de formularios y tablas en VBA")</f>
        <v>Integración de formularios y tablas en VBA</v>
      </c>
      <c r="C18" s="31" t="str">
        <f>IFERROR(__xludf.DUMMYFUNCTION("FILTER('Diseño Curricular'!E:E,'Diseño Curricular'!G:G=$B$3)"),"Importar y Exportar Excel con macros")</f>
        <v>Importar y Exportar Excel con macros</v>
      </c>
      <c r="D18" s="54">
        <v>5.0</v>
      </c>
      <c r="E18" s="55">
        <v>2.0</v>
      </c>
      <c r="F18" s="54">
        <v>4.0</v>
      </c>
      <c r="G18" s="56"/>
    </row>
    <row r="19">
      <c r="A19" s="7">
        <v>2.0</v>
      </c>
      <c r="B19" s="31" t="str">
        <f>IFERROR(__xludf.DUMMYFUNCTION("""COMPUTED_VALUE"""),"Integración de formularios y tablas en VBA")</f>
        <v>Integración de formularios y tablas en VBA</v>
      </c>
      <c r="C19" s="31" t="str">
        <f>IFERROR(__xludf.DUMMYFUNCTION("""COMPUTED_VALUE"""),"Funcion de programador en Excel")</f>
        <v>Funcion de programador en Excel</v>
      </c>
      <c r="D19" s="54">
        <v>5.0</v>
      </c>
      <c r="E19" s="55">
        <v>2.0</v>
      </c>
      <c r="F19" s="54">
        <v>4.0</v>
      </c>
      <c r="G19" s="56"/>
    </row>
    <row r="20">
      <c r="A20" s="7">
        <v>3.0</v>
      </c>
      <c r="B20" s="31" t="str">
        <f>IFERROR(__xludf.DUMMYFUNCTION("""COMPUTED_VALUE"""),"Integración de formularios y tablas en VBA")</f>
        <v>Integración de formularios y tablas en VBA</v>
      </c>
      <c r="C20" s="31" t="str">
        <f>IFERROR(__xludf.DUMMYFUNCTION("""COMPUTED_VALUE"""),"Formularios en excel con VBA")</f>
        <v>Formularios en excel con VBA</v>
      </c>
      <c r="D20" s="54">
        <v>5.0</v>
      </c>
      <c r="E20" s="55">
        <v>2.0</v>
      </c>
      <c r="F20" s="54">
        <v>4.0</v>
      </c>
      <c r="G20" s="56"/>
    </row>
    <row r="21">
      <c r="A21" s="7">
        <v>4.0</v>
      </c>
      <c r="B21" s="31" t="str">
        <f>IFERROR(__xludf.DUMMYFUNCTION("""COMPUTED_VALUE"""),"Integración de formularios y tablas en VBA")</f>
        <v>Integración de formularios y tablas en VBA</v>
      </c>
      <c r="C21" s="31" t="str">
        <f>IFERROR(__xludf.DUMMYFUNCTION("""COMPUTED_VALUE"""),"Creación de macros en Excel")</f>
        <v>Creación de macros en Excel</v>
      </c>
      <c r="D21" s="54">
        <v>5.0</v>
      </c>
      <c r="E21" s="55">
        <v>2.0</v>
      </c>
      <c r="F21" s="54">
        <v>4.0</v>
      </c>
      <c r="G21" s="56"/>
    </row>
    <row r="22">
      <c r="A22" s="7">
        <v>5.0</v>
      </c>
      <c r="B22" s="31" t="str">
        <f>IFERROR(__xludf.DUMMYFUNCTION("""COMPUTED_VALUE"""),"Integración de formularios y tablas en VBA")</f>
        <v>Integración de formularios y tablas en VBA</v>
      </c>
      <c r="C22" s="31" t="str">
        <f>IFERROR(__xludf.DUMMYFUNCTION("""COMPUTED_VALUE"""),"Automatización con macros")</f>
        <v>Automatización con macros</v>
      </c>
      <c r="D22" s="54">
        <v>5.0</v>
      </c>
      <c r="E22" s="55">
        <v>2.0</v>
      </c>
      <c r="F22" s="54">
        <v>4.0</v>
      </c>
      <c r="G22" s="56"/>
    </row>
    <row r="23">
      <c r="A23" s="7">
        <v>6.0</v>
      </c>
      <c r="B23" s="31" t="str">
        <f>IFERROR(__xludf.DUMMYFUNCTION("""COMPUTED_VALUE"""),"Integración de formularios y tablas en VBA")</f>
        <v>Integración de formularios y tablas en VBA</v>
      </c>
      <c r="C23" s="31" t="str">
        <f>IFERROR(__xludf.DUMMYFUNCTION("""COMPUTED_VALUE"""),"Asignar macros a controles en excel")</f>
        <v>Asignar macros a controles en excel</v>
      </c>
      <c r="D23" s="56"/>
      <c r="E23" s="55"/>
      <c r="F23" s="54">
        <v>4.0</v>
      </c>
      <c r="G23" s="56"/>
    </row>
    <row r="24">
      <c r="A24" s="7">
        <v>7.0</v>
      </c>
      <c r="B24" s="31" t="str">
        <f>IFERROR(__xludf.DUMMYFUNCTION("""COMPUTED_VALUE"""),"Integración de formularios y tablas en VBA")</f>
        <v>Integración de formularios y tablas en VBA</v>
      </c>
      <c r="C24" s="31" t="str">
        <f>IFERROR(__xludf.DUMMYFUNCTION("""COMPUTED_VALUE"""),"Ejemplos prácticos de formularios")</f>
        <v>Ejemplos prácticos de formularios</v>
      </c>
      <c r="D24" s="56"/>
      <c r="E24" s="56"/>
      <c r="F24" s="56"/>
      <c r="G24" s="54">
        <v>20.0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5.0</v>
      </c>
    </row>
    <row r="39">
      <c r="A39" s="7">
        <v>2.0</v>
      </c>
      <c r="B39" s="69" t="s">
        <v>29</v>
      </c>
      <c r="C39" s="31"/>
      <c r="D39" s="31"/>
      <c r="E39" s="31"/>
      <c r="F39" s="31"/>
      <c r="G39" s="70">
        <v>5.0</v>
      </c>
    </row>
    <row r="40">
      <c r="A40" s="7">
        <v>3.0</v>
      </c>
      <c r="B40" s="69" t="s">
        <v>47</v>
      </c>
      <c r="C40" s="31"/>
      <c r="D40" s="31"/>
      <c r="E40" s="31"/>
      <c r="F40" s="31"/>
      <c r="G40" s="70">
        <v>5.0</v>
      </c>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2.38"/>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6.0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Curricular'!G:G=$B$3)"),"Diseño de Bases de Datos")</f>
        <v>Diseño de Bases de Datos</v>
      </c>
      <c r="C18" s="31" t="str">
        <f>IFERROR(__xludf.DUMMYFUNCTION("FILTER('Diseño Curricular'!E:E,'Diseño Curricular'!G:G=$B$3)"),"¿Qué es un diagrama ER?")</f>
        <v>¿Qué es un diagrama ER?</v>
      </c>
      <c r="D18" s="54">
        <v>5.0</v>
      </c>
      <c r="E18" s="55">
        <v>2.0</v>
      </c>
      <c r="F18" s="54">
        <v>4.0</v>
      </c>
      <c r="G18" s="56"/>
    </row>
    <row r="19">
      <c r="A19" s="7">
        <v>2.0</v>
      </c>
      <c r="B19" s="31" t="str">
        <f>IFERROR(__xludf.DUMMYFUNCTION("""COMPUTED_VALUE"""),"Diseño de Bases de Datos")</f>
        <v>Diseño de Bases de Datos</v>
      </c>
      <c r="C19" s="31" t="str">
        <f>IFERROR(__xludf.DUMMYFUNCTION("""COMPUTED_VALUE"""),"Propósito de los diagramas ER")</f>
        <v>Propósito de los diagramas ER</v>
      </c>
      <c r="D19" s="54">
        <v>5.0</v>
      </c>
      <c r="E19" s="55">
        <v>2.0</v>
      </c>
      <c r="F19" s="54">
        <v>4.0</v>
      </c>
      <c r="G19" s="56"/>
    </row>
    <row r="20">
      <c r="A20" s="7">
        <v>3.0</v>
      </c>
      <c r="B20" s="31" t="str">
        <f>IFERROR(__xludf.DUMMYFUNCTION("""COMPUTED_VALUE"""),"Diseño de Bases de Datos")</f>
        <v>Diseño de Bases de Datos</v>
      </c>
      <c r="C20" s="31" t="str">
        <f>IFERROR(__xludf.DUMMYFUNCTION("""COMPUTED_VALUE"""),"Entidades y atributos")</f>
        <v>Entidades y atributos</v>
      </c>
      <c r="D20" s="54">
        <v>5.0</v>
      </c>
      <c r="E20" s="55">
        <v>2.0</v>
      </c>
      <c r="F20" s="54">
        <v>4.0</v>
      </c>
      <c r="G20" s="56"/>
    </row>
    <row r="21">
      <c r="A21" s="7">
        <v>4.0</v>
      </c>
      <c r="B21" s="31" t="str">
        <f>IFERROR(__xludf.DUMMYFUNCTION("""COMPUTED_VALUE"""),"Diseño de Bases de Datos")</f>
        <v>Diseño de Bases de Datos</v>
      </c>
      <c r="C21" s="31" t="str">
        <f>IFERROR(__xludf.DUMMYFUNCTION("""COMPUTED_VALUE"""),"Relaciones entre entidades")</f>
        <v>Relaciones entre entidades</v>
      </c>
      <c r="D21" s="54">
        <v>5.0</v>
      </c>
      <c r="E21" s="55">
        <v>2.0</v>
      </c>
      <c r="F21" s="54">
        <v>4.0</v>
      </c>
      <c r="G21" s="56"/>
    </row>
    <row r="22">
      <c r="A22" s="7">
        <v>5.0</v>
      </c>
      <c r="B22" s="31" t="str">
        <f>IFERROR(__xludf.DUMMYFUNCTION("""COMPUTED_VALUE"""),"Diseño de Bases de Datos")</f>
        <v>Diseño de Bases de Datos</v>
      </c>
      <c r="C22" s="31" t="str">
        <f>IFERROR(__xludf.DUMMYFUNCTION("""COMPUTED_VALUE"""),"Cardinalidad de las relaciones")</f>
        <v>Cardinalidad de las relaciones</v>
      </c>
      <c r="D22" s="54">
        <v>5.0</v>
      </c>
      <c r="E22" s="55">
        <v>2.0</v>
      </c>
      <c r="F22" s="54">
        <v>4.0</v>
      </c>
      <c r="G22" s="56"/>
    </row>
    <row r="23">
      <c r="A23" s="7">
        <v>6.0</v>
      </c>
      <c r="B23" s="31" t="str">
        <f>IFERROR(__xludf.DUMMYFUNCTION("""COMPUTED_VALUE"""),"Diseño de Bases de Datos")</f>
        <v>Diseño de Bases de Datos</v>
      </c>
      <c r="C23" s="31" t="str">
        <f>IFERROR(__xludf.DUMMYFUNCTION("""COMPUTED_VALUE"""),"Tipos de relaciones (uno a uno, uno a muchos, etc.)")</f>
        <v>Tipos de relaciones (uno a uno, uno a muchos, etc.)</v>
      </c>
      <c r="D23" s="56"/>
      <c r="E23" s="55"/>
      <c r="F23" s="54">
        <v>4.0</v>
      </c>
      <c r="G23" s="56"/>
    </row>
    <row r="24">
      <c r="A24" s="7">
        <v>7.0</v>
      </c>
      <c r="B24" s="31" t="str">
        <f>IFERROR(__xludf.DUMMYFUNCTION("""COMPUTED_VALUE"""),"Diseño de Bases de Datos")</f>
        <v>Diseño de Bases de Datos</v>
      </c>
      <c r="C24" s="31" t="str">
        <f>IFERROR(__xludf.DUMMYFUNCTION("""COMPUTED_VALUE"""),"Ejemplo práctico de un diagrama ER")</f>
        <v>Ejemplo práctico de un diagrama ER</v>
      </c>
      <c r="D24" s="56"/>
      <c r="E24" s="56"/>
      <c r="F24" s="56"/>
      <c r="G24" s="54">
        <v>20.0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10.0</v>
      </c>
    </row>
    <row r="39">
      <c r="A39" s="7">
        <v>2.0</v>
      </c>
      <c r="B39" s="69" t="s">
        <v>29</v>
      </c>
      <c r="C39" s="31"/>
      <c r="D39" s="31"/>
      <c r="E39" s="31"/>
      <c r="F39" s="31"/>
      <c r="G39" s="70">
        <v>5.0</v>
      </c>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7.0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f>SUM(C36:G36)</f>
        <v>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Curricular'!G:G=$B$3)"),"Introduccion a SQL")</f>
        <v>Introduccion a SQL</v>
      </c>
      <c r="C18" s="31" t="str">
        <f>IFERROR(__xludf.DUMMYFUNCTION("FILTER('Diseño Curricular'!E:E,'Diseño Curricular'!G:G=$B$3)"),"Que es una sentencia de SQL ")</f>
        <v>Que es una sentencia de SQL </v>
      </c>
      <c r="D18" s="54">
        <v>5.0</v>
      </c>
      <c r="E18" s="55">
        <v>2.0</v>
      </c>
      <c r="F18" s="54">
        <v>4.0</v>
      </c>
      <c r="G18" s="56"/>
    </row>
    <row r="19">
      <c r="A19" s="7">
        <v>2.0</v>
      </c>
      <c r="B19" s="31" t="str">
        <f>IFERROR(__xludf.DUMMYFUNCTION("""COMPUTED_VALUE"""),"Introduccion a SQL")</f>
        <v>Introduccion a SQL</v>
      </c>
      <c r="C19" s="31" t="str">
        <f>IFERROR(__xludf.DUMMYFUNCTION("""COMPUTED_VALUE"""),"Cuales categorías se divide las sentencias")</f>
        <v>Cuales categorías se divide las sentencias</v>
      </c>
      <c r="D19" s="54">
        <v>5.0</v>
      </c>
      <c r="E19" s="55">
        <v>2.0</v>
      </c>
      <c r="F19" s="54">
        <v>4.0</v>
      </c>
      <c r="G19" s="56"/>
    </row>
    <row r="20">
      <c r="A20" s="7">
        <v>3.0</v>
      </c>
      <c r="B20" s="31" t="str">
        <f>IFERROR(__xludf.DUMMYFUNCTION("""COMPUTED_VALUE"""),"Introduccion a SQL")</f>
        <v>Introduccion a SQL</v>
      </c>
      <c r="C20" s="31" t="str">
        <f>IFERROR(__xludf.DUMMYFUNCTION("""COMPUTED_VALUE"""),"Lectura de SQL General")</f>
        <v>Lectura de SQL General</v>
      </c>
      <c r="D20" s="54">
        <v>5.0</v>
      </c>
      <c r="E20" s="55">
        <v>2.0</v>
      </c>
      <c r="F20" s="54">
        <v>4.0</v>
      </c>
      <c r="G20" s="56"/>
    </row>
    <row r="21">
      <c r="A21" s="7">
        <v>4.0</v>
      </c>
      <c r="B21" s="31" t="str">
        <f>IFERROR(__xludf.DUMMYFUNCTION("""COMPUTED_VALUE"""),"Introduccion a SQL")</f>
        <v>Introduccion a SQL</v>
      </c>
      <c r="C21" s="31" t="str">
        <f>IFERROR(__xludf.DUMMYFUNCTION("""COMPUTED_VALUE"""),"Ejemplos de sentencias DDL")</f>
        <v>Ejemplos de sentencias DDL</v>
      </c>
      <c r="D21" s="54">
        <v>5.0</v>
      </c>
      <c r="E21" s="55">
        <v>2.0</v>
      </c>
      <c r="F21" s="54">
        <v>4.0</v>
      </c>
      <c r="G21" s="56"/>
    </row>
    <row r="22">
      <c r="A22" s="7">
        <v>5.0</v>
      </c>
      <c r="B22" s="31" t="str">
        <f>IFERROR(__xludf.DUMMYFUNCTION("""COMPUTED_VALUE"""),"Introduccion a SQL")</f>
        <v>Introduccion a SQL</v>
      </c>
      <c r="C22" s="31" t="str">
        <f>IFERROR(__xludf.DUMMYFUNCTION("""COMPUTED_VALUE"""),"Ejemplos de sentencias DML")</f>
        <v>Ejemplos de sentencias DML</v>
      </c>
      <c r="D22" s="54">
        <v>5.0</v>
      </c>
      <c r="E22" s="55">
        <v>2.0</v>
      </c>
      <c r="F22" s="54">
        <v>4.0</v>
      </c>
      <c r="G22" s="56"/>
    </row>
    <row r="23">
      <c r="A23" s="7">
        <v>6.0</v>
      </c>
      <c r="B23" s="31" t="str">
        <f>IFERROR(__xludf.DUMMYFUNCTION("""COMPUTED_VALUE"""),"Introduccion a SQL")</f>
        <v>Introduccion a SQL</v>
      </c>
      <c r="C23" s="31" t="str">
        <f>IFERROR(__xludf.DUMMYFUNCTION("""COMPUTED_VALUE"""),"Estructuras de las sentecias")</f>
        <v>Estructuras de las sentecias</v>
      </c>
      <c r="D23" s="56"/>
      <c r="E23" s="55"/>
      <c r="F23" s="54">
        <v>4.0</v>
      </c>
      <c r="G23" s="56"/>
    </row>
    <row r="24">
      <c r="A24" s="7">
        <v>7.0</v>
      </c>
      <c r="B24" s="31" t="str">
        <f>IFERROR(__xludf.DUMMYFUNCTION("""COMPUTED_VALUE"""),"Introduccion a SQL")</f>
        <v>Introduccion a SQL</v>
      </c>
      <c r="C24" s="31" t="str">
        <f>IFERROR(__xludf.DUMMYFUNCTION("""COMPUTED_VALUE"""),"Ejemplo practico de una base de datos basado en el ER")</f>
        <v>Ejemplo practico de una base de datos basado en el ER</v>
      </c>
      <c r="D24" s="56"/>
      <c r="E24" s="56"/>
      <c r="F24" s="56"/>
      <c r="G24" s="54">
        <v>20.0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5.0</v>
      </c>
    </row>
    <row r="39">
      <c r="A39" s="7">
        <v>2.0</v>
      </c>
      <c r="B39" s="69" t="s">
        <v>29</v>
      </c>
      <c r="C39" s="31"/>
      <c r="D39" s="31"/>
      <c r="E39" s="31"/>
      <c r="F39" s="31"/>
      <c r="G39" s="70">
        <v>5.0</v>
      </c>
    </row>
    <row r="40">
      <c r="A40" s="7">
        <v>3.0</v>
      </c>
      <c r="B40" s="69" t="s">
        <v>56</v>
      </c>
      <c r="C40" s="31"/>
      <c r="D40" s="31"/>
      <c r="E40" s="31"/>
      <c r="F40" s="31"/>
      <c r="G40" s="70">
        <v>5.0</v>
      </c>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8.0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v>5.0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Curricular'!G:G=$B$3)"),"Implementación en Access")</f>
        <v>Implementación en Access</v>
      </c>
      <c r="C18" s="31" t="str">
        <f>IFERROR(__xludf.DUMMYFUNCTION("FILTER('Diseño Curricular'!E:E,'Diseño Curricular'!G:G=$B$3)"),"Importancia de diagramas ER")</f>
        <v>Importancia de diagramas ER</v>
      </c>
      <c r="D18" s="54">
        <v>5.0</v>
      </c>
      <c r="E18" s="55">
        <v>2.0</v>
      </c>
      <c r="F18" s="54">
        <v>4.0</v>
      </c>
      <c r="G18" s="56"/>
    </row>
    <row r="19">
      <c r="A19" s="7">
        <v>2.0</v>
      </c>
      <c r="B19" s="31" t="str">
        <f>IFERROR(__xludf.DUMMYFUNCTION("""COMPUTED_VALUE"""),"Implementación en Access")</f>
        <v>Implementación en Access</v>
      </c>
      <c r="C19" s="31" t="str">
        <f>IFERROR(__xludf.DUMMYFUNCTION("""COMPUTED_VALUE"""),"Creación de tablas")</f>
        <v>Creación de tablas</v>
      </c>
      <c r="D19" s="54">
        <v>5.0</v>
      </c>
      <c r="E19" s="55">
        <v>2.0</v>
      </c>
      <c r="F19" s="54">
        <v>4.0</v>
      </c>
      <c r="G19" s="56"/>
    </row>
    <row r="20">
      <c r="A20" s="7">
        <v>3.0</v>
      </c>
      <c r="B20" s="31" t="str">
        <f>IFERROR(__xludf.DUMMYFUNCTION("""COMPUTED_VALUE"""),"Implementación en Access")</f>
        <v>Implementación en Access</v>
      </c>
      <c r="C20" s="31" t="str">
        <f>IFERROR(__xludf.DUMMYFUNCTION("""COMPUTED_VALUE"""),"Definición de campos y tipos de datos")</f>
        <v>Definición de campos y tipos de datos</v>
      </c>
      <c r="D20" s="54">
        <v>5.0</v>
      </c>
      <c r="E20" s="55">
        <v>2.0</v>
      </c>
      <c r="F20" s="54">
        <v>4.0</v>
      </c>
      <c r="G20" s="56"/>
    </row>
    <row r="21">
      <c r="A21" s="7">
        <v>4.0</v>
      </c>
      <c r="B21" s="31" t="str">
        <f>IFERROR(__xludf.DUMMYFUNCTION("""COMPUTED_VALUE"""),"Implementación en Access")</f>
        <v>Implementación en Access</v>
      </c>
      <c r="C21" s="31" t="str">
        <f>IFERROR(__xludf.DUMMYFUNCTION("""COMPUTED_VALUE"""),"Relaciones entre tablas")</f>
        <v>Relaciones entre tablas</v>
      </c>
      <c r="D21" s="54">
        <v>5.0</v>
      </c>
      <c r="E21" s="55">
        <v>2.0</v>
      </c>
      <c r="F21" s="54">
        <v>4.0</v>
      </c>
      <c r="G21" s="56"/>
    </row>
    <row r="22">
      <c r="A22" s="7">
        <v>5.0</v>
      </c>
      <c r="B22" s="31" t="str">
        <f>IFERROR(__xludf.DUMMYFUNCTION("""COMPUTED_VALUE"""),"Implementación en Access")</f>
        <v>Implementación en Access</v>
      </c>
      <c r="C22" s="31" t="str">
        <f>IFERROR(__xludf.DUMMYFUNCTION("""COMPUTED_VALUE"""),"Creación de consultas en Access")</f>
        <v>Creación de consultas en Access</v>
      </c>
      <c r="D22" s="54">
        <v>5.0</v>
      </c>
      <c r="E22" s="55">
        <v>2.0</v>
      </c>
      <c r="F22" s="54">
        <v>4.0</v>
      </c>
      <c r="G22" s="56"/>
    </row>
    <row r="23">
      <c r="A23" s="7">
        <v>6.0</v>
      </c>
      <c r="B23" s="31" t="str">
        <f>IFERROR(__xludf.DUMMYFUNCTION("""COMPUTED_VALUE"""),"Implementación en Access")</f>
        <v>Implementación en Access</v>
      </c>
      <c r="C23" s="31" t="str">
        <f>IFERROR(__xludf.DUMMYFUNCTION("""COMPUTED_VALUE"""),"Formularios en Access")</f>
        <v>Formularios en Access</v>
      </c>
      <c r="D23" s="56"/>
      <c r="E23" s="55"/>
      <c r="F23" s="54">
        <v>4.0</v>
      </c>
      <c r="G23" s="56"/>
    </row>
    <row r="24">
      <c r="A24" s="7">
        <v>7.0</v>
      </c>
      <c r="B24" s="31" t="str">
        <f>IFERROR(__xludf.DUMMYFUNCTION("""COMPUTED_VALUE"""),"Implementación en Access")</f>
        <v>Implementación en Access</v>
      </c>
      <c r="C24" s="31" t="str">
        <f>IFERROR(__xludf.DUMMYFUNCTION("""COMPUTED_VALUE"""),"Lectura de la proyecto único")</f>
        <v>Lectura de la proyecto único</v>
      </c>
      <c r="D24" s="56"/>
      <c r="E24" s="56"/>
      <c r="F24" s="56"/>
      <c r="G24" s="54">
        <v>20.0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5.0</v>
      </c>
    </row>
    <row r="39">
      <c r="A39" s="7">
        <v>2.0</v>
      </c>
      <c r="B39" s="69" t="s">
        <v>29</v>
      </c>
      <c r="C39" s="31"/>
      <c r="D39" s="31"/>
      <c r="E39" s="31"/>
      <c r="F39" s="31"/>
      <c r="G39" s="70">
        <v>5.0</v>
      </c>
    </row>
    <row r="40">
      <c r="A40" s="7">
        <v>3.0</v>
      </c>
      <c r="B40" s="69" t="s">
        <v>56</v>
      </c>
      <c r="C40" s="31"/>
      <c r="D40" s="31"/>
      <c r="E40" s="31"/>
      <c r="F40" s="31"/>
      <c r="G40" s="70">
        <v>5.0</v>
      </c>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9.0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v>0.0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20.0</v>
      </c>
      <c r="H16" s="53"/>
    </row>
    <row r="17">
      <c r="A17" s="51" t="s">
        <v>3</v>
      </c>
      <c r="B17" s="51" t="s">
        <v>6</v>
      </c>
      <c r="C17" s="51" t="s">
        <v>7</v>
      </c>
      <c r="D17" s="51"/>
      <c r="E17" s="51"/>
      <c r="F17" s="51"/>
      <c r="G17" s="51"/>
    </row>
    <row r="18">
      <c r="A18" s="7">
        <v>1.0</v>
      </c>
      <c r="B18" s="31" t="str">
        <f>IFERROR(__xludf.DUMMYFUNCTION("FILTER('Diseño Curricular'!D:D,'Diseño Curricular'!G:G=$B$3)"),"Introduccion a programacion en Visual Basic App ")</f>
        <v>Introduccion a programacion en Visual Basic App </v>
      </c>
      <c r="C18" s="31" t="str">
        <f>IFERROR(__xludf.DUMMYFUNCTION("FILTER('Diseño Curricular'!E:E,'Diseño Curricular'!G:G=$B$3)"),"¿Qué visual basic aplication?")</f>
        <v>¿Qué visual basic aplication?</v>
      </c>
      <c r="D18" s="54">
        <v>5.0</v>
      </c>
      <c r="E18" s="55">
        <v>2.0</v>
      </c>
      <c r="F18" s="54">
        <v>4.0</v>
      </c>
      <c r="G18" s="56"/>
    </row>
    <row r="19">
      <c r="A19" s="7">
        <v>2.0</v>
      </c>
      <c r="B19" s="31" t="str">
        <f>IFERROR(__xludf.DUMMYFUNCTION("""COMPUTED_VALUE"""),"Introduccion a programacion en Visual Basic App ")</f>
        <v>Introduccion a programacion en Visual Basic App </v>
      </c>
      <c r="C19" s="31" t="str">
        <f>IFERROR(__xludf.DUMMYFUNCTION("""COMPUTED_VALUE"""),"¿Para qué visual basic aplication?")</f>
        <v>¿Para qué visual basic aplication?</v>
      </c>
      <c r="D19" s="54">
        <v>5.0</v>
      </c>
      <c r="E19" s="55">
        <v>2.0</v>
      </c>
      <c r="F19" s="54">
        <v>4.0</v>
      </c>
      <c r="G19" s="56"/>
    </row>
    <row r="20">
      <c r="A20" s="7">
        <v>3.0</v>
      </c>
      <c r="B20" s="31" t="str">
        <f>IFERROR(__xludf.DUMMYFUNCTION("""COMPUTED_VALUE"""),"Introduccion a programacion en Visual Basic App ")</f>
        <v>Introduccion a programacion en Visual Basic App </v>
      </c>
      <c r="C20" s="31" t="str">
        <f>IFERROR(__xludf.DUMMYFUNCTION("""COMPUTED_VALUE"""),"Variables y tipos de variables")</f>
        <v>Variables y tipos de variables</v>
      </c>
      <c r="D20" s="54">
        <v>5.0</v>
      </c>
      <c r="E20" s="55">
        <v>2.0</v>
      </c>
      <c r="F20" s="54">
        <v>4.0</v>
      </c>
      <c r="G20" s="56"/>
    </row>
    <row r="21">
      <c r="A21" s="7">
        <v>4.0</v>
      </c>
      <c r="B21" s="31" t="str">
        <f>IFERROR(__xludf.DUMMYFUNCTION("""COMPUTED_VALUE"""),"Introduccion a programacion en Visual Basic App ")</f>
        <v>Introduccion a programacion en Visual Basic App </v>
      </c>
      <c r="C21" s="31" t="str">
        <f>IFERROR(__xludf.DUMMYFUNCTION("""COMPUTED_VALUE"""),"Que es la logica booleana")</f>
        <v>Que es la logica booleana</v>
      </c>
      <c r="D21" s="54">
        <v>5.0</v>
      </c>
      <c r="E21" s="55">
        <v>2.0</v>
      </c>
      <c r="F21" s="54">
        <v>4.0</v>
      </c>
      <c r="G21" s="56"/>
    </row>
    <row r="22">
      <c r="A22" s="7">
        <v>5.0</v>
      </c>
      <c r="B22" s="31" t="str">
        <f>IFERROR(__xludf.DUMMYFUNCTION("""COMPUTED_VALUE"""),"Introduccion a programacion en Visual Basic App ")</f>
        <v>Introduccion a programacion en Visual Basic App </v>
      </c>
      <c r="C22" s="31" t="str">
        <f>IFERROR(__xludf.DUMMYFUNCTION("""COMPUTED_VALUE"""),"Condicionales y estructuras de control")</f>
        <v>Condicionales y estructuras de control</v>
      </c>
      <c r="D22" s="54">
        <v>5.0</v>
      </c>
      <c r="E22" s="55">
        <v>2.0</v>
      </c>
      <c r="F22" s="54">
        <v>4.0</v>
      </c>
      <c r="G22" s="56"/>
    </row>
    <row r="23">
      <c r="A23" s="7">
        <v>6.0</v>
      </c>
      <c r="B23" s="31" t="str">
        <f>IFERROR(__xludf.DUMMYFUNCTION("""COMPUTED_VALUE"""),"Introduccion a programacion en Visual Basic App ")</f>
        <v>Introduccion a programacion en Visual Basic App </v>
      </c>
      <c r="C23" s="31" t="str">
        <f>IFERROR(__xludf.DUMMYFUNCTION("""COMPUTED_VALUE"""),"Definicion de funciones, metodos y sus ambitos")</f>
        <v>Definicion de funciones, metodos y sus ambitos</v>
      </c>
      <c r="D23" s="56"/>
      <c r="E23" s="55"/>
      <c r="F23" s="54">
        <v>4.0</v>
      </c>
      <c r="G23" s="56"/>
    </row>
    <row r="24">
      <c r="A24" s="7">
        <v>7.0</v>
      </c>
      <c r="B24" s="31" t="str">
        <f>IFERROR(__xludf.DUMMYFUNCTION("""COMPUTED_VALUE"""),"Introduccion a programacion en Visual Basic App ")</f>
        <v>Introduccion a programacion en Visual Basic App </v>
      </c>
      <c r="C24" s="31" t="str">
        <f>IFERROR(__xludf.DUMMYFUNCTION("""COMPUTED_VALUE"""),"Ejemplo práctico")</f>
        <v>Ejemplo práctico</v>
      </c>
      <c r="D24" s="56"/>
      <c r="E24" s="56"/>
      <c r="F24" s="56"/>
      <c r="G24" s="54">
        <v>20.0</v>
      </c>
    </row>
    <row r="25">
      <c r="A25" s="57"/>
      <c r="B25" s="57"/>
      <c r="C25" s="57"/>
      <c r="D25" s="57"/>
      <c r="E25" s="57"/>
      <c r="F25" s="57"/>
      <c r="G25" s="58" t="s">
        <v>142</v>
      </c>
      <c r="H25" s="57">
        <f>SUM(D16:G16)</f>
        <v>80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82</v>
      </c>
      <c r="C38" s="31"/>
      <c r="D38" s="31"/>
      <c r="E38" s="31"/>
      <c r="F38" s="31"/>
      <c r="G38" s="70">
        <v>5.0</v>
      </c>
    </row>
    <row r="39">
      <c r="A39" s="7">
        <v>2.0</v>
      </c>
      <c r="B39" s="69" t="s">
        <v>10</v>
      </c>
      <c r="C39" s="31"/>
      <c r="D39" s="31"/>
      <c r="E39" s="31"/>
      <c r="F39" s="31"/>
      <c r="G39" s="70">
        <v>5.0</v>
      </c>
    </row>
    <row r="40">
      <c r="A40" s="7">
        <v>3.0</v>
      </c>
      <c r="B40" s="69" t="s">
        <v>47</v>
      </c>
      <c r="C40" s="31"/>
      <c r="D40" s="31"/>
      <c r="E40" s="31"/>
      <c r="F40" s="31"/>
      <c r="G40" s="70">
        <v>5.0</v>
      </c>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5.0</v>
      </c>
    </row>
    <row r="53">
      <c r="A53" s="71"/>
      <c r="B53" s="71"/>
      <c r="C53" s="71"/>
      <c r="D53" s="71"/>
      <c r="E53" s="71"/>
      <c r="F53" s="71"/>
      <c r="G53" s="73" t="s">
        <v>142</v>
      </c>
      <c r="H53" s="71">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10.0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v>5.0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25.0</v>
      </c>
      <c r="H16" s="53"/>
    </row>
    <row r="17">
      <c r="A17" s="51" t="s">
        <v>3</v>
      </c>
      <c r="B17" s="51" t="s">
        <v>6</v>
      </c>
      <c r="C17" s="51" t="s">
        <v>7</v>
      </c>
      <c r="D17" s="51"/>
      <c r="E17" s="51"/>
      <c r="F17" s="51"/>
      <c r="G17" s="51"/>
    </row>
    <row r="18">
      <c r="A18" s="7">
        <v>1.0</v>
      </c>
      <c r="B18" s="31" t="str">
        <f>IFERROR(__xludf.DUMMYFUNCTION("FILTER('Diseño Curricular'!D:D,'Diseño Curricular'!G:G=$B$3)"),"Integracion de Acces con Excel por VBA")</f>
        <v>Integracion de Acces con Excel por VBA</v>
      </c>
      <c r="C18" s="31" t="str">
        <f>IFERROR(__xludf.DUMMYFUNCTION("FILTER('Diseño Curricular'!E:E,'Diseño Curricular'!G:G=$B$3)"),"Comunicion entre aplicaciones de microsoft")</f>
        <v>Comunicion entre aplicaciones de microsoft</v>
      </c>
      <c r="D18" s="54">
        <v>5.0</v>
      </c>
      <c r="E18" s="55">
        <v>2.0</v>
      </c>
      <c r="F18" s="54">
        <v>4.0</v>
      </c>
      <c r="G18" s="56"/>
    </row>
    <row r="19">
      <c r="A19" s="7">
        <v>2.0</v>
      </c>
      <c r="B19" s="31" t="str">
        <f>IFERROR(__xludf.DUMMYFUNCTION("""COMPUTED_VALUE"""),"Integracion de Acces con Excel por VBA")</f>
        <v>Integracion de Acces con Excel por VBA</v>
      </c>
      <c r="C19" s="31" t="str">
        <f>IFERROR(__xludf.DUMMYFUNCTION("""COMPUTED_VALUE"""),"Arq. Cliente servidor.")</f>
        <v>Arq. Cliente servidor.</v>
      </c>
      <c r="D19" s="54">
        <v>5.0</v>
      </c>
      <c r="E19" s="55">
        <v>2.0</v>
      </c>
      <c r="F19" s="54">
        <v>4.0</v>
      </c>
      <c r="G19" s="56"/>
    </row>
    <row r="20">
      <c r="A20" s="7">
        <v>3.0</v>
      </c>
      <c r="B20" s="31" t="str">
        <f>IFERROR(__xludf.DUMMYFUNCTION("""COMPUTED_VALUE"""),"Integracion de Acces con Excel por VBA")</f>
        <v>Integracion de Acces con Excel por VBA</v>
      </c>
      <c r="C20" s="31" t="str">
        <f>IFERROR(__xludf.DUMMYFUNCTION("""COMPUTED_VALUE"""),"Lectura conexion Excel y access")</f>
        <v>Lectura conexion Excel y access</v>
      </c>
      <c r="D20" s="54">
        <v>5.0</v>
      </c>
      <c r="E20" s="55">
        <v>2.0</v>
      </c>
      <c r="F20" s="54">
        <v>4.0</v>
      </c>
      <c r="G20" s="56"/>
    </row>
    <row r="21">
      <c r="A21" s="7">
        <v>4.0</v>
      </c>
      <c r="B21" s="31" t="str">
        <f>IFERROR(__xludf.DUMMYFUNCTION("""COMPUTED_VALUE"""),"Integracion de Acces con Excel por VBA")</f>
        <v>Integracion de Acces con Excel por VBA</v>
      </c>
      <c r="C21" s="31" t="str">
        <f>IFERROR(__xludf.DUMMYFUNCTION("""COMPUTED_VALUE"""),"Gestion de librerias")</f>
        <v>Gestion de librerias</v>
      </c>
      <c r="D21" s="54">
        <v>5.0</v>
      </c>
      <c r="E21" s="55">
        <v>2.0</v>
      </c>
      <c r="F21" s="54">
        <v>4.0</v>
      </c>
      <c r="G21" s="56"/>
    </row>
    <row r="22">
      <c r="A22" s="7">
        <v>5.0</v>
      </c>
      <c r="B22" s="31" t="str">
        <f>IFERROR(__xludf.DUMMYFUNCTION("""COMPUTED_VALUE"""),"Integracion de Acces con Excel por VBA")</f>
        <v>Integracion de Acces con Excel por VBA</v>
      </c>
      <c r="C22" s="31" t="str">
        <f>IFERROR(__xludf.DUMMYFUNCTION("""COMPUTED_VALUE"""),"Ejmplo Practico de conexion ")</f>
        <v>Ejmplo Practico de conexion </v>
      </c>
      <c r="D22" s="54">
        <v>5.0</v>
      </c>
      <c r="E22" s="55">
        <v>2.0</v>
      </c>
      <c r="F22" s="54">
        <v>4.0</v>
      </c>
      <c r="G22" s="56"/>
    </row>
    <row r="23">
      <c r="A23" s="7">
        <v>6.0</v>
      </c>
      <c r="B23" s="31" t="str">
        <f>IFERROR(__xludf.DUMMYFUNCTION("""COMPUTED_VALUE"""),"Integracion de Acces con Excel por VBA")</f>
        <v>Integracion de Acces con Excel por VBA</v>
      </c>
      <c r="C23" s="31" t="str">
        <f>IFERROR(__xludf.DUMMYFUNCTION("""COMPUTED_VALUE"""),"Conferencia del Curso")</f>
        <v>Conferencia del Curso</v>
      </c>
      <c r="D23" s="56"/>
      <c r="E23" s="55"/>
      <c r="F23" s="54">
        <v>4.0</v>
      </c>
      <c r="G23" s="56"/>
    </row>
    <row r="24">
      <c r="A24" s="7">
        <v>7.0</v>
      </c>
      <c r="B24" s="31" t="str">
        <f>IFERROR(__xludf.DUMMYFUNCTION("""COMPUTED_VALUE"""),"Integracion de Acces con Excel por VBA")</f>
        <v>Integracion de Acces con Excel por VBA</v>
      </c>
      <c r="C24" s="31" t="str">
        <f>IFERROR(__xludf.DUMMYFUNCTION("""COMPUTED_VALUE"""),"Cuestionario sobre Conferencia")</f>
        <v>Cuestionario sobre Conferencia</v>
      </c>
      <c r="D24" s="56"/>
      <c r="E24" s="56"/>
      <c r="F24" s="56"/>
      <c r="G24" s="54">
        <v>25.0</v>
      </c>
    </row>
    <row r="25">
      <c r="A25" s="57"/>
      <c r="B25" s="57"/>
      <c r="C25" s="57"/>
      <c r="D25" s="57"/>
      <c r="E25" s="57"/>
      <c r="F25" s="57"/>
      <c r="G25" s="58" t="s">
        <v>142</v>
      </c>
      <c r="H25" s="57">
        <f>SUM(D16:G16)</f>
        <v>85</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10</v>
      </c>
      <c r="C38" s="31"/>
      <c r="D38" s="31"/>
      <c r="E38" s="31"/>
      <c r="F38" s="31"/>
      <c r="G38" s="70">
        <v>10.0</v>
      </c>
    </row>
    <row r="39">
      <c r="A39" s="7">
        <v>2.0</v>
      </c>
      <c r="B39" s="69" t="s">
        <v>21</v>
      </c>
      <c r="C39" s="31"/>
      <c r="D39" s="31"/>
      <c r="E39" s="31"/>
      <c r="F39" s="31"/>
      <c r="G39" s="70">
        <v>5.0</v>
      </c>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15</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5">
        <v>0.0</v>
      </c>
    </row>
    <row r="53">
      <c r="A53" s="71"/>
      <c r="B53" s="71"/>
      <c r="C53" s="71"/>
      <c r="D53" s="71"/>
      <c r="E53" s="71"/>
      <c r="F53" s="71"/>
      <c r="G53" s="73" t="s">
        <v>142</v>
      </c>
      <c r="H53" s="71">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9.13"/>
    <col customWidth="1" min="4" max="4" width="16.88"/>
    <col customWidth="1" min="5" max="5" width="11.13"/>
    <col customWidth="1" min="6" max="6" width="17.88"/>
    <col customWidth="1" min="7" max="7" width="16.5"/>
    <col customWidth="1" min="8" max="8" width="8.13"/>
  </cols>
  <sheetData>
    <row r="1">
      <c r="A1" s="1" t="s">
        <v>0</v>
      </c>
      <c r="B1" s="42" t="str">
        <f>'Diseño Curricular'!B1</f>
        <v>90 - Programacion de Computadoras 1</v>
      </c>
    </row>
    <row r="2">
      <c r="C2" s="43"/>
    </row>
    <row r="3">
      <c r="A3" s="1" t="s">
        <v>9</v>
      </c>
      <c r="B3" s="44">
        <v>11.0</v>
      </c>
    </row>
    <row r="5" ht="78.75" customHeight="1">
      <c r="A5" s="1" t="s">
        <v>114</v>
      </c>
      <c r="B5" s="76" t="s">
        <v>115</v>
      </c>
    </row>
    <row r="6">
      <c r="A6" s="44" t="s">
        <v>116</v>
      </c>
      <c r="B6" s="46"/>
      <c r="C6" s="46"/>
      <c r="D6" s="46"/>
      <c r="E6" s="46"/>
      <c r="F6" s="46"/>
    </row>
    <row r="7">
      <c r="A7" s="1"/>
      <c r="B7" s="46"/>
      <c r="C7" s="46"/>
      <c r="D7" s="46"/>
      <c r="E7" s="46"/>
      <c r="F7" s="46"/>
    </row>
    <row r="8">
      <c r="A8" s="1" t="s">
        <v>132</v>
      </c>
      <c r="B8" s="46" t="s">
        <v>133</v>
      </c>
    </row>
    <row r="11">
      <c r="A11" s="1" t="s">
        <v>134</v>
      </c>
      <c r="B11" s="5">
        <v>0.0</v>
      </c>
      <c r="C11" s="47"/>
      <c r="F11" s="48" t="s">
        <v>135</v>
      </c>
      <c r="H11" s="47">
        <f>H25+H45+H53</f>
        <v>100</v>
      </c>
    </row>
    <row r="12">
      <c r="A12" s="5"/>
    </row>
    <row r="13">
      <c r="A13" s="49" t="s">
        <v>136</v>
      </c>
      <c r="B13" s="50"/>
      <c r="C13" s="50"/>
      <c r="D13" s="50"/>
      <c r="E13" s="50"/>
      <c r="F13" s="50"/>
      <c r="G13" s="50"/>
      <c r="H13" s="50"/>
    </row>
    <row r="14">
      <c r="A14" s="47"/>
      <c r="B14" s="47"/>
      <c r="C14" s="51" t="s">
        <v>137</v>
      </c>
      <c r="D14" s="51" t="s">
        <v>123</v>
      </c>
      <c r="E14" s="51" t="s">
        <v>138</v>
      </c>
      <c r="F14" s="51" t="s">
        <v>129</v>
      </c>
      <c r="G14" s="51" t="s">
        <v>139</v>
      </c>
      <c r="H14" s="47"/>
    </row>
    <row r="15">
      <c r="A15" s="47"/>
      <c r="B15" s="47"/>
      <c r="C15" s="52" t="s">
        <v>140</v>
      </c>
      <c r="D15" s="52">
        <v>25.0</v>
      </c>
      <c r="E15" s="52">
        <v>10.0</v>
      </c>
      <c r="F15" s="52">
        <v>25.0</v>
      </c>
      <c r="G15" s="52">
        <v>25.0</v>
      </c>
    </row>
    <row r="16">
      <c r="A16" s="47"/>
      <c r="B16" s="47"/>
      <c r="C16" s="51" t="s">
        <v>141</v>
      </c>
      <c r="D16" s="51">
        <v>25.0</v>
      </c>
      <c r="E16" s="51">
        <v>10.0</v>
      </c>
      <c r="F16" s="51">
        <v>25.0</v>
      </c>
      <c r="G16" s="51">
        <v>0.0</v>
      </c>
      <c r="H16" s="53"/>
    </row>
    <row r="17">
      <c r="A17" s="51" t="s">
        <v>3</v>
      </c>
      <c r="B17" s="51" t="s">
        <v>6</v>
      </c>
      <c r="C17" s="51" t="s">
        <v>7</v>
      </c>
      <c r="D17" s="51"/>
      <c r="E17" s="51"/>
      <c r="F17" s="51"/>
      <c r="G17" s="51"/>
    </row>
    <row r="18">
      <c r="A18" s="7">
        <v>1.0</v>
      </c>
      <c r="B18" s="31" t="str">
        <f>IFERROR(__xludf.DUMMYFUNCTION("FILTER('Diseño Curricular'!D:D,'Diseño Curricular'!G:G=$B$3)"),"Herramientas de Power BI")</f>
        <v>Herramientas de Power BI</v>
      </c>
      <c r="C18" s="31" t="str">
        <f>IFERROR(__xludf.DUMMYFUNCTION("FILTER('Diseño Curricular'!E:E,'Diseño Curricular'!G:G=$B$3)"),"¿Qué es Power BI?")</f>
        <v>¿Qué es Power BI?</v>
      </c>
      <c r="D18" s="54">
        <v>5.0</v>
      </c>
      <c r="E18" s="55">
        <v>2.0</v>
      </c>
      <c r="F18" s="54">
        <v>4.0</v>
      </c>
      <c r="G18" s="56"/>
    </row>
    <row r="19">
      <c r="A19" s="7">
        <v>2.0</v>
      </c>
      <c r="B19" s="31" t="str">
        <f>IFERROR(__xludf.DUMMYFUNCTION("""COMPUTED_VALUE"""),"Herramientas de Power BI")</f>
        <v>Herramientas de Power BI</v>
      </c>
      <c r="C19" s="31" t="str">
        <f>IFERROR(__xludf.DUMMYFUNCTION("""COMPUTED_VALUE"""),"Conexión con orígenes de datos (Excel/Access)")</f>
        <v>Conexión con orígenes de datos (Excel/Access)</v>
      </c>
      <c r="D19" s="54">
        <v>5.0</v>
      </c>
      <c r="E19" s="55">
        <v>2.0</v>
      </c>
      <c r="F19" s="54">
        <v>4.0</v>
      </c>
      <c r="G19" s="56"/>
    </row>
    <row r="20">
      <c r="A20" s="7">
        <v>3.0</v>
      </c>
      <c r="B20" s="31" t="str">
        <f>IFERROR(__xludf.DUMMYFUNCTION("""COMPUTED_VALUE"""),"Herramientas de Power BI")</f>
        <v>Herramientas de Power BI</v>
      </c>
      <c r="C20" s="31" t="str">
        <f>IFERROR(__xludf.DUMMYFUNCTION("""COMPUTED_VALUE"""),"Visualizaciones básicas")</f>
        <v>Visualizaciones básicas</v>
      </c>
      <c r="D20" s="54">
        <v>5.0</v>
      </c>
      <c r="E20" s="55">
        <v>2.0</v>
      </c>
      <c r="F20" s="54">
        <v>4.0</v>
      </c>
      <c r="G20" s="56"/>
    </row>
    <row r="21">
      <c r="A21" s="7">
        <v>4.0</v>
      </c>
      <c r="B21" s="31" t="str">
        <f>IFERROR(__xludf.DUMMYFUNCTION("""COMPUTED_VALUE"""),"Herramientas de Power BI")</f>
        <v>Herramientas de Power BI</v>
      </c>
      <c r="C21" s="31" t="str">
        <f>IFERROR(__xludf.DUMMYFUNCTION("""COMPUTED_VALUE"""),"Creación de informes interactivos")</f>
        <v>Creación de informes interactivos</v>
      </c>
      <c r="D21" s="54">
        <v>5.0</v>
      </c>
      <c r="E21" s="55">
        <v>2.0</v>
      </c>
      <c r="F21" s="54">
        <v>4.0</v>
      </c>
      <c r="G21" s="56"/>
    </row>
    <row r="22">
      <c r="A22" s="7">
        <v>5.0</v>
      </c>
      <c r="B22" s="31" t="str">
        <f>IFERROR(__xludf.DUMMYFUNCTION("""COMPUTED_VALUE"""),"Herramientas de Power BI")</f>
        <v>Herramientas de Power BI</v>
      </c>
      <c r="C22" s="31" t="str">
        <f>IFERROR(__xludf.DUMMYFUNCTION("""COMPUTED_VALUE"""),"Conexiones con access")</f>
        <v>Conexiones con access</v>
      </c>
      <c r="D22" s="54">
        <v>5.0</v>
      </c>
      <c r="E22" s="55">
        <v>2.0</v>
      </c>
      <c r="F22" s="54">
        <v>4.0</v>
      </c>
      <c r="G22" s="56"/>
    </row>
    <row r="23">
      <c r="A23" s="7">
        <v>6.0</v>
      </c>
      <c r="B23" s="31" t="str">
        <f>IFERROR(__xludf.DUMMYFUNCTION("""COMPUTED_VALUE"""),"Herramientas de Power BI")</f>
        <v>Herramientas de Power BI</v>
      </c>
      <c r="C23" s="31" t="str">
        <f>IFERROR(__xludf.DUMMYFUNCTION("""COMPUTED_VALUE"""),"Creacion de reportes")</f>
        <v>Creacion de reportes</v>
      </c>
      <c r="D23" s="56"/>
      <c r="E23" s="55"/>
      <c r="F23" s="54">
        <v>4.0</v>
      </c>
      <c r="G23" s="56"/>
    </row>
    <row r="24">
      <c r="A24" s="7">
        <v>7.0</v>
      </c>
      <c r="B24" s="31" t="str">
        <f>IFERROR(__xludf.DUMMYFUNCTION("""COMPUTED_VALUE"""),"Herramientas de Power BI")</f>
        <v>Herramientas de Power BI</v>
      </c>
      <c r="C24" s="31" t="str">
        <f>IFERROR(__xludf.DUMMYFUNCTION("""COMPUTED_VALUE"""),"Ejemplo práctico")</f>
        <v>Ejemplo práctico</v>
      </c>
      <c r="D24" s="56"/>
      <c r="E24" s="56"/>
      <c r="F24" s="56"/>
      <c r="G24" s="54"/>
    </row>
    <row r="25">
      <c r="A25" s="57"/>
      <c r="B25" s="57"/>
      <c r="C25" s="57"/>
      <c r="D25" s="57"/>
      <c r="E25" s="57"/>
      <c r="F25" s="57"/>
      <c r="G25" s="58" t="s">
        <v>142</v>
      </c>
      <c r="H25" s="57">
        <f>SUM(D16:G16)</f>
        <v>60</v>
      </c>
    </row>
    <row r="26">
      <c r="A26" s="5" t="s">
        <v>143</v>
      </c>
    </row>
    <row r="27">
      <c r="A27" s="5" t="s">
        <v>144</v>
      </c>
      <c r="E27" s="60"/>
    </row>
    <row r="28">
      <c r="A28" s="61"/>
    </row>
    <row r="29">
      <c r="A29" s="49" t="s">
        <v>145</v>
      </c>
      <c r="B29" s="62"/>
      <c r="C29" s="62"/>
      <c r="D29" s="62"/>
      <c r="E29" s="62"/>
      <c r="F29" s="62"/>
      <c r="G29" s="62"/>
      <c r="H29" s="62"/>
    </row>
    <row r="30">
      <c r="A30" s="5" t="s">
        <v>146</v>
      </c>
      <c r="B30" s="47"/>
      <c r="C30" s="47"/>
      <c r="D30" s="47"/>
      <c r="E30" s="47"/>
      <c r="F30" s="47"/>
      <c r="G30" s="47"/>
      <c r="H30" s="63"/>
    </row>
    <row r="31">
      <c r="A31" s="5" t="s">
        <v>147</v>
      </c>
      <c r="B31" s="47"/>
      <c r="C31" s="47"/>
      <c r="D31" s="47"/>
      <c r="E31" s="47"/>
      <c r="F31" s="47"/>
      <c r="G31" s="47"/>
      <c r="H31" s="63"/>
    </row>
    <row r="32">
      <c r="A32" s="47"/>
      <c r="B32" s="47"/>
      <c r="C32" s="47"/>
      <c r="D32" s="47"/>
      <c r="E32" s="47"/>
      <c r="F32" s="47"/>
      <c r="G32" s="47"/>
      <c r="H32" s="63"/>
    </row>
    <row r="33">
      <c r="A33" s="64" t="s">
        <v>3</v>
      </c>
      <c r="B33" s="51" t="s">
        <v>148</v>
      </c>
      <c r="C33" s="65" t="s">
        <v>149</v>
      </c>
      <c r="D33" s="51" t="s">
        <v>150</v>
      </c>
      <c r="E33" s="51" t="s">
        <v>119</v>
      </c>
      <c r="F33" s="51" t="s">
        <v>139</v>
      </c>
      <c r="G33" s="51" t="s">
        <v>151</v>
      </c>
      <c r="H33" s="63"/>
    </row>
    <row r="34">
      <c r="A34" s="66"/>
      <c r="B34" s="52" t="s">
        <v>152</v>
      </c>
      <c r="C34" s="52">
        <v>25.0</v>
      </c>
      <c r="D34" s="52">
        <v>25.0</v>
      </c>
      <c r="E34" s="52">
        <v>25.0</v>
      </c>
      <c r="F34" s="52">
        <v>25.0</v>
      </c>
      <c r="G34" s="52">
        <v>15.0</v>
      </c>
      <c r="H34" s="47"/>
    </row>
    <row r="35">
      <c r="A35" s="66"/>
      <c r="B35" s="67" t="s">
        <v>141</v>
      </c>
      <c r="C35" s="51"/>
      <c r="D35" s="51"/>
      <c r="E35" s="51">
        <v>15.0</v>
      </c>
      <c r="F35" s="51"/>
      <c r="G35" s="7">
        <v>15.0</v>
      </c>
      <c r="H35" s="47"/>
    </row>
    <row r="36">
      <c r="A36" s="66"/>
      <c r="B36" s="51" t="s">
        <v>134</v>
      </c>
      <c r="C36" s="51"/>
      <c r="D36" s="51"/>
      <c r="E36" s="51"/>
      <c r="F36" s="51"/>
      <c r="G36" s="31"/>
      <c r="H36" s="47"/>
    </row>
    <row r="37">
      <c r="A37" s="68"/>
      <c r="B37" s="51" t="s">
        <v>4</v>
      </c>
      <c r="C37" s="51"/>
      <c r="D37" s="51"/>
      <c r="E37" s="51"/>
      <c r="F37" s="51"/>
      <c r="G37" s="31"/>
      <c r="H37" s="47"/>
    </row>
    <row r="38">
      <c r="A38" s="7">
        <v>1.0</v>
      </c>
      <c r="B38" s="69" t="s">
        <v>21</v>
      </c>
      <c r="C38" s="31"/>
      <c r="D38" s="31"/>
      <c r="E38" s="70">
        <v>5.0</v>
      </c>
      <c r="F38" s="31"/>
      <c r="G38" s="70">
        <v>10.0</v>
      </c>
    </row>
    <row r="39">
      <c r="A39" s="7">
        <v>2.0</v>
      </c>
      <c r="B39" s="69" t="s">
        <v>82</v>
      </c>
      <c r="C39" s="31"/>
      <c r="D39" s="31"/>
      <c r="E39" s="70">
        <v>10.0</v>
      </c>
      <c r="F39" s="31"/>
      <c r="G39" s="70">
        <v>5.0</v>
      </c>
    </row>
    <row r="40">
      <c r="A40" s="7">
        <v>3.0</v>
      </c>
      <c r="B40" s="69"/>
      <c r="C40" s="31"/>
      <c r="D40" s="31"/>
      <c r="E40" s="31"/>
      <c r="F40" s="31"/>
      <c r="G40" s="31"/>
    </row>
    <row r="41">
      <c r="A41" s="7">
        <v>4.0</v>
      </c>
      <c r="B41" s="69"/>
      <c r="C41" s="31"/>
      <c r="D41" s="31"/>
      <c r="E41" s="31"/>
      <c r="F41" s="31"/>
      <c r="G41" s="31"/>
    </row>
    <row r="42">
      <c r="A42" s="7">
        <v>5.0</v>
      </c>
      <c r="B42" s="69"/>
      <c r="C42" s="31"/>
      <c r="D42" s="31"/>
      <c r="E42" s="31"/>
      <c r="F42" s="31"/>
      <c r="G42" s="31"/>
    </row>
    <row r="43">
      <c r="A43" s="7">
        <v>6.0</v>
      </c>
      <c r="B43" s="69"/>
      <c r="C43" s="31"/>
      <c r="D43" s="31"/>
      <c r="E43" s="31"/>
      <c r="F43" s="31"/>
      <c r="G43" s="31"/>
    </row>
    <row r="44">
      <c r="A44" s="7">
        <v>7.0</v>
      </c>
      <c r="B44" s="69"/>
      <c r="C44" s="31"/>
      <c r="D44" s="31"/>
      <c r="E44" s="31"/>
      <c r="F44" s="7"/>
      <c r="G44" s="31"/>
    </row>
    <row r="45">
      <c r="A45" s="71"/>
      <c r="B45" s="71"/>
      <c r="C45" s="71"/>
      <c r="D45" s="71"/>
      <c r="E45" s="71"/>
      <c r="F45" s="72"/>
      <c r="G45" s="73" t="s">
        <v>142</v>
      </c>
      <c r="H45" s="71">
        <f>SUM(C35:G35)</f>
        <v>30</v>
      </c>
    </row>
    <row r="46">
      <c r="A46" s="5" t="s">
        <v>143</v>
      </c>
      <c r="F46" s="5"/>
    </row>
    <row r="47">
      <c r="A47" s="5" t="s">
        <v>153</v>
      </c>
      <c r="F47" s="5"/>
    </row>
    <row r="48">
      <c r="A48" s="49" t="s">
        <v>154</v>
      </c>
      <c r="B48" s="62"/>
      <c r="C48" s="62"/>
      <c r="D48" s="62"/>
      <c r="E48" s="62"/>
      <c r="F48" s="62"/>
      <c r="G48" s="62"/>
      <c r="H48" s="62"/>
    </row>
    <row r="50">
      <c r="A50" s="7" t="s">
        <v>3</v>
      </c>
      <c r="B50" s="7" t="s">
        <v>155</v>
      </c>
      <c r="C50" s="31"/>
      <c r="D50" s="31"/>
      <c r="E50" s="31"/>
      <c r="F50" s="7" t="s">
        <v>148</v>
      </c>
      <c r="G50" s="51" t="s">
        <v>156</v>
      </c>
    </row>
    <row r="51">
      <c r="A51" s="7">
        <v>1.0</v>
      </c>
      <c r="B51" s="7" t="s">
        <v>157</v>
      </c>
      <c r="C51" s="31"/>
      <c r="D51" s="31"/>
      <c r="E51" s="31"/>
      <c r="F51" s="74" t="s">
        <v>152</v>
      </c>
      <c r="G51" s="74">
        <v>10.0</v>
      </c>
    </row>
    <row r="52">
      <c r="A52" s="7">
        <v>2.0</v>
      </c>
      <c r="B52" s="31"/>
      <c r="C52" s="31"/>
      <c r="D52" s="31"/>
      <c r="E52" s="31"/>
      <c r="F52" s="7" t="s">
        <v>141</v>
      </c>
      <c r="G52" s="77">
        <v>10.0</v>
      </c>
    </row>
    <row r="53">
      <c r="A53" s="71"/>
      <c r="B53" s="71"/>
      <c r="C53" s="71"/>
      <c r="D53" s="71"/>
      <c r="E53" s="71"/>
      <c r="F53" s="71"/>
      <c r="G53" s="73" t="s">
        <v>142</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78" t="str">
        <f>IFERROR(__xludf.DUMMYFUNCTION("IMPORTRANGE(""1--DGkU5oDw3gpAa_rQkeu1olWCf2iv8Pm7BNjqiyiuY"", ""Listado Cursos!H:J"")"),"Codigo - Nombre")</f>
        <v>Codigo - Nombre</v>
      </c>
      <c r="B1" s="79" t="str">
        <f>IFERROR(__xludf.DUMMYFUNCTION("""COMPUTED_VALUE"""),"Diseño Curricular")</f>
        <v>Diseño Curricular</v>
      </c>
      <c r="C1" s="79" t="str">
        <f>IFERROR(__xludf.DUMMYFUNCTION("""COMPUTED_VALUE"""),"Analisis de contexto")</f>
        <v>Analisis de contexto</v>
      </c>
      <c r="D1" s="78" t="str">
        <f>IFERROR(__xludf.DUMMYFUNCTION("IMPORTRANGE(VLOOKUP('Diseño Curricular'!B1,A:C,3,FALSE), ""Competencias!B21:J35"")"),"No")</f>
        <v>No</v>
      </c>
      <c r="E1" s="78" t="str">
        <f>IFERROR(__xludf.DUMMYFUNCTION("""COMPUTED_VALUE"""),"Tipo")</f>
        <v>Tipo</v>
      </c>
      <c r="F1" s="78" t="str">
        <f>IFERROR(__xludf.DUMMYFUNCTION("""COMPUTED_VALUE"""),"Verbo en Presente")</f>
        <v>Verbo en Presente</v>
      </c>
      <c r="G1" s="78" t="str">
        <f>IFERROR(__xludf.DUMMYFUNCTION("""COMPUTED_VALUE"""),"Objeto de la acción")</f>
        <v>Objeto de la acción</v>
      </c>
      <c r="H1" s="78"/>
      <c r="I1" s="78" t="str">
        <f>IFERROR(__xludf.DUMMYFUNCTION("""COMPUTED_VALUE"""),"[Palabras conectoreas] Herramientas o metodología")</f>
        <v>[Palabras conectoreas] Herramientas o metodología</v>
      </c>
      <c r="J1" s="78" t="str">
        <f>IFERROR(__xludf.DUMMYFUNCTION("""COMPUTED_VALUE"""),"[Palabras conectoreas] Condiciones específicas")</f>
        <v>[Palabras conectoreas] Condiciones específicas</v>
      </c>
      <c r="K1" s="78"/>
      <c r="L1" s="78" t="str">
        <f>IFERROR(__xludf.DUMMYFUNCTION("""COMPUTED_VALUE"""),"Nivel")</f>
        <v>Nivel</v>
      </c>
    </row>
    <row r="2">
      <c r="A2" s="78" t="str">
        <f>IFERROR(__xludf.DUMMYFUNCTION("""COMPUTED_VALUE"""),"17 - Área Social Humanística 1")</f>
        <v>17 - Área Social Humanística 1</v>
      </c>
      <c r="B2" s="78"/>
      <c r="C2" s="78"/>
      <c r="D2" s="78">
        <f>IFERROR(__xludf.DUMMYFUNCTION("""COMPUTED_VALUE"""),1.0)</f>
        <v>1</v>
      </c>
      <c r="E2" s="78" t="str">
        <f>IFERROR(__xludf.DUMMYFUNCTION("""COMPUTED_VALUE"""),"Especifica")</f>
        <v>Especifica</v>
      </c>
      <c r="F2" s="78" t="str">
        <f>IFERROR(__xludf.DUMMYFUNCTION("""COMPUTED_VALUE"""),"Aplica")</f>
        <v>Aplica</v>
      </c>
      <c r="G2" s="78" t="str">
        <f>IFERROR(__xludf.DUMMYFUNCTION("""COMPUTED_VALUE"""),"conceptos fundamentales de programación")</f>
        <v>conceptos fundamentales de programación</v>
      </c>
      <c r="H2" s="78"/>
      <c r="I2" s="78" t="str">
        <f>IFERROR(__xludf.DUMMYFUNCTION("""COMPUTED_VALUE"""),"mediante ejercicios prácticos y análisis de código, en entornos virtuales de laboratorio")</f>
        <v>mediante ejercicios prácticos y análisis de código, en entornos virtuales de laboratorio</v>
      </c>
      <c r="J2" s="78" t="str">
        <f>IFERROR(__xludf.DUMMYFUNCTION("""COMPUTED_VALUE"""),"para desarrollar el pensamiento lógico y computacional")</f>
        <v>para desarrollar el pensamiento lógico y computacional</v>
      </c>
      <c r="K2" s="78"/>
      <c r="L2" s="78" t="str">
        <f>IFERROR(__xludf.DUMMYFUNCTION("""COMPUTED_VALUE"""),"Aplicar")</f>
        <v>Aplicar</v>
      </c>
    </row>
    <row r="3">
      <c r="A3" s="78" t="str">
        <f>IFERROR(__xludf.DUMMYFUNCTION("""COMPUTED_VALUE"""),"101 - Área Matemática Básica 1")</f>
        <v>101 - Área Matemática Básica 1</v>
      </c>
      <c r="B3" s="78"/>
      <c r="C3" s="78"/>
      <c r="D3" s="78"/>
      <c r="E3" s="78"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F3" s="78"/>
      <c r="G3" s="78"/>
      <c r="H3" s="78"/>
      <c r="I3" s="78"/>
      <c r="J3" s="78"/>
      <c r="K3" s="78"/>
      <c r="L3" s="78"/>
    </row>
    <row r="4">
      <c r="A4" s="78" t="str">
        <f>IFERROR(__xludf.DUMMYFUNCTION("""COMPUTED_VALUE"""),"5 - Técnicas de Estudio e Investigación")</f>
        <v>5 - Técnicas de Estudio e Investigación</v>
      </c>
      <c r="B4" s="78"/>
      <c r="C4" s="78"/>
      <c r="D4" s="78">
        <f>IFERROR(__xludf.DUMMYFUNCTION("""COMPUTED_VALUE"""),2.0)</f>
        <v>2</v>
      </c>
      <c r="E4" s="78" t="str">
        <f>IFERROR(__xludf.DUMMYFUNCTION("""COMPUTED_VALUE"""),"General")</f>
        <v>General</v>
      </c>
      <c r="F4" s="78" t="str">
        <f>IFERROR(__xludf.DUMMYFUNCTION("""COMPUTED_VALUE"""),"Integra ")</f>
        <v>Integra </v>
      </c>
      <c r="G4" s="78" t="str">
        <f>IFERROR(__xludf.DUMMYFUNCTION("""COMPUTED_VALUE"""),"herramientas de ofimática ")</f>
        <v>herramientas de ofimática </v>
      </c>
      <c r="H4" s="78"/>
      <c r="I4" s="78" t="str">
        <f>IFERROR(__xludf.DUMMYFUNCTION("""COMPUTED_VALUE"""),"como Word, Excel, PowerPoint y Access")</f>
        <v>como Word, Excel, PowerPoint y Access</v>
      </c>
      <c r="J4" s="78" t="str">
        <f>IFERROR(__xludf.DUMMYFUNCTION("""COMPUTED_VALUE"""),"en la resolución de tareas y proyectos con base en situaciones académicas y laborales comunes")</f>
        <v>en la resolución de tareas y proyectos con base en situaciones académicas y laborales comunes</v>
      </c>
      <c r="K4" s="78"/>
      <c r="L4" s="78" t="str">
        <f>IFERROR(__xludf.DUMMYFUNCTION("""COMPUTED_VALUE"""),"Analizar")</f>
        <v>Analizar</v>
      </c>
    </row>
    <row r="5">
      <c r="A5" s="78" t="str">
        <f>IFERROR(__xludf.DUMMYFUNCTION("""COMPUTED_VALUE"""),"39 - Deportes 1")</f>
        <v>39 - Deportes 1</v>
      </c>
      <c r="B5" s="78"/>
      <c r="C5" s="78"/>
      <c r="D5" s="78"/>
      <c r="E5" s="78"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F5" s="78"/>
      <c r="G5" s="78"/>
      <c r="H5" s="78"/>
      <c r="I5" s="78"/>
      <c r="J5" s="78"/>
      <c r="K5" s="78"/>
      <c r="L5" s="78"/>
    </row>
    <row r="6">
      <c r="A6" s="78" t="str">
        <f>IFERROR(__xludf.DUMMYFUNCTION("""COMPUTED_VALUE"""),"6 - Idioma Tecnico 1")</f>
        <v>6 - Idioma Tecnico 1</v>
      </c>
      <c r="B6" s="78"/>
      <c r="C6" s="78"/>
      <c r="D6" s="78">
        <f>IFERROR(__xludf.DUMMYFUNCTION("""COMPUTED_VALUE"""),3.0)</f>
        <v>3</v>
      </c>
      <c r="E6" s="78" t="str">
        <f>IFERROR(__xludf.DUMMYFUNCTION("""COMPUTED_VALUE"""),"General")</f>
        <v>General</v>
      </c>
      <c r="F6" s="78" t="str">
        <f>IFERROR(__xludf.DUMMYFUNCTION("""COMPUTED_VALUE"""),"Evalúa")</f>
        <v>Evalúa</v>
      </c>
      <c r="G6" s="78" t="str">
        <f>IFERROR(__xludf.DUMMYFUNCTION("""COMPUTED_VALUE"""),"resultados obtenidos en procesos de programación y ofimática")</f>
        <v>resultados obtenidos en procesos de programación y ofimática</v>
      </c>
      <c r="H6" s="78"/>
      <c r="I6" s="78" t="str">
        <f>IFERROR(__xludf.DUMMYFUNCTION("""COMPUTED_VALUE"""),"utilizando pruebas de funcionamiento, revisión crítica de errores y optimización de recursos")</f>
        <v>utilizando pruebas de funcionamiento, revisión crítica de errores y optimización de recursos</v>
      </c>
      <c r="J6" s="78" t="str">
        <f>IFERROR(__xludf.DUMMYFUNCTION("""COMPUTED_VALUE"""),"bajo criterios de funcionalidad y eficiencia")</f>
        <v>bajo criterios de funcionalidad y eficiencia</v>
      </c>
      <c r="K6" s="78"/>
      <c r="L6" s="78" t="str">
        <f>IFERROR(__xludf.DUMMYFUNCTION("""COMPUTED_VALUE"""),"Evaluar")</f>
        <v>Evaluar</v>
      </c>
    </row>
    <row r="7">
      <c r="A7" s="78" t="str">
        <f>IFERROR(__xludf.DUMMYFUNCTION("""COMPUTED_VALUE"""),"19 - Área Social Humanística 2")</f>
        <v>19 - Área Social Humanística 2</v>
      </c>
      <c r="B7" s="78"/>
      <c r="C7" s="78"/>
      <c r="D7" s="78"/>
      <c r="E7" s="78"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F7" s="78"/>
      <c r="G7" s="78"/>
      <c r="H7" s="78"/>
      <c r="I7" s="78"/>
      <c r="J7" s="78"/>
      <c r="K7" s="78"/>
      <c r="L7" s="78"/>
    </row>
    <row r="8">
      <c r="A8" s="78" t="str">
        <f>IFERROR(__xludf.DUMMYFUNCTION("""COMPUTED_VALUE"""),"103 - Área Matemática Básica 2")</f>
        <v>103 - Área Matemática Básica 2</v>
      </c>
      <c r="B8" s="78"/>
      <c r="C8" s="78"/>
      <c r="D8" s="78">
        <f>IFERROR(__xludf.DUMMYFUNCTION("""COMPUTED_VALUE"""),4.0)</f>
        <v>4</v>
      </c>
      <c r="E8" s="78" t="str">
        <f>IFERROR(__xludf.DUMMYFUNCTION("""COMPUTED_VALUE"""),"General")</f>
        <v>General</v>
      </c>
      <c r="F8" s="78" t="str">
        <f>IFERROR(__xludf.DUMMYFUNCTION("""COMPUTED_VALUE"""),"Crea")</f>
        <v>Crea</v>
      </c>
      <c r="G8" s="78" t="str">
        <f>IFERROR(__xludf.DUMMYFUNCTION("""COMPUTED_VALUE"""),"soluciones digitales")</f>
        <v>soluciones digitales</v>
      </c>
      <c r="H8" s="78"/>
      <c r="I8" s="78" t="str">
        <f>IFERROR(__xludf.DUMMYFUNCTION("""COMPUTED_VALUE"""),"utilizando entornos de programación visual y aplicaciones de ofimática")</f>
        <v>utilizando entornos de programación visual y aplicaciones de ofimática</v>
      </c>
      <c r="J8" s="78" t="str">
        <f>IFERROR(__xludf.DUMMYFUNCTION("""COMPUTED_VALUE"""),"con estrategias de automatización básica y diseño de bases de datos	para resolver problemas reales de forma efectiva")</f>
        <v>con estrategias de automatización básica y diseño de bases de datos	para resolver problemas reales de forma efectiva</v>
      </c>
      <c r="K8" s="78"/>
      <c r="L8" s="78" t="str">
        <f>IFERROR(__xludf.DUMMYFUNCTION("""COMPUTED_VALUE"""),"Crear")</f>
        <v>Crear</v>
      </c>
    </row>
    <row r="9">
      <c r="A9" s="78" t="str">
        <f>IFERROR(__xludf.DUMMYFUNCTION("""COMPUTED_VALUE"""),"960 - Matemática Para Computación 1")</f>
        <v>960 - Matemática Para Computación 1</v>
      </c>
      <c r="B9" s="78"/>
      <c r="C9" s="78"/>
      <c r="D9" s="78"/>
      <c r="E9" s="78"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F9" s="78"/>
      <c r="G9" s="78"/>
      <c r="H9" s="78"/>
      <c r="I9" s="78"/>
      <c r="J9" s="78"/>
      <c r="K9" s="78"/>
      <c r="L9" s="78"/>
    </row>
    <row r="10">
      <c r="A10" s="78" t="str">
        <f>IFERROR(__xludf.DUMMYFUNCTION("""COMPUTED_VALUE"""),"147 - Física Básica")</f>
        <v>147 - Física Básica</v>
      </c>
      <c r="B10" s="78"/>
      <c r="C10" s="78"/>
      <c r="D10" s="78">
        <f>IFERROR(__xludf.DUMMYFUNCTION("""COMPUTED_VALUE"""),5.0)</f>
        <v>5</v>
      </c>
      <c r="E10" s="78" t="str">
        <f>IFERROR(__xludf.DUMMYFUNCTION("""COMPUTED_VALUE"""),"Especifica")</f>
        <v>Especifica</v>
      </c>
      <c r="F10" s="78" t="str">
        <f>IFERROR(__xludf.DUMMYFUNCTION("""COMPUTED_VALUE"""),"Diseña")</f>
        <v>Diseña</v>
      </c>
      <c r="G10" s="78" t="str">
        <f>IFERROR(__xludf.DUMMYFUNCTION("""COMPUTED_VALUE"""),"macros automatizadas en hojas de cálculo")</f>
        <v>macros automatizadas en hojas de cálculo</v>
      </c>
      <c r="H10" s="78"/>
      <c r="I10" s="78" t="str">
        <f>IFERROR(__xludf.DUMMYFUNCTION("""COMPUTED_VALUE"""),"utilizando Visual Basic para Aplicaciones (VBA)")</f>
        <v>utilizando Visual Basic para Aplicaciones (VBA)</v>
      </c>
      <c r="J10" s="78" t="str">
        <f>IFERROR(__xludf.DUMMYFUNCTION("""COMPUTED_VALUE"""),"mediante la implementación de funciones y ciclos condicionales con conexión a bases de datos para optimizar tareas repetitivas")</f>
        <v>mediante la implementación de funciones y ciclos condicionales con conexión a bases de datos para optimizar tareas repetitivas</v>
      </c>
      <c r="K10" s="78"/>
      <c r="L10" s="78" t="str">
        <f>IFERROR(__xludf.DUMMYFUNCTION("""COMPUTED_VALUE"""),"Crear")</f>
        <v>Crear</v>
      </c>
    </row>
    <row r="11">
      <c r="A11" s="78" t="str">
        <f>IFERROR(__xludf.DUMMYFUNCTION("""COMPUTED_VALUE"""),"40 - Deportes 2")</f>
        <v>40 - Deportes 2</v>
      </c>
      <c r="B11" s="78"/>
      <c r="C11" s="78"/>
      <c r="D11" s="78"/>
      <c r="E11" s="78"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F11" s="78"/>
      <c r="G11" s="78"/>
      <c r="H11" s="78"/>
      <c r="I11" s="78"/>
      <c r="J11" s="78"/>
      <c r="K11" s="78"/>
      <c r="L11" s="78"/>
    </row>
    <row r="12">
      <c r="A12" s="78" t="str">
        <f>IFERROR(__xludf.DUMMYFUNCTION("""COMPUTED_VALUE"""),"8 - Idioma Técnico 2")</f>
        <v>8 - Idioma Técnico 2</v>
      </c>
      <c r="B12" s="78"/>
      <c r="C12" s="78"/>
      <c r="D12" s="78">
        <f>IFERROR(__xludf.DUMMYFUNCTION("""COMPUTED_VALUE"""),6.0)</f>
        <v>6</v>
      </c>
      <c r="E12" s="78" t="str">
        <f>IFERROR(__xludf.DUMMYFUNCTION("""COMPUTED_VALUE"""),"Especifica")</f>
        <v>Especifica</v>
      </c>
      <c r="F12" s="78" t="str">
        <f>IFERROR(__xludf.DUMMYFUNCTION("""COMPUTED_VALUE"""),"Formula")</f>
        <v>Formula</v>
      </c>
      <c r="G12" s="78" t="str">
        <f>IFERROR(__xludf.DUMMYFUNCTION("""COMPUTED_VALUE"""),"consultas en bases de datos relacionales")</f>
        <v>consultas en bases de datos relacionales</v>
      </c>
      <c r="H12" s="78"/>
      <c r="I12" s="78" t="str">
        <f>IFERROR(__xludf.DUMMYFUNCTION("""COMPUTED_VALUE"""),"empleando herramientas de Access y modelos entidad-relación")</f>
        <v>empleando herramientas de Access y modelos entidad-relación</v>
      </c>
      <c r="J12" s="78" t="str">
        <f>IFERROR(__xludf.DUMMYFUNCTION("""COMPUTED_VALUE"""),"bajo criterios de integridad y relaciones correctas para organizar y extraer información relevante")</f>
        <v>bajo criterios de integridad y relaciones correctas para organizar y extraer información relevante</v>
      </c>
      <c r="K12" s="78"/>
      <c r="L12" s="78" t="str">
        <f>IFERROR(__xludf.DUMMYFUNCTION("""COMPUTED_VALUE"""),"Aplicar")</f>
        <v>Aplicar</v>
      </c>
    </row>
    <row r="13">
      <c r="A13" s="78" t="str">
        <f>IFERROR(__xludf.DUMMYFUNCTION("""COMPUTED_VALUE"""),"795 - Logica de Sitemas")</f>
        <v>795 - Logica de Sitemas</v>
      </c>
      <c r="B13" s="78" t="str">
        <f>IFERROR(__xludf.DUMMYFUNCTION("""COMPUTED_VALUE"""),"1tGblVNcAY7QU_u00ZUgf5GJjDZOK39vXt9FvZeMfPKg")</f>
        <v>1tGblVNcAY7QU_u00ZUgf5GJjDZOK39vXt9FvZeMfPKg</v>
      </c>
      <c r="C13" s="78" t="str">
        <f>IFERROR(__xludf.DUMMYFUNCTION("""COMPUTED_VALUE"""),"1olpUmnSmvTLYIIWFmjmPX_CYPTPOprpPEwh7xMvm2WM")</f>
        <v>1olpUmnSmvTLYIIWFmjmPX_CYPTPOprpPEwh7xMvm2WM</v>
      </c>
      <c r="D13" s="78"/>
      <c r="E13" s="78"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F13" s="78"/>
      <c r="G13" s="78"/>
      <c r="H13" s="78"/>
      <c r="I13" s="78"/>
      <c r="J13" s="78"/>
      <c r="K13" s="78"/>
      <c r="L13" s="78"/>
    </row>
    <row r="14">
      <c r="A14" s="78" t="str">
        <f>IFERROR(__xludf.DUMMYFUNCTION("""COMPUTED_VALUE"""),"962 - Matemática Para Computación 2")</f>
        <v>962 - Matemática Para Computación 2</v>
      </c>
      <c r="B14" s="78"/>
      <c r="C14" s="78"/>
      <c r="D14" s="78">
        <f>IFERROR(__xludf.DUMMYFUNCTION("""COMPUTED_VALUE"""),7.0)</f>
        <v>7</v>
      </c>
      <c r="E14" s="78" t="str">
        <f>IFERROR(__xludf.DUMMYFUNCTION("""COMPUTED_VALUE"""),"Tipo")</f>
        <v>Tipo</v>
      </c>
      <c r="F14" s="78"/>
      <c r="G14" s="78"/>
      <c r="H14" s="78"/>
      <c r="I14" s="78"/>
      <c r="J14" s="78"/>
      <c r="K14" s="78"/>
      <c r="L14" s="78"/>
    </row>
    <row r="15">
      <c r="A15" s="78" t="str">
        <f>IFERROR(__xludf.DUMMYFUNCTION("""COMPUTED_VALUE"""),"770 - Introducción a ala programación y computación 1")</f>
        <v>770 - Introducción a ala programación y computación 1</v>
      </c>
      <c r="B15" s="78" t="str">
        <f>IFERROR(__xludf.DUMMYFUNCTION("""COMPUTED_VALUE"""),"1hnCz3e7R539DMJA_6KBromYXyQWjR5cbX4eUFYyZB78")</f>
        <v>1hnCz3e7R539DMJA_6KBromYXyQWjR5cbX4eUFYyZB78</v>
      </c>
      <c r="C15" s="78" t="str">
        <f>IFERROR(__xludf.DUMMYFUNCTION("""COMPUTED_VALUE"""),"13K0AQ2QyRJmkDL_B9YKTYVy3OKQyLCIBTe0sAqstrFI")</f>
        <v>13K0AQ2QyRJmkDL_B9YKTYVy3OKQyLCIBTe0sAqstrFI</v>
      </c>
      <c r="D15" s="78"/>
      <c r="E15" s="78" t="str">
        <f>IFERROR(__xludf.DUMMYFUNCTION("""COMPUTED_VALUE"""),"    ")</f>
        <v>    </v>
      </c>
      <c r="F15" s="78"/>
      <c r="G15" s="78"/>
      <c r="H15" s="78"/>
      <c r="I15" s="78"/>
      <c r="J15" s="78"/>
      <c r="K15" s="78"/>
      <c r="L15" s="78"/>
    </row>
    <row r="16">
      <c r="A16" s="78" t="str">
        <f>IFERROR(__xludf.DUMMYFUNCTION("""COMPUTED_VALUE"""),"107 - Área Matemática Intermedia 1")</f>
        <v>107 - Área Matemática Intermedia 1</v>
      </c>
      <c r="B16" s="78"/>
      <c r="C16" s="78"/>
    </row>
    <row r="17">
      <c r="A17" s="78" t="str">
        <f>IFERROR(__xludf.DUMMYFUNCTION("""COMPUTED_VALUE"""),"150 - Fisica 1")</f>
        <v>150 - Fisica 1</v>
      </c>
      <c r="B17" s="78"/>
      <c r="C17" s="78"/>
    </row>
    <row r="18">
      <c r="A18" s="78" t="str">
        <f>IFERROR(__xludf.DUMMYFUNCTION("""COMPUTED_VALUE"""),"1 - Ética Profesional")</f>
        <v>1 - Ética Profesional</v>
      </c>
      <c r="B18" s="78"/>
      <c r="C18" s="78"/>
    </row>
    <row r="19">
      <c r="A19" s="78" t="str">
        <f>IFERROR(__xludf.DUMMYFUNCTION("""COMPUTED_VALUE"""),"9 - Idioma Técnico 3")</f>
        <v>9 - Idioma Técnico 3</v>
      </c>
      <c r="B19" s="78"/>
      <c r="C19" s="78"/>
    </row>
    <row r="20">
      <c r="A20" s="78" t="str">
        <f>IFERROR(__xludf.DUMMYFUNCTION("""COMPUTED_VALUE"""),"796 - Lenguajes Formales y de Programación")</f>
        <v>796 - Lenguajes Formales y de Programación</v>
      </c>
      <c r="B20" s="78" t="str">
        <f>IFERROR(__xludf.DUMMYFUNCTION("""COMPUTED_VALUE"""),"1-dPQ2ZCWWgBi4gyaV8KmnDWxF063I-zfJutKPMwJjrw")</f>
        <v>1-dPQ2ZCWWgBi4gyaV8KmnDWxF063I-zfJutKPMwJjrw</v>
      </c>
      <c r="C20" s="78" t="str">
        <f>IFERROR(__xludf.DUMMYFUNCTION("""COMPUTED_VALUE"""),"14p5IrzE6q20i9mtWRrbgJgIQTyfVIS4RiO1JbrFY3Ng")</f>
        <v>14p5IrzE6q20i9mtWRrbgJgIQTyfVIS4RiO1JbrFY3Ng</v>
      </c>
      <c r="E20" s="80" t="str">
        <f>E3</f>
        <v>Aplica conceptos fundamentales de programación mediante ejercicios prácticos y análisis de código, en entornos virtuales de laboratorio para desarrollar el pensamiento lógico y computacional </v>
      </c>
      <c r="F20" s="81"/>
      <c r="G20" s="81"/>
      <c r="H20" s="81"/>
      <c r="I20" s="81"/>
      <c r="J20" s="81"/>
      <c r="K20" s="81"/>
      <c r="L20" s="81"/>
      <c r="M20" s="81"/>
      <c r="N20" s="82"/>
    </row>
    <row r="21">
      <c r="A21" s="78" t="str">
        <f>IFERROR(__xludf.DUMMYFUNCTION("""COMPUTED_VALUE"""),"771 - Introducción a la Programación y Computación 2")</f>
        <v>771 - Introducción a la Programación y Computación 2</v>
      </c>
      <c r="B21" s="78" t="str">
        <f>IFERROR(__xludf.DUMMYFUNCTION("""COMPUTED_VALUE"""),"1__RmanO4MiKBpppCFzGzdDC2fWb5cD2m02xjOur_6nk")</f>
        <v>1__RmanO4MiKBpppCFzGzdDC2fWb5cD2m02xjOur_6nk</v>
      </c>
      <c r="C21" s="78" t="str">
        <f>IFERROR(__xludf.DUMMYFUNCTION("""COMPUTED_VALUE"""),"1hwyEeHtTnYmAXwVixwCmwcQ_1S6x1ID8qghxNj_2les")</f>
        <v>1hwyEeHtTnYmAXwVixwCmwcQ_1S6x1ID8qghxNj_2les</v>
      </c>
      <c r="E21" s="80" t="str">
        <f>E5</f>
        <v>Integra  herramientas de ofimática  como Word, Excel, PowerPoint y Access en la resolución de tareas y proyectos con base en situaciones académicas y laborales comunes </v>
      </c>
      <c r="F21" s="81"/>
      <c r="G21" s="81"/>
      <c r="H21" s="81"/>
      <c r="I21" s="81"/>
      <c r="J21" s="81"/>
      <c r="K21" s="81"/>
      <c r="L21" s="81"/>
      <c r="M21" s="81"/>
      <c r="N21" s="82"/>
    </row>
    <row r="22">
      <c r="A22" s="78" t="str">
        <f>IFERROR(__xludf.DUMMYFUNCTION("""COMPUTED_VALUE"""),"112 - Área Matemática Intermedia 2")</f>
        <v>112 - Área Matemática Intermedia 2</v>
      </c>
      <c r="B22" s="78"/>
      <c r="C22" s="78"/>
      <c r="E22" s="80" t="str">
        <f>E7</f>
        <v>Evalúa resultados obtenidos en procesos de programación y ofimática utilizando pruebas de funcionamiento, revisión crítica de errores y optimización de recursos bajo criterios de funcionalidad y eficiencia </v>
      </c>
      <c r="F22" s="81"/>
      <c r="G22" s="81"/>
      <c r="H22" s="81"/>
      <c r="I22" s="81"/>
      <c r="J22" s="81"/>
      <c r="K22" s="81"/>
      <c r="L22" s="81"/>
      <c r="M22" s="81"/>
      <c r="N22" s="82"/>
    </row>
    <row r="23">
      <c r="A23" s="78" t="str">
        <f>IFERROR(__xludf.DUMMYFUNCTION("""COMPUTED_VALUE"""),"114 - Área Matemática Intermedia 3")</f>
        <v>114 - Área Matemática Intermedia 3</v>
      </c>
      <c r="B23" s="78"/>
      <c r="C23" s="78"/>
      <c r="E23" s="80" t="str">
        <f>E9</f>
        <v>Crea soluciones digitales utilizando entornos de programación visual y aplicaciones de ofimática con estrategias de automatización básica y diseño de bases de datos	para resolver problemas reales de forma efectiva </v>
      </c>
      <c r="F23" s="81"/>
      <c r="G23" s="81"/>
      <c r="H23" s="81"/>
      <c r="I23" s="81"/>
      <c r="J23" s="81"/>
      <c r="K23" s="81"/>
      <c r="L23" s="81"/>
      <c r="M23" s="81"/>
      <c r="N23" s="82"/>
    </row>
    <row r="24">
      <c r="A24" s="78" t="str">
        <f>IFERROR(__xludf.DUMMYFUNCTION("""COMPUTED_VALUE"""),"152 - Física 2")</f>
        <v>152 - Física 2</v>
      </c>
      <c r="B24" s="78"/>
      <c r="C24" s="78"/>
      <c r="E24" s="80" t="str">
        <f>E11</f>
        <v>Diseña macros automatizadas en hojas de cálculo utilizando Visual Basic para Aplicaciones (VBA) mediante la implementación de funciones y ciclos condicionales con conexión a bases de datos para optimizar tareas repetitivas </v>
      </c>
      <c r="F24" s="81"/>
      <c r="G24" s="81"/>
      <c r="H24" s="81"/>
      <c r="I24" s="81"/>
      <c r="J24" s="81"/>
      <c r="K24" s="81"/>
      <c r="L24" s="81"/>
      <c r="M24" s="81"/>
      <c r="N24" s="82"/>
    </row>
    <row r="25">
      <c r="A25" s="78" t="str">
        <f>IFERROR(__xludf.DUMMYFUNCTION("""COMPUTED_VALUE"""),"10 - Lógica")</f>
        <v>10 - Lógica</v>
      </c>
      <c r="B25" s="78"/>
      <c r="C25" s="78"/>
      <c r="E25" s="80" t="str">
        <f>E13</f>
        <v>Formula consultas en bases de datos relacionales empleando herramientas de Access y modelos entidad-relación bajo criterios de integridad y relaciones correctas para organizar y extraer información relevante </v>
      </c>
      <c r="F25" s="81"/>
      <c r="G25" s="81"/>
      <c r="H25" s="81"/>
      <c r="I25" s="81"/>
      <c r="J25" s="81"/>
      <c r="K25" s="81"/>
      <c r="L25" s="81"/>
      <c r="M25" s="81"/>
      <c r="N25" s="82"/>
    </row>
    <row r="26">
      <c r="A26" s="78" t="str">
        <f>IFERROR(__xludf.DUMMYFUNCTION("""COMPUTED_VALUE"""),"11 - Idioma Técnico 4")</f>
        <v>11 - Idioma Técnico 4</v>
      </c>
      <c r="B26" s="78"/>
      <c r="C26" s="78"/>
      <c r="E26" s="80" t="str">
        <f>E15</f>
        <v>    </v>
      </c>
      <c r="F26" s="81"/>
      <c r="G26" s="81"/>
      <c r="H26" s="81"/>
      <c r="I26" s="81"/>
      <c r="J26" s="81"/>
      <c r="K26" s="81"/>
      <c r="L26" s="81"/>
      <c r="M26" s="81"/>
      <c r="N26" s="82"/>
    </row>
    <row r="27">
      <c r="A27" s="78" t="str">
        <f>IFERROR(__xludf.DUMMYFUNCTION("""COMPUTED_VALUE"""),"2025 - Prácticas Iniciales")</f>
        <v>2025 - Prácticas Iniciales</v>
      </c>
      <c r="B27" s="78"/>
      <c r="C27" s="78"/>
    </row>
    <row r="28">
      <c r="A28" s="78" t="str">
        <f>IFERROR(__xludf.DUMMYFUNCTION("""COMPUTED_VALUE"""),"732 - Estadística 1")</f>
        <v>732 - Estadística 1</v>
      </c>
      <c r="B28" s="78"/>
      <c r="C28" s="78"/>
    </row>
    <row r="29">
      <c r="A29" s="78" t="str">
        <f>IFERROR(__xludf.DUMMYFUNCTION("""COMPUTED_VALUE"""),"777 - Organización de Lenguajes y Compiladores 1")</f>
        <v>777 - Organización de Lenguajes y Compiladores 1</v>
      </c>
      <c r="B29" s="78" t="str">
        <f>IFERROR(__xludf.DUMMYFUNCTION("""COMPUTED_VALUE"""),"1sMJr8kYIDF7fR6Jn6GMDZp8CdJCeGqxbVA5UTdBCrkM")</f>
        <v>1sMJr8kYIDF7fR6Jn6GMDZp8CdJCeGqxbVA5UTdBCrkM</v>
      </c>
      <c r="C29" s="78" t="str">
        <f>IFERROR(__xludf.DUMMYFUNCTION("""COMPUTED_VALUE"""),"1sznB5glJmAKD25Jh38PR_uvVmYLeupPdQfr5Z_cGdy0")</f>
        <v>1sznB5glJmAKD25Jh38PR_uvVmYLeupPdQfr5Z_cGdy0</v>
      </c>
    </row>
    <row r="30">
      <c r="A30" s="78" t="str">
        <f>IFERROR(__xludf.DUMMYFUNCTION("""COMPUTED_VALUE"""),"964 - Organización Computacional")</f>
        <v>964 - Organización Computacional</v>
      </c>
      <c r="B30" s="78" t="str">
        <f>IFERROR(__xludf.DUMMYFUNCTION("""COMPUTED_VALUE"""),"1daYmFoqU1khKZXb4p_ygv5jH4tkv8-tTjdTDSUh72F0")</f>
        <v>1daYmFoqU1khKZXb4p_ygv5jH4tkv8-tTjdTDSUh72F0</v>
      </c>
      <c r="C30" s="78" t="str">
        <f>IFERROR(__xludf.DUMMYFUNCTION("""COMPUTED_VALUE"""),"1Iu2w--EUMRmqIHGvbgJsupMFeebEMTKXZFzhrwGZtOs")</f>
        <v>1Iu2w--EUMRmqIHGvbgJsupMFeebEMTKXZFzhrwGZtOs</v>
      </c>
    </row>
    <row r="31">
      <c r="A31" s="78" t="str">
        <f>IFERROR(__xludf.DUMMYFUNCTION("""COMPUTED_VALUE"""),"772 - Estructuras de Datos")</f>
        <v>772 - Estructuras de Datos</v>
      </c>
      <c r="B31" s="78" t="str">
        <f>IFERROR(__xludf.DUMMYFUNCTION("""COMPUTED_VALUE"""),"1rTNY7hLmB5N26Z2z6EtF0axcaKKizdu0eLKqLiwUhto")</f>
        <v>1rTNY7hLmB5N26Z2z6EtF0axcaKKizdu0eLKqLiwUhto</v>
      </c>
      <c r="C31" s="78" t="str">
        <f>IFERROR(__xludf.DUMMYFUNCTION("""COMPUTED_VALUE"""),"1e8AAZ395NIODTRjmbwP3Bvdb1OJlsJawLywq7NixwcM")</f>
        <v>1e8AAZ395NIODTRjmbwP3Bvdb1OJlsJawLywq7NixwcM</v>
      </c>
    </row>
    <row r="32">
      <c r="A32" s="78" t="str">
        <f>IFERROR(__xludf.DUMMYFUNCTION("""COMPUTED_VALUE"""),"116 - Matemática Aplicada 3")</f>
        <v>116 - Matemática Aplicada 3</v>
      </c>
      <c r="B32" s="78"/>
      <c r="C32" s="78"/>
    </row>
    <row r="33">
      <c r="A33" s="78" t="str">
        <f>IFERROR(__xludf.DUMMYFUNCTION("""COMPUTED_VALUE"""),"118 - Matemática Aplicada 1")</f>
        <v>118 - Matemática Aplicada 1</v>
      </c>
      <c r="B33" s="78"/>
      <c r="C33" s="78"/>
    </row>
    <row r="34">
      <c r="A34" s="78" t="str">
        <f>IFERROR(__xludf.DUMMYFUNCTION("""COMPUTED_VALUE"""),"18 - Filosofía de la Ciencia")</f>
        <v>18 - Filosofía de la Ciencia</v>
      </c>
      <c r="B34" s="78"/>
      <c r="C34" s="78"/>
    </row>
    <row r="35">
      <c r="A35" s="78" t="str">
        <f>IFERROR(__xludf.DUMMYFUNCTION("""COMPUTED_VALUE"""),"722 - Teoría de Sistemas 1")</f>
        <v>722 - Teoría de Sistemas 1</v>
      </c>
      <c r="B35" s="78" t="str">
        <f>IFERROR(__xludf.DUMMYFUNCTION("""COMPUTED_VALUE"""),"1npGvBttUX2JHkjnmDRQmNhZacltUudlNKCQsLV09BaU")</f>
        <v>1npGvBttUX2JHkjnmDRQmNhZacltUudlNKCQsLV09BaU</v>
      </c>
      <c r="C35" s="78" t="str">
        <f>IFERROR(__xludf.DUMMYFUNCTION("""COMPUTED_VALUE"""),"1hMUPf0qs2ca-iLxfgxe8cYMynK4MJCa34p7GqRHJXbE")</f>
        <v>1hMUPf0qs2ca-iLxfgxe8cYMynK4MJCa34p7GqRHJXbE</v>
      </c>
    </row>
    <row r="36">
      <c r="A36" s="78" t="str">
        <f>IFERROR(__xludf.DUMMYFUNCTION("""COMPUTED_VALUE"""),"601 - Investigación de Operaciones 1")</f>
        <v>601 - Investigación de Operaciones 1</v>
      </c>
      <c r="B36" s="78"/>
      <c r="C36" s="78"/>
    </row>
    <row r="37">
      <c r="A37" s="78" t="str">
        <f>IFERROR(__xludf.DUMMYFUNCTION("""COMPUTED_VALUE"""),"14 - Economía")</f>
        <v>14 - Economía</v>
      </c>
      <c r="B37" s="78" t="str">
        <f>IFERROR(__xludf.DUMMYFUNCTION("""COMPUTED_VALUE"""),"169ieOogZaXHMs_PddYQfqqWTOgqfbgT1NUf8dchmb4U")</f>
        <v>169ieOogZaXHMs_PddYQfqqWTOgqfbgT1NUf8dchmb4U</v>
      </c>
      <c r="C37" s="78" t="str">
        <f>IFERROR(__xludf.DUMMYFUNCTION("""COMPUTED_VALUE"""),"1aRV1pjb7CPc1NcugRe2l92I-OqNZYb_4YmhuHZtvXzs")</f>
        <v>1aRV1pjb7CPc1NcugRe2l92I-OqNZYb_4YmhuHZtvXzs</v>
      </c>
    </row>
    <row r="38">
      <c r="A38" s="78" t="str">
        <f>IFERROR(__xludf.DUMMYFUNCTION("""COMPUTED_VALUE"""),"781 - Organización de Lenguajes y Compiladores 2")</f>
        <v>781 - Organización de Lenguajes y Compiladores 2</v>
      </c>
      <c r="B38" s="78" t="str">
        <f>IFERROR(__xludf.DUMMYFUNCTION("""COMPUTED_VALUE"""),"18dQYgiKWkpI2wogupgHf8u3PbCa0cKqMH6-ZsAIhLPw")</f>
        <v>18dQYgiKWkpI2wogupgHf8u3PbCa0cKqMH6-ZsAIhLPw</v>
      </c>
      <c r="C38" s="78" t="str">
        <f>IFERROR(__xludf.DUMMYFUNCTION("""COMPUTED_VALUE"""),"1FvDr2nu5sW0gxDkpPanB4sWbi78KZCAhc6wrywlrvlE")</f>
        <v>1FvDr2nu5sW0gxDkpPanB4sWbi78KZCAhc6wrywlrvlE</v>
      </c>
    </row>
    <row r="39">
      <c r="A39" s="78" t="str">
        <f>IFERROR(__xludf.DUMMYFUNCTION("""COMPUTED_VALUE"""),"778 - Arquitectura de Computadoras y Ensambladores 1")</f>
        <v>778 - Arquitectura de Computadoras y Ensambladores 1</v>
      </c>
      <c r="B39" s="78" t="str">
        <f>IFERROR(__xludf.DUMMYFUNCTION("""COMPUTED_VALUE"""),"13gNb-7XS_aMptaL1TLnLB5k06Y_okRzOgjzOxLHNuiI")</f>
        <v>13gNb-7XS_aMptaL1TLnLB5k06Y_okRzOgjzOxLHNuiI</v>
      </c>
      <c r="C39" s="78" t="str">
        <f>IFERROR(__xludf.DUMMYFUNCTION("""COMPUTED_VALUE"""),"1dlO25kugHQowRwF3LcOkrFuLGg-hP9mn9OW7x7GssMc")</f>
        <v>1dlO25kugHQowRwF3LcOkrFuLGg-hP9mn9OW7x7GssMc</v>
      </c>
    </row>
    <row r="40">
      <c r="A40" s="78" t="str">
        <f>IFERROR(__xludf.DUMMYFUNCTION("""COMPUTED_VALUE"""),"773 - Manejo e Implementación de Archivos")</f>
        <v>773 - Manejo e Implementación de Archivos</v>
      </c>
      <c r="B40" s="78" t="str">
        <f>IFERROR(__xludf.DUMMYFUNCTION("""COMPUTED_VALUE"""),"1VDaIod2C3XfezxQfz50xvWZ9yVVdVvNIqd-1xbJmaD8")</f>
        <v>1VDaIod2C3XfezxQfz50xvWZ9yVVdVvNIqd-1xbJmaD8</v>
      </c>
      <c r="C40" s="78" t="str">
        <f>IFERROR(__xludf.DUMMYFUNCTION("""COMPUTED_VALUE"""),"1MkqyTtzzzyQyC--twNt__AoC_Sd0UBC67j0f9nktivE")</f>
        <v>1MkqyTtzzzyQyC--twNt__AoC_Sd0UBC67j0f9nktivE</v>
      </c>
    </row>
    <row r="41">
      <c r="A41" s="78" t="str">
        <f>IFERROR(__xludf.DUMMYFUNCTION("""COMPUTED_VALUE"""),"122 - Matemática Aplicada 4")</f>
        <v>122 - Matemática Aplicada 4</v>
      </c>
      <c r="B41" s="78"/>
      <c r="C41" s="78"/>
    </row>
    <row r="42">
      <c r="A42" s="78" t="str">
        <f>IFERROR(__xludf.DUMMYFUNCTION("""COMPUTED_VALUE"""),"120 - Matemática Aplicada 2")</f>
        <v>120 - Matemática Aplicada 2</v>
      </c>
      <c r="B42" s="78"/>
      <c r="C42" s="78"/>
    </row>
    <row r="43">
      <c r="A43" s="78" t="str">
        <f>IFERROR(__xludf.DUMMYFUNCTION("""COMPUTED_VALUE"""),"200 - Ingeniería Eléctrica 1")</f>
        <v>200 - Ingeniería Eléctrica 1</v>
      </c>
      <c r="B43" s="78"/>
      <c r="C43" s="78"/>
    </row>
    <row r="44">
      <c r="A44" s="78" t="str">
        <f>IFERROR(__xludf.DUMMYFUNCTION("""COMPUTED_VALUE"""),"724 - Teoría de Sistemas 2")</f>
        <v>724 - Teoría de Sistemas 2</v>
      </c>
      <c r="B44" s="78" t="str">
        <f>IFERROR(__xludf.DUMMYFUNCTION("""COMPUTED_VALUE"""),"1Oh-yJJ9oc8SdDPJao-u31YXfwOPrsifu2o1a7Sf2-9k")</f>
        <v>1Oh-yJJ9oc8SdDPJao-u31YXfwOPrsifu2o1a7Sf2-9k</v>
      </c>
      <c r="C44" s="78" t="str">
        <f>IFERROR(__xludf.DUMMYFUNCTION("""COMPUTED_VALUE"""),"1O2rxycdV4XrytI_g4llqenReY8-rYp3frKI7rd6fNMI")</f>
        <v>1O2rxycdV4XrytI_g4llqenReY8-rYp3frKI7rd6fNMI</v>
      </c>
    </row>
    <row r="45">
      <c r="A45" s="78" t="str">
        <f>IFERROR(__xludf.DUMMYFUNCTION("""COMPUTED_VALUE"""),"603 - Investigación de Operaciones 2")</f>
        <v>603 - Investigación de Operaciones 2</v>
      </c>
      <c r="B45" s="78"/>
      <c r="C45" s="78"/>
    </row>
    <row r="46">
      <c r="A46" s="78" t="str">
        <f>IFERROR(__xludf.DUMMYFUNCTION("""COMPUTED_VALUE"""),"734 - Estadística 2")</f>
        <v>734 - Estadística 2</v>
      </c>
      <c r="B46" s="78"/>
      <c r="C46" s="78"/>
    </row>
    <row r="47">
      <c r="A47" s="78" t="str">
        <f>IFERROR(__xludf.DUMMYFUNCTION("""COMPUTED_VALUE"""),"281 - Sistemas Operativos 1")</f>
        <v>281 - Sistemas Operativos 1</v>
      </c>
      <c r="B47" s="78" t="str">
        <f>IFERROR(__xludf.DUMMYFUNCTION("""COMPUTED_VALUE"""),"1RAzDRLQZEv8Ck7PxnFQbrklrekiw5bDJFX0wgP7vFSQ")</f>
        <v>1RAzDRLQZEv8Ck7PxnFQbrklrekiw5bDJFX0wgP7vFSQ</v>
      </c>
      <c r="C47" s="78" t="str">
        <f>IFERROR(__xludf.DUMMYFUNCTION("""COMPUTED_VALUE"""),"145JPmfq4pDEEE_ipNtWzYQNDVrAg9WOQ9ocmZu_NegE")</f>
        <v>145JPmfq4pDEEE_ipNtWzYQNDVrAg9WOQ9ocmZu_NegE</v>
      </c>
    </row>
    <row r="48">
      <c r="A48" s="78" t="str">
        <f>IFERROR(__xludf.DUMMYFUNCTION("""COMPUTED_VALUE"""),"779 - Arquitectura de Computadoras y Ensambladores 2")</f>
        <v>779 - Arquitectura de Computadoras y Ensambladores 2</v>
      </c>
      <c r="B48" s="78" t="str">
        <f>IFERROR(__xludf.DUMMYFUNCTION("""COMPUTED_VALUE"""),"1_uxBhWcRvgBlCjf2s6O-Hvly7rBvJyZdswUKwm6KP5Y")</f>
        <v>1_uxBhWcRvgBlCjf2s6O-Hvly7rBvJyZdswUKwm6KP5Y</v>
      </c>
      <c r="C48" s="78" t="str">
        <f>IFERROR(__xludf.DUMMYFUNCTION("""COMPUTED_VALUE"""),"1dqk67SNWBGb15fqe17ZBfmxUg9pla5H7nqVOrGHYEJ4")</f>
        <v>1dqk67SNWBGb15fqe17ZBfmxUg9pla5H7nqVOrGHYEJ4</v>
      </c>
    </row>
    <row r="49">
      <c r="A49" s="78" t="str">
        <f>IFERROR(__xludf.DUMMYFUNCTION("""COMPUTED_VALUE"""),"970 - Redes de Computadoras 1")</f>
        <v>970 - Redes de Computadoras 1</v>
      </c>
      <c r="B49" s="78" t="str">
        <f>IFERROR(__xludf.DUMMYFUNCTION("""COMPUTED_VALUE"""),"1z_6lSkIcVZpEVQ4tR8c-eSvVvTxWsXwhmFojsLWeBGc")</f>
        <v>1z_6lSkIcVZpEVQ4tR8c-eSvVvTxWsXwhmFojsLWeBGc</v>
      </c>
      <c r="C49" s="78" t="str">
        <f>IFERROR(__xludf.DUMMYFUNCTION("""COMPUTED_VALUE"""),"18wRQLI8Pz51ZFEFWKE1SD6XVhlxOdJa1PpxDFo2dRT4")</f>
        <v>18wRQLI8Pz51ZFEFWKE1SD6XVhlxOdJa1PpxDFo2dRT4</v>
      </c>
    </row>
    <row r="50">
      <c r="A50" s="78" t="str">
        <f>IFERROR(__xludf.DUMMYFUNCTION("""COMPUTED_VALUE"""),"774 - Sistemas de Bases de Datos 1")</f>
        <v>774 - Sistemas de Bases de Datos 1</v>
      </c>
      <c r="B50" s="78" t="str">
        <f>IFERROR(__xludf.DUMMYFUNCTION("""COMPUTED_VALUE"""),"1h1zzA1-Xq9ihet57bP4f0PLQnKeojJUanhgpuP67hKs")</f>
        <v>1h1zzA1-Xq9ihet57bP4f0PLQnKeojJUanhgpuP67hKs</v>
      </c>
      <c r="C50" s="78" t="str">
        <f>IFERROR(__xludf.DUMMYFUNCTION("""COMPUTED_VALUE"""),"1xYInTWRmhz45q5vjazDVsb1EGOCbYqibWRBgZMK1g2I")</f>
        <v>1xYInTWRmhz45q5vjazDVsb1EGOCbYqibWRBgZMK1g2I</v>
      </c>
    </row>
    <row r="51">
      <c r="A51" s="78" t="str">
        <f>IFERROR(__xludf.DUMMYFUNCTION("""COMPUTED_VALUE"""),"2036 - Prácticas Intermedias")</f>
        <v>2036 - Prácticas Intermedias</v>
      </c>
      <c r="B51" s="78"/>
      <c r="C51" s="78"/>
    </row>
    <row r="52">
      <c r="A52" s="78" t="str">
        <f>IFERROR(__xludf.DUMMYFUNCTION("""COMPUTED_VALUE"""),"285 - Sistemas Operativos 2")</f>
        <v>285 - Sistemas Operativos 2</v>
      </c>
      <c r="B52" s="78" t="str">
        <f>IFERROR(__xludf.DUMMYFUNCTION("""COMPUTED_VALUE"""),"1VCx3jdfVNJvtMfY5j_W624CAT1QxC-9qVw_ts_erFM8")</f>
        <v>1VCx3jdfVNJvtMfY5j_W624CAT1QxC-9qVw_ts_erFM8</v>
      </c>
      <c r="C52" s="78" t="str">
        <f>IFERROR(__xludf.DUMMYFUNCTION("""COMPUTED_VALUE"""),"1ssmi68Gibgtkl07Zn0H_wQWjqhj_SfcpUhCdmyvVjb4")</f>
        <v>1ssmi68Gibgtkl07Zn0H_wQWjqhj_SfcpUhCdmyvVjb4</v>
      </c>
    </row>
    <row r="53">
      <c r="A53" s="78" t="str">
        <f>IFERROR(__xludf.DUMMYFUNCTION("""COMPUTED_VALUE"""),"975 - Redes de Computadoras 2")</f>
        <v>975 - Redes de Computadoras 2</v>
      </c>
      <c r="B53" s="78" t="str">
        <f>IFERROR(__xludf.DUMMYFUNCTION("""COMPUTED_VALUE"""),"1JcTacSIMIoXQmOixc1cssvrK_MVzZYH-Yo4FFSny6Nk")</f>
        <v>1JcTacSIMIoXQmOixc1cssvrK_MVzZYH-Yo4FFSny6Nk</v>
      </c>
      <c r="C53" s="78" t="str">
        <f>IFERROR(__xludf.DUMMYFUNCTION("""COMPUTED_VALUE"""),"1JLgRGqqoVVNY2eFrI2m3ylhPGOUPiyZN7_tK8VnOywQ")</f>
        <v>1JLgRGqqoVVNY2eFrI2m3ylhPGOUPiyZN7_tK8VnOywQ</v>
      </c>
    </row>
    <row r="54">
      <c r="A54" s="78" t="str">
        <f>IFERROR(__xludf.DUMMYFUNCTION("""COMPUTED_VALUE"""),"775 - Sistemas de Bases de Datos 2")</f>
        <v>775 - Sistemas de Bases de Datos 2</v>
      </c>
      <c r="B54" s="78" t="str">
        <f>IFERROR(__xludf.DUMMYFUNCTION("""COMPUTED_VALUE"""),"1TCVGX95CGGMGYvyB2K8cDve9RSMthqD6Tc1-CrmctiM")</f>
        <v>1TCVGX95CGGMGYvyB2K8cDve9RSMthqD6Tc1-CrmctiM</v>
      </c>
      <c r="C54" s="78" t="str">
        <f>IFERROR(__xludf.DUMMYFUNCTION("""COMPUTED_VALUE"""),"1c8vA2_5i-ARXIPU3ZxB3bwcKRbWh46erGG5KH3wrJyU")</f>
        <v>1c8vA2_5i-ARXIPU3ZxB3bwcKRbWh46erGG5KH3wrJyU</v>
      </c>
    </row>
    <row r="55">
      <c r="A55" s="78" t="str">
        <f>IFERROR(__xludf.DUMMYFUNCTION("""COMPUTED_VALUE"""),"283 - Análisis y Diseño de Sistemas 1")</f>
        <v>283 - Análisis y Diseño de Sistemas 1</v>
      </c>
      <c r="B55" s="78" t="str">
        <f>IFERROR(__xludf.DUMMYFUNCTION("""COMPUTED_VALUE"""),"1Y3HF-OxPbgEhNi6pNhbpImrQsH3btlYO6xtsnryrunY")</f>
        <v>1Y3HF-OxPbgEhNi6pNhbpImrQsH3btlYO6xtsnryrunY</v>
      </c>
      <c r="C55" s="78" t="str">
        <f>IFERROR(__xludf.DUMMYFUNCTION("""COMPUTED_VALUE"""),"12umvxFMZmSLGZenSQOXCnUePgu7-gug8FmFRz5MKlkE")</f>
        <v>12umvxFMZmSLGZenSQOXCnUePgu7-gug8FmFRz5MKlkE</v>
      </c>
    </row>
    <row r="56">
      <c r="A56" s="78" t="str">
        <f>IFERROR(__xludf.DUMMYFUNCTION("""COMPUTED_VALUE"""),"797 - Seminario de Sistemas 1")</f>
        <v>797 - Seminario de Sistemas 1</v>
      </c>
      <c r="B56" s="78" t="str">
        <f>IFERROR(__xludf.DUMMYFUNCTION("""COMPUTED_VALUE"""),"1VXfuZgL8iNYOe8XfW_5s4rVnIq-_Xurqk8xlOGGexqY")</f>
        <v>1VXfuZgL8iNYOe8XfW_5s4rVnIq-_Xurqk8xlOGGexqY</v>
      </c>
      <c r="C56" s="78" t="str">
        <f>IFERROR(__xludf.DUMMYFUNCTION("""COMPUTED_VALUE"""),"1eWOPuodcZlQ4YNCFI3CQ-Zpw7nxkVx7vi3XlMdj8he4")</f>
        <v>1eWOPuodcZlQ4YNCFI3CQ-Zpw7nxkVx7vi3XlMdj8he4</v>
      </c>
    </row>
    <row r="57">
      <c r="A57" s="78" t="str">
        <f>IFERROR(__xludf.DUMMYFUNCTION("""COMPUTED_VALUE"""),"700 - Ingeniería Económica 1")</f>
        <v>700 - Ingeniería Económica 1</v>
      </c>
      <c r="B57" s="78"/>
      <c r="C57" s="78"/>
    </row>
    <row r="58">
      <c r="A58" s="78" t="str">
        <f>IFERROR(__xludf.DUMMYFUNCTION("""COMPUTED_VALUE"""),"729 - Modelación y Simulación 1")</f>
        <v>729 - Modelación y Simulación 1</v>
      </c>
      <c r="B58" s="78" t="str">
        <f>IFERROR(__xludf.DUMMYFUNCTION("""COMPUTED_VALUE"""),"17u8GNz3HZ-i9KS-yxFiuJx9u7OawTwjyLcvLoG_x6W8")</f>
        <v>17u8GNz3HZ-i9KS-yxFiuJx9u7OawTwjyLcvLoG_x6W8</v>
      </c>
      <c r="C58" s="78" t="str">
        <f>IFERROR(__xludf.DUMMYFUNCTION("""COMPUTED_VALUE"""),"1NFJSyWLsOrGAG7qFKpXyw79GRTTb4abmj-M6aBddS5U")</f>
        <v>1NFJSyWLsOrGAG7qFKpXyw79GRTTb4abmj-M6aBddS5U</v>
      </c>
    </row>
    <row r="59">
      <c r="A59" s="78" t="str">
        <f>IFERROR(__xludf.DUMMYFUNCTION("""COMPUTED_VALUE"""),"786 - Sistemas Organizacionales y Gerenciales 1")</f>
        <v>786 - Sistemas Organizacionales y Gerenciales 1</v>
      </c>
      <c r="B59" s="78" t="str">
        <f>IFERROR(__xludf.DUMMYFUNCTION("""COMPUTED_VALUE"""),"1VTtCckO64u9REDx8UoxNJrYiavZGQU_hh4HvsOUiqlc")</f>
        <v>1VTtCckO64u9REDx8UoxNJrYiavZGQU_hh4HvsOUiqlc</v>
      </c>
      <c r="C59" s="78" t="str">
        <f>IFERROR(__xludf.DUMMYFUNCTION("""COMPUTED_VALUE"""),"1dMwVEKpg3j4uCN3CqoVXOWkBQbHNw7DIhtU8Bhc5Mqc")</f>
        <v>1dMwVEKpg3j4uCN3CqoVXOWkBQbHNw7DIhtU8Bhc5Mqc</v>
      </c>
    </row>
    <row r="60">
      <c r="A60" s="78" t="str">
        <f>IFERROR(__xludf.DUMMYFUNCTION("""COMPUTED_VALUE"""),"972 - Inteligencia Artificial 1")</f>
        <v>972 - Inteligencia Artificial 1</v>
      </c>
      <c r="B60" s="78" t="str">
        <f>IFERROR(__xludf.DUMMYFUNCTION("""COMPUTED_VALUE"""),"1C04a6qH3d2zJVb1hJwa6tsRQVM9LUb_nwyxMovG5tdI")</f>
        <v>1C04a6qH3d2zJVb1hJwa6tsRQVM9LUb_nwyxMovG5tdI</v>
      </c>
      <c r="C60" s="78" t="str">
        <f>IFERROR(__xludf.DUMMYFUNCTION("""COMPUTED_VALUE"""),"1CEh1GcUg3ntzgPT9yUocLDlrLJKmZCCl1MWUrEyfwzg")</f>
        <v>1CEh1GcUg3ntzgPT9yUocLDlrLJKmZCCl1MWUrEyfwzg</v>
      </c>
    </row>
    <row r="61">
      <c r="A61" s="78" t="str">
        <f>IFERROR(__xludf.DUMMYFUNCTION("""COMPUTED_VALUE"""),"966 - Seguridad y Auditoría de Redes de Computadoras")</f>
        <v>966 - Seguridad y Auditoría de Redes de Computadoras</v>
      </c>
      <c r="B61" s="78"/>
      <c r="C61" s="78"/>
    </row>
    <row r="62">
      <c r="A62" s="78" t="str">
        <f>IFERROR(__xludf.DUMMYFUNCTION("""COMPUTED_VALUE"""),"785 - Análisis y Diseño de Sistemas 2")</f>
        <v>785 - Análisis y Diseño de Sistemas 2</v>
      </c>
      <c r="B62" s="78" t="str">
        <f>IFERROR(__xludf.DUMMYFUNCTION("""COMPUTED_VALUE"""),"1_ufF1kvClwUUTsCz0V0fLuXjs_JRZWRSMCWkUEd8co4")</f>
        <v>1_ufF1kvClwUUTsCz0V0fLuXjs_JRZWRSMCWkUEd8co4</v>
      </c>
      <c r="C62" s="78" t="str">
        <f>IFERROR(__xludf.DUMMYFUNCTION("""COMPUTED_VALUE"""),"1HaBdPkxZx1GRiw5WlqxQhbxPWuW-mZVFEoUho7tsLDY")</f>
        <v>1HaBdPkxZx1GRiw5WlqxQhbxPWuW-mZVFEoUho7tsLDY</v>
      </c>
    </row>
    <row r="63">
      <c r="A63" s="78" t="str">
        <f>IFERROR(__xludf.DUMMYFUNCTION("""COMPUTED_VALUE"""),"798 - Seminario de Sistemas 2")</f>
        <v>798 - Seminario de Sistemas 2</v>
      </c>
      <c r="B63" s="78" t="str">
        <f>IFERROR(__xludf.DUMMYFUNCTION("""COMPUTED_VALUE"""),"1v6hbJdWzxkj7s5D7oM894pu3kMAvhEZGXUMfRFv7yKQ")</f>
        <v>1v6hbJdWzxkj7s5D7oM894pu3kMAvhEZGXUMfRFv7yKQ</v>
      </c>
      <c r="C63" s="78" t="str">
        <f>IFERROR(__xludf.DUMMYFUNCTION("""COMPUTED_VALUE"""),"1LxPO_wuZRiAXrS1EicVG-gQWzjILKll8Nqvs3MS7G_k")</f>
        <v>1LxPO_wuZRiAXrS1EicVG-gQWzjILKll8Nqvs3MS7G_k</v>
      </c>
    </row>
    <row r="64">
      <c r="A64" s="78" t="str">
        <f>IFERROR(__xludf.DUMMYFUNCTION("""COMPUTED_VALUE"""),"788 - Sistemas Aplicados 1")</f>
        <v>788 - Sistemas Aplicados 1</v>
      </c>
      <c r="B64" s="78"/>
      <c r="C64" s="78"/>
    </row>
    <row r="65">
      <c r="A65" s="78" t="str">
        <f>IFERROR(__xludf.DUMMYFUNCTION("""COMPUTED_VALUE"""),"776 - Bases de Datos Avanzadas")</f>
        <v>776 - Bases de Datos Avanzadas</v>
      </c>
      <c r="B65" s="78" t="str">
        <f>IFERROR(__xludf.DUMMYFUNCTION("""COMPUTED_VALUE"""),"1SZ2dJz29IsruB5vMYQ514xwGe6wyVx6cjMu_iwnHpFo")</f>
        <v>1SZ2dJz29IsruB5vMYQ514xwGe6wyVx6cjMu_iwnHpFo</v>
      </c>
      <c r="C65" s="78"/>
    </row>
    <row r="66">
      <c r="A66" s="78" t="str">
        <f>IFERROR(__xludf.DUMMYFUNCTION("""COMPUTED_VALUE"""),"2009 - Prácticas Finales Ingeniería Ciencias y Sistemas")</f>
        <v>2009 - Prácticas Finales Ingeniería Ciencias y Sistemas</v>
      </c>
      <c r="B66" s="78"/>
      <c r="C66" s="78"/>
    </row>
    <row r="67">
      <c r="A67" s="78" t="str">
        <f>IFERROR(__xludf.DUMMYFUNCTION("""COMPUTED_VALUE"""),"720 - Modelación y Simulación 2")</f>
        <v>720 - Modelación y Simulación 2</v>
      </c>
      <c r="B67" s="78" t="str">
        <f>IFERROR(__xludf.DUMMYFUNCTION("""COMPUTED_VALUE"""),"1ebc3-I4AbsLDHtzhtolQz7pqZDPvmSE0yZJu1xY6lLY")</f>
        <v>1ebc3-I4AbsLDHtzhtolQz7pqZDPvmSE0yZJu1xY6lLY</v>
      </c>
      <c r="C67" s="78" t="str">
        <f>IFERROR(__xludf.DUMMYFUNCTION("""COMPUTED_VALUE"""),"1VnSdYE6hCH1oAG4XdaAltDp-IuIjLZzv9KdrOGh2-0Y")</f>
        <v>1VnSdYE6hCH1oAG4XdaAltDp-IuIjLZzv9KdrOGh2-0Y</v>
      </c>
    </row>
    <row r="68">
      <c r="A68" s="78" t="str">
        <f>IFERROR(__xludf.DUMMYFUNCTION("""COMPUTED_VALUE"""),"787 - Sistemas Organizacionales y Gerenciales 2")</f>
        <v>787 - Sistemas Organizacionales y Gerenciales 2</v>
      </c>
      <c r="B68" s="78" t="str">
        <f>IFERROR(__xludf.DUMMYFUNCTION("""COMPUTED_VALUE"""),"1KpYHYX_EAJ-h4GLtSoCT8Rqz-xU4Qh5pUnEiPyxmEZA")</f>
        <v>1KpYHYX_EAJ-h4GLtSoCT8Rqz-xU4Qh5pUnEiPyxmEZA</v>
      </c>
      <c r="C68" s="78" t="str">
        <f>IFERROR(__xludf.DUMMYFUNCTION("""COMPUTED_VALUE"""),"106SYnPHxQ47_qT62NOXndjd6mPwE7LV7AXR9D4-euB8")</f>
        <v>106SYnPHxQ47_qT62NOXndjd6mPwE7LV7AXR9D4-euB8</v>
      </c>
    </row>
    <row r="69">
      <c r="A69" s="78" t="str">
        <f>IFERROR(__xludf.DUMMYFUNCTION("""COMPUTED_VALUE"""),"790 - Emprendedores de Negocios Informáticos")</f>
        <v>790 - Emprendedores de Negocios Informáticos</v>
      </c>
      <c r="B69" s="78"/>
      <c r="C69" s="78"/>
    </row>
    <row r="70">
      <c r="A70" s="78" t="str">
        <f>IFERROR(__xludf.DUMMYFUNCTION("""COMPUTED_VALUE"""),"968 - Inteligencia Artificial 2")</f>
        <v>968 - Inteligencia Artificial 2</v>
      </c>
      <c r="B70" s="78"/>
      <c r="C70" s="78"/>
    </row>
    <row r="71">
      <c r="A71" s="78" t="str">
        <f>IFERROR(__xludf.DUMMYFUNCTION("""COMPUTED_VALUE"""),"974 - Redes de Nueva Generación")</f>
        <v>974 - Redes de Nueva Generación</v>
      </c>
      <c r="B71" s="78"/>
      <c r="C71" s="78"/>
    </row>
    <row r="72">
      <c r="A72" s="78" t="str">
        <f>IFERROR(__xludf.DUMMYFUNCTION("""COMPUTED_VALUE"""),"780 - Software Avanzado")</f>
        <v>780 - Software Avanzado</v>
      </c>
      <c r="B72" s="78" t="str">
        <f>IFERROR(__xludf.DUMMYFUNCTION("""COMPUTED_VALUE"""),"1SZ2dJz29IsruB5vMYQ514xwGe6wyVx6cjMu_iwnHpFo")</f>
        <v>1SZ2dJz29IsruB5vMYQ514xwGe6wyVx6cjMu_iwnHpFo</v>
      </c>
      <c r="C72" s="78" t="str">
        <f>IFERROR(__xludf.DUMMYFUNCTION("""COMPUTED_VALUE"""),"13JrqVT0c3I6SzCOF1sKpi1qJKOryNTT4TsCaNwuV-24")</f>
        <v>13JrqVT0c3I6SzCOF1sKpi1qJKOryNTT4TsCaNwuV-24</v>
      </c>
    </row>
    <row r="73">
      <c r="A73" s="78" t="str">
        <f>IFERROR(__xludf.DUMMYFUNCTION("""COMPUTED_VALUE"""),"789 - Sistemas Aplicados 2")</f>
        <v>789 - Sistemas Aplicados 2</v>
      </c>
      <c r="B73" s="78"/>
      <c r="C73" s="78"/>
    </row>
    <row r="74">
      <c r="A74" s="78" t="str">
        <f>IFERROR(__xludf.DUMMYFUNCTION("""COMPUTED_VALUE"""),"735 - Auditoría de Proyectos de Software")</f>
        <v>735 - Auditoría de Proyectos de Software</v>
      </c>
      <c r="B74" s="78"/>
      <c r="C74" s="78"/>
    </row>
    <row r="75">
      <c r="A75" s="78" t="str">
        <f>IFERROR(__xludf.DUMMYFUNCTION("""COMPUTED_VALUE"""),"7999 - Seminario de Investigación EPS Sistemas")</f>
        <v>7999 - Seminario de Investigación EPS Sistemas</v>
      </c>
      <c r="B75" s="78"/>
      <c r="C75" s="78"/>
    </row>
    <row r="76">
      <c r="A76" s="78" t="str">
        <f>IFERROR(__xludf.DUMMYFUNCTION("""COMPUTED_VALUE"""),"799 - Seminario de Investigación")</f>
        <v>799 - Seminario de Investigación</v>
      </c>
      <c r="B76" s="78"/>
      <c r="C76" s="78"/>
    </row>
    <row r="77">
      <c r="A77" s="78" t="str">
        <f>IFERROR(__xludf.DUMMYFUNCTION("""COMPUTED_VALUE"""),"90 - Programacion de Computadoras 1")</f>
        <v>90 - Programacion de Computadoras 1</v>
      </c>
      <c r="B77" s="78" t="str">
        <f>IFERROR(__xludf.DUMMYFUNCTION("""COMPUTED_VALUE"""),"1qvDDGj5yCc7f5CzNszeAsW2HPXfptQjvWIcbjskCMYM")</f>
        <v>1qvDDGj5yCc7f5CzNszeAsW2HPXfptQjvWIcbjskCMYM</v>
      </c>
      <c r="C77" s="78" t="str">
        <f>IFERROR(__xludf.DUMMYFUNCTION("""COMPUTED_VALUE"""),"1YPGQg3r0TE0ZsibgKarHMDVR2FLaHLC0G5O84_GpNhw")</f>
        <v>1YPGQg3r0TE0ZsibgKarHMDVR2FLaHLC0G5O84_GpNhw</v>
      </c>
    </row>
    <row r="78">
      <c r="A78" s="78" t="str">
        <f>IFERROR(__xludf.DUMMYFUNCTION("""COMPUTED_VALUE"""),"92 - Programacion de Computadoras 2")</f>
        <v>92 - Programacion de Computadoras 2</v>
      </c>
      <c r="B78" s="78" t="str">
        <f>IFERROR(__xludf.DUMMYFUNCTION("""COMPUTED_VALUE"""),"1SCiXODhHsEGBVGnnYk9ZrO_gSOSvcGwu7lDEJBfLaEw")</f>
        <v>1SCiXODhHsEGBVGnnYk9ZrO_gSOSvcGwu7lDEJBfLaEw</v>
      </c>
      <c r="C78" s="78" t="str">
        <f>IFERROR(__xludf.DUMMYFUNCTION("""COMPUTED_VALUE"""),"1Bf3nWt47xcnM3VU3BvJaD4AcWQd-1GK4pJm4b69PzDk")</f>
        <v>1Bf3nWt47xcnM3VU3BvJaD4AcWQd-1GK4pJm4b69PzDk</v>
      </c>
    </row>
    <row r="79">
      <c r="A79" s="78" t="str">
        <f>IFERROR(__xludf.DUMMYFUNCTION("""COMPUTED_VALUE"""),"667 - Programacion Comercial 1")</f>
        <v>667 - Programacion Comercial 1</v>
      </c>
      <c r="B79" s="78" t="str">
        <f>IFERROR(__xludf.DUMMYFUNCTION("""COMPUTED_VALUE"""),"1q-0CM7N_hXOxknvTAL7P8U9-t9hqpm1-3l5E6r3G-qg")</f>
        <v>1q-0CM7N_hXOxknvTAL7P8U9-t9hqpm1-3l5E6r3G-qg</v>
      </c>
      <c r="C79" s="78" t="str">
        <f>IFERROR(__xludf.DUMMYFUNCTION("""COMPUTED_VALUE"""),"1R41rwbBQZrh9qjZ3XYjH5mTM9rwh34s58Htn787_YnY")</f>
        <v>1R41rwbBQZrh9qjZ3XYjH5mTM9rwh34s58Htn787_YnY</v>
      </c>
    </row>
    <row r="80">
      <c r="A80" s="78" t="str">
        <f>IFERROR(__xludf.DUMMYFUNCTION("""COMPUTED_VALUE"""),"768 - Algoritmos")</f>
        <v>768 - Algoritmos</v>
      </c>
      <c r="B80" s="78" t="str">
        <f>IFERROR(__xludf.DUMMYFUNCTION("""COMPUTED_VALUE"""),"1SjAd6zUsLAnVyCAYH7AjoRBdaM836qJGVSbcpa5npcA")</f>
        <v>1SjAd6zUsLAnVyCAYH7AjoRBdaM836qJGVSbcpa5npcA</v>
      </c>
      <c r="C80" s="78" t="str">
        <f>IFERROR(__xludf.DUMMYFUNCTION("""COMPUTED_VALUE"""),"1afm0IKlaJOgHVN4bCH6AUAoNUqhq0_44_T5aENeyCWo")</f>
        <v>1afm0IKlaJOgHVN4bCH6AUAoNUqhq0_44_T5aENeyCWo</v>
      </c>
    </row>
    <row r="81">
      <c r="A81" s="78"/>
      <c r="B81" s="78"/>
      <c r="C81" s="78"/>
    </row>
    <row r="82">
      <c r="A82" s="78"/>
      <c r="B82" s="78"/>
      <c r="C82" s="78"/>
    </row>
    <row r="83">
      <c r="A83" s="78"/>
      <c r="B83" s="78"/>
      <c r="C83" s="78"/>
    </row>
    <row r="84">
      <c r="A84" s="78"/>
      <c r="B84" s="78"/>
      <c r="C84" s="78"/>
    </row>
    <row r="85">
      <c r="A85" s="78"/>
      <c r="B85" s="78"/>
      <c r="C85" s="78"/>
    </row>
    <row r="86">
      <c r="A86" s="78"/>
      <c r="B86" s="78"/>
      <c r="C86" s="78"/>
    </row>
    <row r="87">
      <c r="A87" s="78"/>
      <c r="B87" s="78"/>
      <c r="C87" s="78"/>
    </row>
    <row r="88">
      <c r="A88" s="78"/>
      <c r="B88" s="78"/>
      <c r="C88" s="78"/>
    </row>
    <row r="89">
      <c r="A89" s="78"/>
      <c r="B89" s="78"/>
      <c r="C89" s="78"/>
    </row>
    <row r="90">
      <c r="A90" s="78"/>
      <c r="B90" s="78"/>
      <c r="C90" s="78"/>
    </row>
    <row r="91">
      <c r="A91" s="78"/>
      <c r="B91" s="78"/>
      <c r="C91" s="78"/>
    </row>
    <row r="92">
      <c r="A92" s="78"/>
      <c r="B92" s="78"/>
      <c r="C92" s="78"/>
    </row>
    <row r="93">
      <c r="A93" s="78"/>
      <c r="B93" s="78"/>
      <c r="C93" s="78"/>
    </row>
    <row r="94">
      <c r="A94" s="78"/>
      <c r="B94" s="78"/>
      <c r="C94" s="78"/>
    </row>
    <row r="95">
      <c r="A95" s="78"/>
      <c r="B95" s="78"/>
      <c r="C95" s="78"/>
    </row>
    <row r="96">
      <c r="A96" s="78"/>
      <c r="B96" s="78"/>
      <c r="C96" s="78"/>
    </row>
    <row r="97">
      <c r="A97" s="78"/>
      <c r="B97" s="78"/>
      <c r="C97" s="78"/>
    </row>
    <row r="98">
      <c r="A98" s="78"/>
      <c r="B98" s="78"/>
      <c r="C98" s="78"/>
    </row>
    <row r="99">
      <c r="A99" s="78"/>
      <c r="B99" s="78"/>
      <c r="C99" s="78"/>
    </row>
    <row r="100">
      <c r="A100" s="78"/>
      <c r="B100" s="78"/>
      <c r="C100" s="78"/>
    </row>
    <row r="101">
      <c r="A101" s="78"/>
      <c r="B101" s="78"/>
      <c r="C101" s="78"/>
    </row>
    <row r="102">
      <c r="A102" s="78"/>
      <c r="B102" s="78"/>
      <c r="C102" s="78"/>
    </row>
    <row r="103">
      <c r="A103" s="78"/>
      <c r="B103" s="78"/>
      <c r="C103" s="78"/>
    </row>
    <row r="104">
      <c r="A104" s="78"/>
      <c r="B104" s="78"/>
      <c r="C104" s="78"/>
    </row>
    <row r="105">
      <c r="A105" s="78"/>
      <c r="B105" s="78"/>
      <c r="C105" s="78"/>
    </row>
    <row r="106">
      <c r="A106" s="78"/>
      <c r="B106" s="78"/>
      <c r="C106" s="78"/>
    </row>
    <row r="107">
      <c r="A107" s="78"/>
      <c r="B107" s="78"/>
      <c r="C107" s="78"/>
    </row>
    <row r="108">
      <c r="A108" s="78"/>
      <c r="B108" s="78"/>
      <c r="C108" s="78"/>
    </row>
    <row r="109">
      <c r="A109" s="78"/>
      <c r="B109" s="78"/>
      <c r="C109" s="78"/>
    </row>
    <row r="110">
      <c r="A110" s="78"/>
      <c r="B110" s="78"/>
      <c r="C110" s="78"/>
    </row>
    <row r="111">
      <c r="A111" s="78"/>
      <c r="B111" s="78"/>
      <c r="C111" s="78"/>
    </row>
    <row r="112">
      <c r="A112" s="78"/>
      <c r="B112" s="78"/>
      <c r="C112" s="78"/>
    </row>
    <row r="113">
      <c r="A113" s="78"/>
      <c r="B113" s="78"/>
      <c r="C113" s="78"/>
    </row>
    <row r="114">
      <c r="A114" s="78"/>
      <c r="B114" s="78"/>
      <c r="C114" s="78"/>
    </row>
    <row r="115">
      <c r="A115" s="78"/>
      <c r="B115" s="78"/>
      <c r="C115" s="78"/>
    </row>
    <row r="116">
      <c r="A116" s="78"/>
      <c r="B116" s="78"/>
      <c r="C116" s="78"/>
    </row>
    <row r="117">
      <c r="A117" s="78"/>
      <c r="B117" s="78"/>
      <c r="C117" s="78"/>
    </row>
    <row r="118">
      <c r="A118" s="78"/>
      <c r="B118" s="78"/>
      <c r="C118" s="78"/>
    </row>
    <row r="119">
      <c r="A119" s="78"/>
      <c r="B119" s="78"/>
      <c r="C119" s="78"/>
    </row>
    <row r="120">
      <c r="A120" s="78"/>
      <c r="B120" s="78"/>
      <c r="C120" s="78"/>
    </row>
    <row r="121">
      <c r="A121" s="78"/>
      <c r="B121" s="78"/>
      <c r="C121" s="78"/>
    </row>
    <row r="122">
      <c r="A122" s="78"/>
      <c r="B122" s="78"/>
      <c r="C122" s="78"/>
    </row>
    <row r="123">
      <c r="A123" s="78"/>
      <c r="B123" s="78"/>
      <c r="C123" s="78"/>
    </row>
    <row r="124">
      <c r="A124" s="78"/>
      <c r="B124" s="78"/>
      <c r="C124" s="78"/>
    </row>
    <row r="125">
      <c r="A125" s="78"/>
      <c r="B125" s="78"/>
      <c r="C125" s="78"/>
    </row>
    <row r="126">
      <c r="A126" s="78"/>
      <c r="B126" s="78"/>
      <c r="C126" s="78"/>
    </row>
    <row r="127">
      <c r="A127" s="78"/>
      <c r="B127" s="78"/>
      <c r="C127" s="78"/>
    </row>
    <row r="128">
      <c r="A128" s="78"/>
      <c r="B128" s="78"/>
      <c r="C128" s="78"/>
    </row>
    <row r="129">
      <c r="A129" s="78"/>
      <c r="B129" s="78"/>
      <c r="C129" s="78"/>
    </row>
    <row r="130">
      <c r="A130" s="78"/>
      <c r="B130" s="78"/>
      <c r="C130" s="78"/>
    </row>
    <row r="131">
      <c r="A131" s="78"/>
      <c r="B131" s="78"/>
      <c r="C131" s="78"/>
    </row>
    <row r="132">
      <c r="A132" s="78"/>
      <c r="B132" s="78"/>
      <c r="C132" s="78"/>
    </row>
    <row r="133">
      <c r="A133" s="78"/>
      <c r="B133" s="78"/>
      <c r="C133" s="78"/>
    </row>
    <row r="134">
      <c r="A134" s="78"/>
      <c r="B134" s="78"/>
      <c r="C134" s="78"/>
    </row>
    <row r="135">
      <c r="A135" s="78"/>
      <c r="B135" s="78"/>
      <c r="C135" s="78"/>
    </row>
    <row r="136">
      <c r="A136" s="78"/>
      <c r="B136" s="78"/>
      <c r="C136" s="78"/>
    </row>
    <row r="137">
      <c r="A137" s="78"/>
      <c r="B137" s="78"/>
      <c r="C137" s="78"/>
    </row>
    <row r="138">
      <c r="A138" s="78"/>
      <c r="B138" s="78"/>
      <c r="C138" s="78"/>
    </row>
    <row r="139">
      <c r="A139" s="78"/>
      <c r="B139" s="78"/>
      <c r="C139" s="78"/>
    </row>
    <row r="140">
      <c r="A140" s="78"/>
      <c r="B140" s="78"/>
      <c r="C140" s="78"/>
    </row>
    <row r="141">
      <c r="A141" s="78"/>
      <c r="B141" s="78"/>
      <c r="C141" s="78"/>
    </row>
    <row r="142">
      <c r="A142" s="78"/>
      <c r="B142" s="78"/>
      <c r="C142" s="78"/>
    </row>
    <row r="143">
      <c r="A143" s="78"/>
      <c r="B143" s="78"/>
      <c r="C143" s="78"/>
    </row>
    <row r="144">
      <c r="A144" s="78"/>
      <c r="B144" s="78"/>
      <c r="C144" s="78"/>
    </row>
    <row r="145">
      <c r="A145" s="78"/>
      <c r="B145" s="78"/>
      <c r="C145" s="78"/>
    </row>
    <row r="146">
      <c r="A146" s="78"/>
      <c r="B146" s="78"/>
      <c r="C146" s="78"/>
    </row>
    <row r="147">
      <c r="A147" s="78"/>
      <c r="B147" s="78"/>
      <c r="C147" s="78"/>
    </row>
    <row r="148">
      <c r="A148" s="78"/>
      <c r="B148" s="78"/>
      <c r="C148" s="78"/>
    </row>
    <row r="149">
      <c r="A149" s="78"/>
      <c r="B149" s="78"/>
      <c r="C149" s="78"/>
    </row>
    <row r="150">
      <c r="A150" s="78"/>
      <c r="B150" s="78"/>
      <c r="C150" s="78"/>
    </row>
    <row r="151">
      <c r="A151" s="78"/>
      <c r="B151" s="78"/>
      <c r="C151" s="78"/>
    </row>
    <row r="152">
      <c r="A152" s="78"/>
      <c r="B152" s="78"/>
      <c r="C152" s="78"/>
    </row>
    <row r="153">
      <c r="A153" s="78"/>
      <c r="B153" s="78"/>
      <c r="C153" s="78"/>
    </row>
    <row r="154">
      <c r="A154" s="78"/>
      <c r="B154" s="78"/>
      <c r="C154" s="78"/>
    </row>
    <row r="155">
      <c r="A155" s="78"/>
      <c r="B155" s="78"/>
      <c r="C155" s="78"/>
    </row>
    <row r="156">
      <c r="A156" s="78"/>
      <c r="B156" s="78"/>
      <c r="C156" s="78"/>
    </row>
    <row r="157">
      <c r="A157" s="78"/>
      <c r="B157" s="78"/>
      <c r="C157" s="78"/>
    </row>
    <row r="158">
      <c r="A158" s="78"/>
      <c r="B158" s="78"/>
      <c r="C158" s="78"/>
    </row>
    <row r="159">
      <c r="A159" s="78"/>
      <c r="B159" s="78"/>
      <c r="C159" s="78"/>
    </row>
    <row r="160">
      <c r="A160" s="78"/>
      <c r="B160" s="78"/>
      <c r="C160" s="78"/>
    </row>
    <row r="161">
      <c r="A161" s="78"/>
      <c r="B161" s="78"/>
      <c r="C161" s="78"/>
    </row>
    <row r="162">
      <c r="A162" s="78"/>
      <c r="B162" s="78"/>
      <c r="C162" s="78"/>
    </row>
    <row r="163">
      <c r="A163" s="78"/>
      <c r="B163" s="78"/>
      <c r="C163" s="78"/>
    </row>
    <row r="164">
      <c r="A164" s="78"/>
      <c r="B164" s="78"/>
      <c r="C164" s="78"/>
    </row>
    <row r="165">
      <c r="A165" s="78"/>
      <c r="B165" s="78"/>
      <c r="C165" s="78"/>
    </row>
    <row r="166">
      <c r="A166" s="78"/>
      <c r="B166" s="78"/>
      <c r="C166" s="78"/>
    </row>
    <row r="167">
      <c r="A167" s="78"/>
      <c r="B167" s="78"/>
      <c r="C167" s="78"/>
    </row>
    <row r="168">
      <c r="A168" s="78"/>
      <c r="B168" s="78"/>
      <c r="C168" s="78"/>
    </row>
    <row r="169">
      <c r="A169" s="78"/>
      <c r="B169" s="78"/>
      <c r="C169" s="78"/>
    </row>
    <row r="170">
      <c r="A170" s="78"/>
      <c r="B170" s="78"/>
      <c r="C170" s="78"/>
    </row>
    <row r="171">
      <c r="A171" s="78"/>
      <c r="B171" s="78"/>
      <c r="C171" s="78"/>
    </row>
    <row r="172">
      <c r="A172" s="78"/>
      <c r="B172" s="78"/>
      <c r="C172" s="78"/>
    </row>
    <row r="173">
      <c r="A173" s="78"/>
      <c r="B173" s="78"/>
      <c r="C173" s="78"/>
    </row>
    <row r="174">
      <c r="A174" s="78"/>
      <c r="B174" s="78"/>
      <c r="C174" s="78"/>
    </row>
    <row r="175">
      <c r="A175" s="78"/>
      <c r="B175" s="78"/>
      <c r="C175" s="78"/>
    </row>
    <row r="176">
      <c r="A176" s="78"/>
      <c r="B176" s="78"/>
      <c r="C176" s="78"/>
    </row>
    <row r="177">
      <c r="A177" s="78"/>
      <c r="B177" s="78"/>
      <c r="C177" s="78"/>
    </row>
    <row r="178">
      <c r="A178" s="78"/>
      <c r="B178" s="78"/>
      <c r="C178" s="78"/>
    </row>
    <row r="179">
      <c r="A179" s="78"/>
      <c r="B179" s="78"/>
      <c r="C179" s="78"/>
    </row>
    <row r="180">
      <c r="A180" s="78"/>
      <c r="B180" s="78"/>
      <c r="C180" s="78"/>
    </row>
    <row r="181">
      <c r="A181" s="78"/>
      <c r="B181" s="78"/>
      <c r="C181" s="78"/>
    </row>
    <row r="182">
      <c r="A182" s="78"/>
      <c r="B182" s="78"/>
      <c r="C182" s="78"/>
    </row>
    <row r="183">
      <c r="A183" s="78"/>
      <c r="B183" s="78"/>
      <c r="C183" s="78"/>
    </row>
    <row r="184">
      <c r="A184" s="78"/>
      <c r="B184" s="78"/>
      <c r="C184" s="78"/>
    </row>
    <row r="185">
      <c r="A185" s="78"/>
      <c r="B185" s="78"/>
      <c r="C185" s="78"/>
    </row>
    <row r="186">
      <c r="A186" s="78"/>
      <c r="B186" s="78"/>
      <c r="C186" s="78"/>
    </row>
    <row r="187">
      <c r="A187" s="78"/>
      <c r="B187" s="78"/>
      <c r="C187" s="78"/>
    </row>
    <row r="188">
      <c r="A188" s="78"/>
      <c r="B188" s="78"/>
      <c r="C188" s="78"/>
    </row>
    <row r="189">
      <c r="A189" s="78"/>
      <c r="B189" s="78"/>
      <c r="C189" s="78"/>
    </row>
    <row r="190">
      <c r="A190" s="78"/>
      <c r="B190" s="78"/>
      <c r="C190" s="78"/>
    </row>
    <row r="191">
      <c r="A191" s="78"/>
      <c r="B191" s="78"/>
      <c r="C191" s="78"/>
    </row>
    <row r="192">
      <c r="A192" s="78"/>
      <c r="B192" s="78"/>
      <c r="C192" s="78"/>
    </row>
    <row r="193">
      <c r="A193" s="78"/>
      <c r="B193" s="78"/>
      <c r="C193" s="78"/>
    </row>
    <row r="194">
      <c r="A194" s="78"/>
      <c r="B194" s="78"/>
      <c r="C194" s="78"/>
    </row>
    <row r="195">
      <c r="A195" s="78"/>
      <c r="B195" s="78"/>
      <c r="C195" s="78"/>
    </row>
    <row r="196">
      <c r="A196" s="78"/>
      <c r="B196" s="78"/>
      <c r="C196" s="78"/>
    </row>
    <row r="197">
      <c r="A197" s="78"/>
      <c r="B197" s="78"/>
      <c r="C197" s="78"/>
    </row>
    <row r="198">
      <c r="A198" s="78"/>
      <c r="B198" s="78"/>
      <c r="C198" s="78"/>
    </row>
    <row r="199">
      <c r="A199" s="78"/>
      <c r="B199" s="78"/>
      <c r="C199" s="78"/>
    </row>
    <row r="200">
      <c r="A200" s="78"/>
      <c r="B200" s="78"/>
      <c r="C200" s="78"/>
    </row>
    <row r="201">
      <c r="A201" s="78"/>
      <c r="B201" s="78"/>
      <c r="C201" s="78"/>
    </row>
    <row r="202">
      <c r="A202" s="78"/>
      <c r="B202" s="78"/>
      <c r="C202" s="78"/>
    </row>
    <row r="203">
      <c r="A203" s="78"/>
      <c r="B203" s="78"/>
      <c r="C203" s="78"/>
    </row>
    <row r="204">
      <c r="A204" s="78"/>
      <c r="B204" s="78"/>
      <c r="C204" s="78"/>
    </row>
    <row r="205">
      <c r="A205" s="78"/>
      <c r="B205" s="78"/>
      <c r="C205" s="78"/>
    </row>
    <row r="206">
      <c r="A206" s="78"/>
      <c r="B206" s="78"/>
      <c r="C206" s="78"/>
    </row>
    <row r="207">
      <c r="A207" s="78"/>
      <c r="B207" s="78"/>
      <c r="C207" s="78"/>
    </row>
    <row r="208">
      <c r="A208" s="78"/>
      <c r="B208" s="78"/>
      <c r="C208" s="78"/>
    </row>
    <row r="209">
      <c r="A209" s="78"/>
      <c r="B209" s="78"/>
      <c r="C209" s="78"/>
    </row>
    <row r="210">
      <c r="A210" s="78"/>
      <c r="B210" s="78"/>
      <c r="C210" s="78"/>
    </row>
    <row r="211">
      <c r="A211" s="78"/>
      <c r="B211" s="78"/>
      <c r="C211" s="78"/>
    </row>
    <row r="212">
      <c r="A212" s="78"/>
      <c r="B212" s="78"/>
      <c r="C212" s="78"/>
    </row>
    <row r="213">
      <c r="A213" s="78"/>
      <c r="B213" s="78"/>
      <c r="C213" s="78"/>
    </row>
    <row r="214">
      <c r="A214" s="78"/>
      <c r="B214" s="78"/>
      <c r="C214" s="78"/>
    </row>
    <row r="215">
      <c r="A215" s="78"/>
      <c r="B215" s="78"/>
      <c r="C215" s="78"/>
    </row>
    <row r="216">
      <c r="A216" s="78"/>
      <c r="B216" s="78"/>
      <c r="C216" s="78"/>
    </row>
    <row r="217">
      <c r="A217" s="78"/>
      <c r="B217" s="78"/>
      <c r="C217" s="78"/>
    </row>
    <row r="218">
      <c r="A218" s="78"/>
      <c r="B218" s="78"/>
      <c r="C218" s="78"/>
    </row>
    <row r="219">
      <c r="A219" s="78"/>
      <c r="B219" s="78"/>
      <c r="C219" s="78"/>
    </row>
    <row r="220">
      <c r="A220" s="78"/>
      <c r="B220" s="78"/>
      <c r="C220" s="78"/>
    </row>
    <row r="221">
      <c r="A221" s="78"/>
      <c r="B221" s="78"/>
      <c r="C221" s="78"/>
    </row>
    <row r="222">
      <c r="A222" s="78"/>
      <c r="B222" s="78"/>
      <c r="C222" s="78"/>
    </row>
    <row r="223">
      <c r="A223" s="78"/>
      <c r="B223" s="78"/>
      <c r="C223" s="78"/>
    </row>
    <row r="224">
      <c r="A224" s="78"/>
      <c r="B224" s="78"/>
      <c r="C224" s="78"/>
    </row>
    <row r="225">
      <c r="A225" s="78"/>
      <c r="B225" s="78"/>
      <c r="C225" s="78"/>
    </row>
    <row r="226">
      <c r="A226" s="78"/>
      <c r="B226" s="78"/>
      <c r="C226" s="78"/>
    </row>
    <row r="227">
      <c r="A227" s="78"/>
      <c r="B227" s="78"/>
      <c r="C227" s="78"/>
    </row>
    <row r="228">
      <c r="A228" s="78"/>
      <c r="B228" s="78"/>
      <c r="C228" s="78"/>
    </row>
    <row r="229">
      <c r="A229" s="78"/>
      <c r="B229" s="78"/>
      <c r="C229" s="78"/>
    </row>
    <row r="230">
      <c r="A230" s="78"/>
      <c r="B230" s="78"/>
      <c r="C230" s="78"/>
    </row>
    <row r="231">
      <c r="A231" s="78"/>
      <c r="B231" s="78"/>
      <c r="C231" s="78"/>
    </row>
    <row r="232">
      <c r="A232" s="78"/>
      <c r="B232" s="78"/>
      <c r="C232" s="78"/>
    </row>
    <row r="233">
      <c r="A233" s="78"/>
      <c r="B233" s="78"/>
      <c r="C233" s="78"/>
    </row>
    <row r="234">
      <c r="A234" s="78"/>
      <c r="B234" s="78"/>
      <c r="C234" s="78"/>
    </row>
    <row r="235">
      <c r="A235" s="78"/>
      <c r="B235" s="78"/>
      <c r="C235" s="78"/>
    </row>
    <row r="236">
      <c r="A236" s="78"/>
      <c r="B236" s="78"/>
      <c r="C236" s="78"/>
    </row>
    <row r="237">
      <c r="A237" s="78"/>
      <c r="B237" s="78"/>
      <c r="C237" s="78"/>
    </row>
    <row r="238">
      <c r="A238" s="78"/>
      <c r="B238" s="78"/>
      <c r="C238" s="78"/>
    </row>
    <row r="239">
      <c r="A239" s="78"/>
      <c r="B239" s="78"/>
      <c r="C239" s="78"/>
    </row>
    <row r="240">
      <c r="A240" s="78"/>
      <c r="B240" s="78"/>
      <c r="C240" s="78"/>
    </row>
    <row r="241">
      <c r="A241" s="78"/>
      <c r="B241" s="78"/>
      <c r="C241" s="78"/>
    </row>
    <row r="242">
      <c r="A242" s="78"/>
      <c r="B242" s="78"/>
      <c r="C242" s="78"/>
    </row>
    <row r="243">
      <c r="A243" s="78"/>
      <c r="B243" s="78"/>
      <c r="C243" s="78"/>
    </row>
    <row r="244">
      <c r="A244" s="78"/>
      <c r="B244" s="78"/>
      <c r="C244" s="78"/>
    </row>
    <row r="245">
      <c r="A245" s="78"/>
      <c r="B245" s="78"/>
      <c r="C245" s="78"/>
    </row>
    <row r="246">
      <c r="A246" s="78"/>
      <c r="B246" s="78"/>
      <c r="C246" s="78"/>
    </row>
    <row r="247">
      <c r="A247" s="78"/>
      <c r="B247" s="78"/>
      <c r="C247" s="78"/>
    </row>
    <row r="248">
      <c r="A248" s="78"/>
      <c r="B248" s="78"/>
      <c r="C248" s="78"/>
    </row>
    <row r="249">
      <c r="A249" s="78"/>
      <c r="B249" s="78"/>
      <c r="C249" s="78"/>
    </row>
    <row r="250">
      <c r="A250" s="78"/>
      <c r="B250" s="78"/>
      <c r="C250" s="78"/>
    </row>
    <row r="251">
      <c r="A251" s="78"/>
      <c r="B251" s="78"/>
      <c r="C251" s="78"/>
    </row>
    <row r="252">
      <c r="A252" s="78"/>
      <c r="B252" s="78"/>
      <c r="C252" s="78"/>
    </row>
    <row r="253">
      <c r="A253" s="78"/>
      <c r="B253" s="78"/>
      <c r="C253" s="78"/>
    </row>
    <row r="254">
      <c r="A254" s="78"/>
      <c r="B254" s="78"/>
      <c r="C254" s="78"/>
    </row>
    <row r="255">
      <c r="A255" s="78"/>
      <c r="B255" s="78"/>
      <c r="C255" s="78"/>
    </row>
    <row r="256">
      <c r="A256" s="78"/>
      <c r="B256" s="78"/>
      <c r="C256" s="78"/>
    </row>
    <row r="257">
      <c r="A257" s="78"/>
      <c r="B257" s="78"/>
      <c r="C257" s="78"/>
    </row>
    <row r="258">
      <c r="A258" s="78"/>
      <c r="B258" s="78"/>
      <c r="C258" s="78"/>
    </row>
    <row r="259">
      <c r="A259" s="78"/>
      <c r="B259" s="78"/>
      <c r="C259" s="78"/>
    </row>
    <row r="260">
      <c r="A260" s="78"/>
      <c r="B260" s="78"/>
      <c r="C260" s="78"/>
    </row>
    <row r="261">
      <c r="A261" s="78"/>
      <c r="B261" s="78"/>
      <c r="C261" s="78"/>
    </row>
    <row r="262">
      <c r="A262" s="78"/>
      <c r="B262" s="78"/>
      <c r="C262" s="78"/>
    </row>
    <row r="263">
      <c r="A263" s="78"/>
      <c r="B263" s="78"/>
      <c r="C263" s="78"/>
    </row>
    <row r="264">
      <c r="A264" s="78"/>
      <c r="B264" s="78"/>
      <c r="C264" s="78"/>
    </row>
    <row r="265">
      <c r="A265" s="78"/>
      <c r="B265" s="78"/>
      <c r="C265" s="78"/>
    </row>
    <row r="266">
      <c r="A266" s="78"/>
      <c r="B266" s="78"/>
      <c r="C266" s="78"/>
    </row>
    <row r="267">
      <c r="A267" s="78"/>
      <c r="B267" s="78"/>
      <c r="C267" s="78"/>
    </row>
    <row r="268">
      <c r="A268" s="78"/>
      <c r="B268" s="78"/>
      <c r="C268" s="78"/>
    </row>
    <row r="269">
      <c r="A269" s="78"/>
      <c r="B269" s="78"/>
      <c r="C269" s="78"/>
    </row>
    <row r="270">
      <c r="A270" s="78"/>
      <c r="B270" s="78"/>
      <c r="C270" s="78"/>
    </row>
    <row r="271">
      <c r="A271" s="78"/>
      <c r="B271" s="78"/>
      <c r="C271" s="78"/>
    </row>
    <row r="272">
      <c r="A272" s="78"/>
      <c r="B272" s="78"/>
      <c r="C272" s="78"/>
    </row>
    <row r="273">
      <c r="A273" s="78"/>
      <c r="B273" s="78"/>
      <c r="C273" s="78"/>
    </row>
    <row r="274">
      <c r="A274" s="78"/>
      <c r="B274" s="78"/>
      <c r="C274" s="78"/>
    </row>
    <row r="275">
      <c r="A275" s="78"/>
      <c r="B275" s="78"/>
      <c r="C275" s="78"/>
    </row>
    <row r="276">
      <c r="A276" s="78"/>
      <c r="B276" s="78"/>
      <c r="C276" s="78"/>
    </row>
    <row r="277">
      <c r="A277" s="78"/>
      <c r="B277" s="78"/>
      <c r="C277" s="78"/>
    </row>
    <row r="278">
      <c r="A278" s="78"/>
      <c r="B278" s="78"/>
      <c r="C278" s="78"/>
    </row>
    <row r="279">
      <c r="A279" s="78"/>
      <c r="B279" s="78"/>
      <c r="C279" s="78"/>
    </row>
    <row r="280">
      <c r="A280" s="78"/>
      <c r="B280" s="78"/>
      <c r="C280" s="78"/>
    </row>
    <row r="281">
      <c r="A281" s="78"/>
      <c r="B281" s="78"/>
      <c r="C281" s="78"/>
    </row>
    <row r="282">
      <c r="A282" s="78"/>
      <c r="B282" s="78"/>
      <c r="C282" s="78"/>
    </row>
    <row r="283">
      <c r="A283" s="78"/>
      <c r="B283" s="78"/>
      <c r="C283" s="78"/>
    </row>
    <row r="284">
      <c r="A284" s="78"/>
      <c r="B284" s="78"/>
      <c r="C284" s="78"/>
    </row>
    <row r="285">
      <c r="A285" s="78"/>
      <c r="B285" s="78"/>
      <c r="C285" s="78"/>
    </row>
    <row r="286">
      <c r="A286" s="78"/>
      <c r="B286" s="78"/>
      <c r="C286" s="78"/>
    </row>
    <row r="287">
      <c r="A287" s="78"/>
      <c r="B287" s="78"/>
      <c r="C287" s="78"/>
    </row>
    <row r="288">
      <c r="A288" s="78"/>
      <c r="B288" s="78"/>
      <c r="C288" s="78"/>
    </row>
    <row r="289">
      <c r="A289" s="78"/>
      <c r="B289" s="78"/>
      <c r="C289" s="78"/>
    </row>
    <row r="290">
      <c r="A290" s="78"/>
      <c r="B290" s="78"/>
      <c r="C290" s="78"/>
    </row>
    <row r="291">
      <c r="A291" s="78"/>
      <c r="B291" s="78"/>
      <c r="C291" s="78"/>
    </row>
    <row r="292">
      <c r="A292" s="78"/>
      <c r="B292" s="78"/>
      <c r="C292" s="78"/>
    </row>
    <row r="293">
      <c r="A293" s="78"/>
      <c r="B293" s="78"/>
      <c r="C293" s="78"/>
    </row>
    <row r="294">
      <c r="A294" s="78"/>
      <c r="B294" s="78"/>
      <c r="C294" s="78"/>
    </row>
    <row r="295">
      <c r="A295" s="78"/>
      <c r="B295" s="78"/>
      <c r="C295" s="78"/>
    </row>
    <row r="296">
      <c r="A296" s="78"/>
      <c r="B296" s="78"/>
      <c r="C296" s="78"/>
    </row>
    <row r="297">
      <c r="A297" s="78"/>
      <c r="B297" s="78"/>
      <c r="C297" s="78"/>
    </row>
    <row r="298">
      <c r="A298" s="78"/>
      <c r="B298" s="78"/>
      <c r="C298" s="78"/>
    </row>
    <row r="299">
      <c r="A299" s="78"/>
      <c r="B299" s="78"/>
      <c r="C299" s="78"/>
    </row>
    <row r="300">
      <c r="A300" s="78"/>
      <c r="B300" s="78"/>
      <c r="C300" s="78"/>
    </row>
    <row r="301">
      <c r="A301" s="78"/>
      <c r="B301" s="78"/>
      <c r="C301" s="78"/>
    </row>
    <row r="302">
      <c r="A302" s="78"/>
      <c r="B302" s="78"/>
      <c r="C302" s="78"/>
    </row>
    <row r="303">
      <c r="A303" s="78"/>
      <c r="B303" s="78"/>
      <c r="C303" s="78"/>
    </row>
    <row r="304">
      <c r="A304" s="78"/>
      <c r="B304" s="78"/>
      <c r="C304" s="78"/>
    </row>
    <row r="305">
      <c r="A305" s="78"/>
      <c r="B305" s="78"/>
      <c r="C305" s="78"/>
    </row>
    <row r="306">
      <c r="A306" s="78"/>
      <c r="B306" s="78"/>
      <c r="C306" s="78"/>
    </row>
    <row r="307">
      <c r="A307" s="78"/>
      <c r="B307" s="78"/>
      <c r="C307" s="78"/>
    </row>
    <row r="308">
      <c r="A308" s="78"/>
      <c r="B308" s="78"/>
      <c r="C308" s="78"/>
    </row>
    <row r="309">
      <c r="A309" s="78"/>
      <c r="B309" s="78"/>
      <c r="C309" s="78"/>
    </row>
    <row r="310">
      <c r="A310" s="78"/>
      <c r="B310" s="78"/>
      <c r="C310" s="78"/>
    </row>
    <row r="311">
      <c r="A311" s="78"/>
      <c r="B311" s="78"/>
      <c r="C311" s="78"/>
    </row>
    <row r="312">
      <c r="A312" s="78"/>
      <c r="B312" s="78"/>
      <c r="C312" s="78"/>
    </row>
    <row r="313">
      <c r="A313" s="78"/>
      <c r="B313" s="78"/>
      <c r="C313" s="78"/>
    </row>
    <row r="314">
      <c r="A314" s="78"/>
      <c r="B314" s="78"/>
      <c r="C314" s="78"/>
    </row>
    <row r="315">
      <c r="A315" s="78"/>
      <c r="B315" s="78"/>
      <c r="C315" s="78"/>
    </row>
    <row r="316">
      <c r="A316" s="78"/>
      <c r="B316" s="78"/>
      <c r="C316" s="78"/>
    </row>
    <row r="317">
      <c r="A317" s="78"/>
      <c r="B317" s="78"/>
      <c r="C317" s="78"/>
    </row>
    <row r="318">
      <c r="A318" s="78"/>
      <c r="B318" s="78"/>
      <c r="C318" s="78"/>
    </row>
    <row r="319">
      <c r="A319" s="78"/>
      <c r="B319" s="78"/>
      <c r="C319" s="78"/>
    </row>
    <row r="320">
      <c r="A320" s="78"/>
      <c r="B320" s="78"/>
      <c r="C320" s="78"/>
    </row>
    <row r="321">
      <c r="A321" s="78"/>
      <c r="B321" s="78"/>
      <c r="C321" s="78"/>
    </row>
    <row r="322">
      <c r="A322" s="78"/>
      <c r="B322" s="78"/>
      <c r="C322" s="78"/>
    </row>
    <row r="323">
      <c r="A323" s="78"/>
      <c r="B323" s="78"/>
      <c r="C323" s="78"/>
    </row>
    <row r="324">
      <c r="A324" s="78"/>
      <c r="B324" s="78"/>
      <c r="C324" s="78"/>
    </row>
    <row r="325">
      <c r="A325" s="78"/>
      <c r="B325" s="78"/>
      <c r="C325" s="78"/>
    </row>
    <row r="326">
      <c r="A326" s="78"/>
      <c r="B326" s="78"/>
      <c r="C326" s="78"/>
    </row>
    <row r="327">
      <c r="A327" s="78"/>
      <c r="B327" s="78"/>
      <c r="C327" s="78"/>
    </row>
    <row r="328">
      <c r="A328" s="78"/>
      <c r="B328" s="78"/>
      <c r="C328" s="78"/>
    </row>
    <row r="329">
      <c r="A329" s="78"/>
      <c r="B329" s="78"/>
      <c r="C329" s="78"/>
    </row>
    <row r="330">
      <c r="A330" s="78"/>
      <c r="B330" s="78"/>
      <c r="C330" s="78"/>
    </row>
    <row r="331">
      <c r="A331" s="78"/>
      <c r="B331" s="78"/>
      <c r="C331" s="78"/>
    </row>
    <row r="332">
      <c r="A332" s="78"/>
      <c r="B332" s="78"/>
      <c r="C332" s="78"/>
    </row>
    <row r="333">
      <c r="A333" s="78"/>
      <c r="B333" s="78"/>
      <c r="C333" s="78"/>
    </row>
    <row r="334">
      <c r="A334" s="78"/>
      <c r="B334" s="78"/>
      <c r="C334" s="78"/>
    </row>
    <row r="335">
      <c r="A335" s="78"/>
      <c r="B335" s="78"/>
      <c r="C335" s="78"/>
    </row>
    <row r="336">
      <c r="A336" s="78"/>
      <c r="B336" s="78"/>
      <c r="C336" s="78"/>
    </row>
    <row r="337">
      <c r="A337" s="78"/>
      <c r="B337" s="78"/>
      <c r="C337" s="78"/>
    </row>
    <row r="338">
      <c r="A338" s="78"/>
      <c r="B338" s="78"/>
      <c r="C338" s="78"/>
    </row>
    <row r="339">
      <c r="A339" s="78"/>
      <c r="B339" s="78"/>
      <c r="C339" s="78"/>
    </row>
    <row r="340">
      <c r="A340" s="78"/>
      <c r="B340" s="78"/>
      <c r="C340" s="78"/>
    </row>
    <row r="341">
      <c r="A341" s="78"/>
      <c r="B341" s="78"/>
      <c r="C341" s="78"/>
    </row>
    <row r="342">
      <c r="A342" s="78"/>
      <c r="B342" s="78"/>
      <c r="C342" s="78"/>
    </row>
    <row r="343">
      <c r="A343" s="78"/>
      <c r="B343" s="78"/>
      <c r="C343" s="78"/>
    </row>
    <row r="344">
      <c r="A344" s="78"/>
      <c r="B344" s="78"/>
      <c r="C344" s="78"/>
    </row>
    <row r="345">
      <c r="A345" s="78"/>
      <c r="B345" s="78"/>
      <c r="C345" s="78"/>
    </row>
    <row r="346">
      <c r="A346" s="78"/>
      <c r="B346" s="78"/>
      <c r="C346" s="78"/>
    </row>
    <row r="347">
      <c r="A347" s="78"/>
      <c r="B347" s="78"/>
      <c r="C347" s="78"/>
    </row>
    <row r="348">
      <c r="A348" s="78"/>
      <c r="B348" s="78"/>
      <c r="C348" s="78"/>
    </row>
    <row r="349">
      <c r="A349" s="78"/>
      <c r="B349" s="78"/>
      <c r="C349" s="78"/>
    </row>
    <row r="350">
      <c r="A350" s="78"/>
      <c r="B350" s="78"/>
      <c r="C350" s="78"/>
    </row>
    <row r="351">
      <c r="A351" s="78"/>
      <c r="B351" s="78"/>
      <c r="C351" s="78"/>
    </row>
    <row r="352">
      <c r="A352" s="78"/>
      <c r="B352" s="78"/>
      <c r="C352" s="78"/>
    </row>
    <row r="353">
      <c r="A353" s="78"/>
      <c r="B353" s="78"/>
      <c r="C353" s="78"/>
    </row>
    <row r="354">
      <c r="A354" s="78"/>
      <c r="B354" s="78"/>
      <c r="C354" s="78"/>
    </row>
    <row r="355">
      <c r="A355" s="78"/>
      <c r="B355" s="78"/>
      <c r="C355" s="78"/>
    </row>
    <row r="356">
      <c r="A356" s="78"/>
      <c r="B356" s="78"/>
      <c r="C356" s="78"/>
    </row>
    <row r="357">
      <c r="A357" s="78"/>
      <c r="B357" s="78"/>
      <c r="C357" s="78"/>
    </row>
    <row r="358">
      <c r="A358" s="78"/>
      <c r="B358" s="78"/>
      <c r="C358" s="78"/>
    </row>
    <row r="359">
      <c r="A359" s="78"/>
      <c r="B359" s="78"/>
      <c r="C359" s="78"/>
    </row>
    <row r="360">
      <c r="A360" s="78"/>
      <c r="B360" s="78"/>
      <c r="C360" s="78"/>
    </row>
    <row r="361">
      <c r="A361" s="78"/>
      <c r="B361" s="78"/>
      <c r="C361" s="78"/>
    </row>
    <row r="362">
      <c r="A362" s="78"/>
      <c r="B362" s="78"/>
      <c r="C362" s="78"/>
    </row>
    <row r="363">
      <c r="A363" s="78"/>
      <c r="B363" s="78"/>
      <c r="C363" s="78"/>
    </row>
    <row r="364">
      <c r="A364" s="78"/>
      <c r="B364" s="78"/>
      <c r="C364" s="78"/>
    </row>
    <row r="365">
      <c r="A365" s="78"/>
      <c r="B365" s="78"/>
      <c r="C365" s="78"/>
    </row>
    <row r="366">
      <c r="A366" s="78"/>
      <c r="B366" s="78"/>
      <c r="C366" s="78"/>
    </row>
    <row r="367">
      <c r="A367" s="78"/>
      <c r="B367" s="78"/>
      <c r="C367" s="78"/>
    </row>
    <row r="368">
      <c r="A368" s="78"/>
      <c r="B368" s="78"/>
      <c r="C368" s="78"/>
    </row>
    <row r="369">
      <c r="A369" s="78"/>
      <c r="B369" s="78"/>
      <c r="C369" s="78"/>
    </row>
    <row r="370">
      <c r="A370" s="78"/>
      <c r="B370" s="78"/>
      <c r="C370" s="78"/>
    </row>
    <row r="371">
      <c r="A371" s="78"/>
      <c r="B371" s="78"/>
      <c r="C371" s="78"/>
    </row>
    <row r="372">
      <c r="A372" s="78"/>
      <c r="B372" s="78"/>
      <c r="C372" s="78"/>
    </row>
    <row r="373">
      <c r="A373" s="78"/>
      <c r="B373" s="78"/>
      <c r="C373" s="78"/>
    </row>
    <row r="374">
      <c r="A374" s="78"/>
      <c r="B374" s="78"/>
      <c r="C374" s="78"/>
    </row>
    <row r="375">
      <c r="A375" s="78"/>
      <c r="B375" s="78"/>
      <c r="C375" s="78"/>
    </row>
    <row r="376">
      <c r="A376" s="78"/>
      <c r="B376" s="78"/>
      <c r="C376" s="78"/>
    </row>
    <row r="377">
      <c r="A377" s="78"/>
      <c r="B377" s="78"/>
      <c r="C377" s="78"/>
    </row>
    <row r="378">
      <c r="A378" s="78"/>
      <c r="B378" s="78"/>
      <c r="C378" s="78"/>
    </row>
    <row r="379">
      <c r="A379" s="78"/>
      <c r="B379" s="78"/>
      <c r="C379" s="78"/>
    </row>
    <row r="380">
      <c r="A380" s="78"/>
      <c r="B380" s="78"/>
      <c r="C380" s="78"/>
    </row>
    <row r="381">
      <c r="A381" s="78"/>
      <c r="B381" s="78"/>
      <c r="C381" s="78"/>
    </row>
    <row r="382">
      <c r="A382" s="78"/>
      <c r="B382" s="78"/>
      <c r="C382" s="78"/>
    </row>
    <row r="383">
      <c r="A383" s="78"/>
      <c r="B383" s="78"/>
      <c r="C383" s="78"/>
    </row>
    <row r="384">
      <c r="A384" s="78"/>
      <c r="B384" s="78"/>
      <c r="C384" s="78"/>
    </row>
    <row r="385">
      <c r="A385" s="78"/>
      <c r="B385" s="78"/>
      <c r="C385" s="78"/>
    </row>
    <row r="386">
      <c r="A386" s="78"/>
      <c r="B386" s="78"/>
      <c r="C386" s="78"/>
    </row>
    <row r="387">
      <c r="A387" s="78"/>
      <c r="B387" s="78"/>
      <c r="C387" s="78"/>
    </row>
    <row r="388">
      <c r="A388" s="78"/>
      <c r="B388" s="78"/>
      <c r="C388" s="78"/>
    </row>
    <row r="389">
      <c r="A389" s="78"/>
      <c r="B389" s="78"/>
      <c r="C389" s="78"/>
    </row>
    <row r="390">
      <c r="A390" s="78"/>
      <c r="B390" s="78"/>
      <c r="C390" s="78"/>
    </row>
    <row r="391">
      <c r="A391" s="78"/>
      <c r="B391" s="78"/>
      <c r="C391" s="78"/>
    </row>
    <row r="392">
      <c r="A392" s="78"/>
      <c r="B392" s="78"/>
      <c r="C392" s="78"/>
    </row>
    <row r="393">
      <c r="A393" s="78"/>
      <c r="B393" s="78"/>
      <c r="C393" s="78"/>
    </row>
    <row r="394">
      <c r="A394" s="78"/>
      <c r="B394" s="78"/>
      <c r="C394" s="78"/>
    </row>
    <row r="395">
      <c r="A395" s="78"/>
      <c r="B395" s="78"/>
      <c r="C395" s="78"/>
    </row>
    <row r="396">
      <c r="A396" s="78"/>
      <c r="B396" s="78"/>
      <c r="C396" s="78"/>
    </row>
    <row r="397">
      <c r="A397" s="78"/>
      <c r="B397" s="78"/>
      <c r="C397" s="78"/>
    </row>
    <row r="398">
      <c r="A398" s="78"/>
      <c r="B398" s="78"/>
      <c r="C398" s="78"/>
    </row>
    <row r="399">
      <c r="A399" s="78"/>
      <c r="B399" s="78"/>
      <c r="C399" s="78"/>
    </row>
    <row r="400">
      <c r="A400" s="78"/>
      <c r="B400" s="78"/>
      <c r="C400" s="78"/>
    </row>
    <row r="401">
      <c r="A401" s="78"/>
      <c r="B401" s="78"/>
      <c r="C401" s="78"/>
    </row>
    <row r="402">
      <c r="A402" s="78"/>
      <c r="B402" s="78"/>
      <c r="C402" s="78"/>
    </row>
    <row r="403">
      <c r="A403" s="78"/>
      <c r="B403" s="78"/>
      <c r="C403" s="78"/>
    </row>
    <row r="404">
      <c r="A404" s="78"/>
      <c r="B404" s="78"/>
      <c r="C404" s="78"/>
    </row>
    <row r="405">
      <c r="A405" s="78"/>
      <c r="B405" s="78"/>
      <c r="C405" s="78"/>
    </row>
    <row r="406">
      <c r="A406" s="78"/>
      <c r="B406" s="78"/>
      <c r="C406" s="78"/>
    </row>
    <row r="407">
      <c r="A407" s="78"/>
      <c r="B407" s="78"/>
      <c r="C407" s="78"/>
    </row>
    <row r="408">
      <c r="A408" s="78"/>
      <c r="B408" s="78"/>
      <c r="C408" s="78"/>
    </row>
    <row r="409">
      <c r="A409" s="78"/>
      <c r="B409" s="78"/>
      <c r="C409" s="78"/>
    </row>
    <row r="410">
      <c r="A410" s="78"/>
      <c r="B410" s="78"/>
      <c r="C410" s="78"/>
    </row>
    <row r="411">
      <c r="A411" s="78"/>
      <c r="B411" s="78"/>
      <c r="C411" s="78"/>
    </row>
    <row r="412">
      <c r="A412" s="78"/>
      <c r="B412" s="78"/>
      <c r="C412" s="78"/>
    </row>
    <row r="413">
      <c r="A413" s="78"/>
      <c r="B413" s="78"/>
      <c r="C413" s="78"/>
    </row>
    <row r="414">
      <c r="A414" s="78"/>
      <c r="B414" s="78"/>
      <c r="C414" s="78"/>
    </row>
    <row r="415">
      <c r="A415" s="78"/>
      <c r="B415" s="78"/>
      <c r="C415" s="78"/>
    </row>
    <row r="416">
      <c r="A416" s="78"/>
      <c r="B416" s="78"/>
      <c r="C416" s="78"/>
    </row>
    <row r="417">
      <c r="A417" s="78"/>
      <c r="B417" s="78"/>
      <c r="C417" s="78"/>
    </row>
    <row r="418">
      <c r="A418" s="78"/>
      <c r="B418" s="78"/>
      <c r="C418" s="78"/>
    </row>
    <row r="419">
      <c r="A419" s="78"/>
      <c r="B419" s="78"/>
      <c r="C419" s="78"/>
    </row>
    <row r="420">
      <c r="A420" s="78"/>
      <c r="B420" s="78"/>
      <c r="C420" s="78"/>
    </row>
    <row r="421">
      <c r="A421" s="78"/>
      <c r="B421" s="78"/>
      <c r="C421" s="78"/>
    </row>
    <row r="422">
      <c r="A422" s="78"/>
      <c r="B422" s="78"/>
      <c r="C422" s="78"/>
    </row>
    <row r="423">
      <c r="A423" s="78"/>
      <c r="B423" s="78"/>
      <c r="C423" s="78"/>
    </row>
    <row r="424">
      <c r="A424" s="78"/>
      <c r="B424" s="78"/>
      <c r="C424" s="78"/>
    </row>
    <row r="425">
      <c r="A425" s="78"/>
      <c r="B425" s="78"/>
      <c r="C425" s="78"/>
    </row>
    <row r="426">
      <c r="A426" s="78"/>
      <c r="B426" s="78"/>
      <c r="C426" s="78"/>
    </row>
    <row r="427">
      <c r="A427" s="78"/>
      <c r="B427" s="78"/>
      <c r="C427" s="78"/>
    </row>
    <row r="428">
      <c r="A428" s="78"/>
      <c r="B428" s="78"/>
      <c r="C428" s="78"/>
    </row>
    <row r="429">
      <c r="A429" s="78"/>
      <c r="B429" s="78"/>
      <c r="C429" s="78"/>
    </row>
    <row r="430">
      <c r="A430" s="78"/>
      <c r="B430" s="78"/>
      <c r="C430" s="78"/>
    </row>
    <row r="431">
      <c r="A431" s="78"/>
      <c r="B431" s="78"/>
      <c r="C431" s="78"/>
    </row>
    <row r="432">
      <c r="A432" s="78"/>
      <c r="B432" s="78"/>
      <c r="C432" s="78"/>
    </row>
    <row r="433">
      <c r="A433" s="78"/>
      <c r="B433" s="78"/>
      <c r="C433" s="78"/>
    </row>
    <row r="434">
      <c r="A434" s="78"/>
      <c r="B434" s="78"/>
      <c r="C434" s="78"/>
    </row>
    <row r="435">
      <c r="A435" s="78"/>
      <c r="B435" s="78"/>
      <c r="C435" s="78"/>
    </row>
    <row r="436">
      <c r="A436" s="78"/>
      <c r="B436" s="78"/>
      <c r="C436" s="78"/>
    </row>
    <row r="437">
      <c r="A437" s="78"/>
      <c r="B437" s="78"/>
      <c r="C437" s="78"/>
    </row>
    <row r="438">
      <c r="A438" s="78"/>
      <c r="B438" s="78"/>
      <c r="C438" s="78"/>
    </row>
    <row r="439">
      <c r="A439" s="78"/>
      <c r="B439" s="78"/>
      <c r="C439" s="78"/>
    </row>
    <row r="440">
      <c r="A440" s="78"/>
      <c r="B440" s="78"/>
      <c r="C440" s="78"/>
    </row>
    <row r="441">
      <c r="A441" s="78"/>
      <c r="B441" s="78"/>
      <c r="C441" s="78"/>
    </row>
    <row r="442">
      <c r="A442" s="78"/>
      <c r="B442" s="78"/>
      <c r="C442" s="78"/>
    </row>
    <row r="443">
      <c r="A443" s="78"/>
      <c r="B443" s="78"/>
      <c r="C443" s="78"/>
    </row>
    <row r="444">
      <c r="A444" s="78"/>
      <c r="B444" s="78"/>
      <c r="C444" s="78"/>
    </row>
    <row r="445">
      <c r="A445" s="78"/>
      <c r="B445" s="78"/>
      <c r="C445" s="78"/>
    </row>
    <row r="446">
      <c r="A446" s="78"/>
      <c r="B446" s="78"/>
      <c r="C446" s="78"/>
    </row>
    <row r="447">
      <c r="A447" s="78"/>
      <c r="B447" s="78"/>
      <c r="C447" s="78"/>
    </row>
    <row r="448">
      <c r="A448" s="78"/>
      <c r="B448" s="78"/>
      <c r="C448" s="78"/>
    </row>
    <row r="449">
      <c r="A449" s="78"/>
      <c r="B449" s="78"/>
      <c r="C449" s="78"/>
    </row>
    <row r="450">
      <c r="A450" s="78"/>
      <c r="B450" s="78"/>
      <c r="C450" s="78"/>
    </row>
    <row r="451">
      <c r="A451" s="78"/>
      <c r="B451" s="78"/>
      <c r="C451" s="78"/>
    </row>
    <row r="452">
      <c r="A452" s="78"/>
      <c r="B452" s="78"/>
      <c r="C452" s="78"/>
    </row>
    <row r="453">
      <c r="A453" s="78"/>
      <c r="B453" s="78"/>
      <c r="C453" s="78"/>
    </row>
    <row r="454">
      <c r="A454" s="78"/>
      <c r="B454" s="78"/>
      <c r="C454" s="78"/>
    </row>
    <row r="455">
      <c r="A455" s="78"/>
      <c r="B455" s="78"/>
      <c r="C455" s="78"/>
    </row>
    <row r="456">
      <c r="A456" s="78"/>
      <c r="B456" s="78"/>
      <c r="C456" s="78"/>
    </row>
    <row r="457">
      <c r="A457" s="78"/>
      <c r="B457" s="78"/>
      <c r="C457" s="78"/>
    </row>
    <row r="458">
      <c r="A458" s="78"/>
      <c r="B458" s="78"/>
      <c r="C458" s="78"/>
    </row>
    <row r="459">
      <c r="A459" s="78"/>
      <c r="B459" s="78"/>
      <c r="C459" s="78"/>
    </row>
    <row r="460">
      <c r="A460" s="78"/>
      <c r="B460" s="78"/>
      <c r="C460" s="78"/>
    </row>
    <row r="461">
      <c r="A461" s="78"/>
      <c r="B461" s="78"/>
      <c r="C461" s="78"/>
    </row>
    <row r="462">
      <c r="A462" s="78"/>
      <c r="B462" s="78"/>
      <c r="C462" s="78"/>
    </row>
    <row r="463">
      <c r="A463" s="78"/>
      <c r="B463" s="78"/>
      <c r="C463" s="78"/>
    </row>
    <row r="464">
      <c r="A464" s="78"/>
      <c r="B464" s="78"/>
      <c r="C464" s="78"/>
    </row>
    <row r="465">
      <c r="A465" s="78"/>
      <c r="B465" s="78"/>
      <c r="C465" s="78"/>
    </row>
    <row r="466">
      <c r="A466" s="78"/>
      <c r="B466" s="78"/>
      <c r="C466" s="78"/>
    </row>
    <row r="467">
      <c r="A467" s="78"/>
      <c r="B467" s="78"/>
      <c r="C467" s="78"/>
    </row>
    <row r="468">
      <c r="A468" s="78"/>
      <c r="B468" s="78"/>
      <c r="C468" s="78"/>
    </row>
    <row r="469">
      <c r="A469" s="78"/>
      <c r="B469" s="78"/>
      <c r="C469" s="78"/>
    </row>
    <row r="470">
      <c r="A470" s="78"/>
      <c r="B470" s="78"/>
      <c r="C470" s="78"/>
    </row>
    <row r="471">
      <c r="A471" s="78"/>
      <c r="B471" s="78"/>
      <c r="C471" s="78"/>
    </row>
    <row r="472">
      <c r="A472" s="78"/>
      <c r="B472" s="78"/>
      <c r="C472" s="78"/>
    </row>
    <row r="473">
      <c r="A473" s="78"/>
      <c r="B473" s="78"/>
      <c r="C473" s="78"/>
    </row>
    <row r="474">
      <c r="A474" s="78"/>
      <c r="B474" s="78"/>
      <c r="C474" s="78"/>
    </row>
    <row r="475">
      <c r="A475" s="78"/>
      <c r="B475" s="78"/>
      <c r="C475" s="78"/>
    </row>
    <row r="476">
      <c r="A476" s="78"/>
      <c r="B476" s="78"/>
      <c r="C476" s="78"/>
    </row>
    <row r="477">
      <c r="A477" s="78"/>
      <c r="B477" s="78"/>
      <c r="C477" s="78"/>
    </row>
    <row r="478">
      <c r="A478" s="78"/>
      <c r="B478" s="78"/>
      <c r="C478" s="78"/>
    </row>
    <row r="479">
      <c r="A479" s="78"/>
      <c r="B479" s="78"/>
      <c r="C479" s="78"/>
    </row>
    <row r="480">
      <c r="A480" s="78"/>
      <c r="B480" s="78"/>
      <c r="C480" s="78"/>
    </row>
    <row r="481">
      <c r="A481" s="78"/>
      <c r="B481" s="78"/>
      <c r="C481" s="78"/>
    </row>
    <row r="482">
      <c r="A482" s="78"/>
      <c r="B482" s="78"/>
      <c r="C482" s="78"/>
    </row>
    <row r="483">
      <c r="A483" s="78"/>
      <c r="B483" s="78"/>
      <c r="C483" s="78"/>
    </row>
    <row r="484">
      <c r="A484" s="78"/>
      <c r="B484" s="78"/>
      <c r="C484" s="78"/>
    </row>
    <row r="485">
      <c r="A485" s="78"/>
      <c r="B485" s="78"/>
      <c r="C485" s="78"/>
    </row>
    <row r="486">
      <c r="A486" s="78"/>
      <c r="B486" s="78"/>
      <c r="C486" s="78"/>
    </row>
    <row r="487">
      <c r="A487" s="78"/>
      <c r="B487" s="78"/>
      <c r="C487" s="78"/>
    </row>
    <row r="488">
      <c r="A488" s="78"/>
      <c r="B488" s="78"/>
      <c r="C488" s="78"/>
    </row>
    <row r="489">
      <c r="A489" s="78"/>
      <c r="B489" s="78"/>
      <c r="C489" s="78"/>
    </row>
    <row r="490">
      <c r="A490" s="78"/>
      <c r="B490" s="78"/>
      <c r="C490" s="78"/>
    </row>
    <row r="491">
      <c r="A491" s="78"/>
      <c r="B491" s="78"/>
      <c r="C491" s="78"/>
    </row>
    <row r="492">
      <c r="A492" s="78"/>
      <c r="B492" s="78"/>
      <c r="C492" s="78"/>
    </row>
    <row r="493">
      <c r="A493" s="78"/>
      <c r="B493" s="78"/>
      <c r="C493" s="78"/>
    </row>
    <row r="494">
      <c r="A494" s="78"/>
      <c r="B494" s="78"/>
      <c r="C494" s="78"/>
    </row>
    <row r="495">
      <c r="A495" s="78"/>
      <c r="B495" s="78"/>
      <c r="C495" s="78"/>
    </row>
    <row r="496">
      <c r="A496" s="78"/>
      <c r="B496" s="78"/>
      <c r="C496" s="78"/>
    </row>
    <row r="497">
      <c r="A497" s="78"/>
      <c r="B497" s="78"/>
      <c r="C497" s="78"/>
    </row>
    <row r="498">
      <c r="A498" s="78"/>
      <c r="B498" s="78"/>
      <c r="C498" s="78"/>
    </row>
    <row r="499">
      <c r="A499" s="78"/>
      <c r="B499" s="78"/>
      <c r="C499" s="78"/>
    </row>
    <row r="500">
      <c r="A500" s="78"/>
      <c r="B500" s="78"/>
      <c r="C500" s="78"/>
    </row>
    <row r="501">
      <c r="A501" s="78"/>
      <c r="B501" s="78"/>
      <c r="C501" s="78"/>
    </row>
    <row r="502">
      <c r="A502" s="78"/>
      <c r="B502" s="78"/>
      <c r="C502" s="78"/>
    </row>
    <row r="503">
      <c r="A503" s="78"/>
      <c r="B503" s="78"/>
      <c r="C503" s="78"/>
    </row>
    <row r="504">
      <c r="A504" s="78"/>
      <c r="B504" s="78"/>
      <c r="C504" s="78"/>
    </row>
    <row r="505">
      <c r="A505" s="78"/>
      <c r="B505" s="78"/>
      <c r="C505" s="78"/>
    </row>
    <row r="506">
      <c r="A506" s="78"/>
      <c r="B506" s="78"/>
      <c r="C506" s="78"/>
    </row>
    <row r="507">
      <c r="A507" s="78"/>
      <c r="B507" s="78"/>
      <c r="C507" s="78"/>
    </row>
    <row r="508">
      <c r="A508" s="78"/>
      <c r="B508" s="78"/>
      <c r="C508" s="78"/>
    </row>
    <row r="509">
      <c r="A509" s="78"/>
      <c r="B509" s="78"/>
      <c r="C509" s="78"/>
    </row>
    <row r="510">
      <c r="A510" s="78"/>
      <c r="B510" s="78"/>
      <c r="C510" s="78"/>
    </row>
    <row r="511">
      <c r="A511" s="78"/>
      <c r="B511" s="78"/>
      <c r="C511" s="78"/>
    </row>
    <row r="512">
      <c r="A512" s="78"/>
      <c r="B512" s="78"/>
      <c r="C512" s="78"/>
    </row>
    <row r="513">
      <c r="A513" s="78"/>
      <c r="B513" s="78"/>
      <c r="C513" s="78"/>
    </row>
    <row r="514">
      <c r="A514" s="78"/>
      <c r="B514" s="78"/>
      <c r="C514" s="78"/>
    </row>
    <row r="515">
      <c r="A515" s="78"/>
      <c r="B515" s="78"/>
      <c r="C515" s="78"/>
    </row>
    <row r="516">
      <c r="A516" s="78"/>
      <c r="B516" s="78"/>
      <c r="C516" s="78"/>
    </row>
    <row r="517">
      <c r="A517" s="78"/>
      <c r="B517" s="78"/>
      <c r="C517" s="78"/>
    </row>
    <row r="518">
      <c r="A518" s="78"/>
      <c r="B518" s="78"/>
      <c r="C518" s="78"/>
    </row>
    <row r="519">
      <c r="A519" s="78"/>
      <c r="B519" s="78"/>
      <c r="C519" s="78"/>
    </row>
    <row r="520">
      <c r="A520" s="78"/>
      <c r="B520" s="78"/>
      <c r="C520" s="78"/>
    </row>
    <row r="521">
      <c r="A521" s="78"/>
      <c r="B521" s="78"/>
      <c r="C521" s="78"/>
    </row>
    <row r="522">
      <c r="A522" s="78"/>
      <c r="B522" s="78"/>
      <c r="C522" s="78"/>
    </row>
    <row r="523">
      <c r="A523" s="78"/>
      <c r="B523" s="78"/>
      <c r="C523" s="78"/>
    </row>
    <row r="524">
      <c r="A524" s="78"/>
      <c r="B524" s="78"/>
      <c r="C524" s="78"/>
    </row>
    <row r="525">
      <c r="A525" s="78"/>
      <c r="B525" s="78"/>
      <c r="C525" s="78"/>
    </row>
    <row r="526">
      <c r="A526" s="78"/>
      <c r="B526" s="78"/>
      <c r="C526" s="78"/>
    </row>
    <row r="527">
      <c r="A527" s="78"/>
      <c r="B527" s="78"/>
      <c r="C527" s="78"/>
    </row>
    <row r="528">
      <c r="A528" s="78"/>
      <c r="B528" s="78"/>
      <c r="C528" s="78"/>
    </row>
    <row r="529">
      <c r="A529" s="78"/>
      <c r="B529" s="78"/>
      <c r="C529" s="78"/>
    </row>
    <row r="530">
      <c r="A530" s="78"/>
      <c r="B530" s="78"/>
      <c r="C530" s="78"/>
    </row>
    <row r="531">
      <c r="A531" s="78"/>
      <c r="B531" s="78"/>
      <c r="C531" s="78"/>
    </row>
    <row r="532">
      <c r="A532" s="78"/>
      <c r="B532" s="78"/>
      <c r="C532" s="78"/>
    </row>
    <row r="533">
      <c r="A533" s="78"/>
      <c r="B533" s="78"/>
      <c r="C533" s="78"/>
    </row>
    <row r="534">
      <c r="A534" s="78"/>
      <c r="B534" s="78"/>
      <c r="C534" s="78"/>
    </row>
    <row r="535">
      <c r="A535" s="78"/>
      <c r="B535" s="78"/>
      <c r="C535" s="78"/>
    </row>
    <row r="536">
      <c r="A536" s="78"/>
      <c r="B536" s="78"/>
      <c r="C536" s="78"/>
    </row>
    <row r="537">
      <c r="A537" s="78"/>
      <c r="B537" s="78"/>
      <c r="C537" s="78"/>
    </row>
    <row r="538">
      <c r="A538" s="78"/>
      <c r="B538" s="78"/>
      <c r="C538" s="78"/>
    </row>
    <row r="539">
      <c r="A539" s="78"/>
      <c r="B539" s="78"/>
      <c r="C539" s="78"/>
    </row>
    <row r="540">
      <c r="A540" s="78"/>
      <c r="B540" s="78"/>
      <c r="C540" s="78"/>
    </row>
    <row r="541">
      <c r="A541" s="78"/>
      <c r="B541" s="78"/>
      <c r="C541" s="78"/>
    </row>
    <row r="542">
      <c r="A542" s="78"/>
      <c r="B542" s="78"/>
      <c r="C542" s="78"/>
    </row>
    <row r="543">
      <c r="A543" s="78"/>
      <c r="B543" s="78"/>
      <c r="C543" s="78"/>
    </row>
    <row r="544">
      <c r="A544" s="78"/>
      <c r="B544" s="78"/>
      <c r="C544" s="78"/>
    </row>
    <row r="545">
      <c r="A545" s="78"/>
      <c r="B545" s="78"/>
      <c r="C545" s="78"/>
    </row>
    <row r="546">
      <c r="A546" s="78"/>
      <c r="B546" s="78"/>
      <c r="C546" s="78"/>
    </row>
    <row r="547">
      <c r="A547" s="78"/>
      <c r="B547" s="78"/>
      <c r="C547" s="78"/>
    </row>
    <row r="548">
      <c r="A548" s="78"/>
      <c r="B548" s="78"/>
      <c r="C548" s="78"/>
    </row>
    <row r="549">
      <c r="A549" s="78"/>
      <c r="B549" s="78"/>
      <c r="C549" s="78"/>
    </row>
    <row r="550">
      <c r="A550" s="78"/>
      <c r="B550" s="78"/>
      <c r="C550" s="78"/>
    </row>
    <row r="551">
      <c r="A551" s="78"/>
      <c r="B551" s="78"/>
      <c r="C551" s="78"/>
    </row>
    <row r="552">
      <c r="A552" s="78"/>
      <c r="B552" s="78"/>
      <c r="C552" s="78"/>
    </row>
    <row r="553">
      <c r="A553" s="78"/>
      <c r="B553" s="78"/>
      <c r="C553" s="78"/>
    </row>
    <row r="554">
      <c r="A554" s="78"/>
      <c r="B554" s="78"/>
      <c r="C554" s="78"/>
    </row>
    <row r="555">
      <c r="A555" s="78"/>
      <c r="B555" s="78"/>
      <c r="C555" s="78"/>
    </row>
    <row r="556">
      <c r="A556" s="78"/>
      <c r="B556" s="78"/>
      <c r="C556" s="78"/>
    </row>
    <row r="557">
      <c r="A557" s="78"/>
      <c r="B557" s="78"/>
      <c r="C557" s="78"/>
    </row>
    <row r="558">
      <c r="A558" s="78"/>
      <c r="B558" s="78"/>
      <c r="C558" s="78"/>
    </row>
    <row r="559">
      <c r="A559" s="78"/>
      <c r="B559" s="78"/>
      <c r="C559" s="78"/>
    </row>
    <row r="560">
      <c r="A560" s="78"/>
      <c r="B560" s="78"/>
      <c r="C560" s="78"/>
    </row>
    <row r="561">
      <c r="A561" s="78"/>
      <c r="B561" s="78"/>
      <c r="C561" s="78"/>
    </row>
    <row r="562">
      <c r="A562" s="78"/>
      <c r="B562" s="78"/>
      <c r="C562" s="78"/>
    </row>
    <row r="563">
      <c r="A563" s="78"/>
      <c r="B563" s="78"/>
      <c r="C563" s="78"/>
    </row>
    <row r="564">
      <c r="A564" s="78"/>
      <c r="B564" s="78"/>
      <c r="C564" s="78"/>
    </row>
    <row r="565">
      <c r="A565" s="78"/>
      <c r="B565" s="78"/>
      <c r="C565" s="78"/>
    </row>
    <row r="566">
      <c r="A566" s="78"/>
      <c r="B566" s="78"/>
      <c r="C566" s="78"/>
    </row>
    <row r="567">
      <c r="A567" s="78"/>
      <c r="B567" s="78"/>
      <c r="C567" s="78"/>
    </row>
    <row r="568">
      <c r="A568" s="78"/>
      <c r="B568" s="78"/>
      <c r="C568" s="78"/>
    </row>
    <row r="569">
      <c r="A569" s="78"/>
      <c r="B569" s="78"/>
      <c r="C569" s="78"/>
    </row>
    <row r="570">
      <c r="A570" s="78"/>
      <c r="B570" s="78"/>
      <c r="C570" s="78"/>
    </row>
    <row r="571">
      <c r="A571" s="78"/>
      <c r="B571" s="78"/>
      <c r="C571" s="78"/>
    </row>
    <row r="572">
      <c r="A572" s="78"/>
      <c r="B572" s="78"/>
      <c r="C572" s="78"/>
    </row>
    <row r="573">
      <c r="A573" s="78"/>
      <c r="B573" s="78"/>
      <c r="C573" s="78"/>
    </row>
    <row r="574">
      <c r="A574" s="78"/>
      <c r="B574" s="78"/>
      <c r="C574" s="78"/>
    </row>
    <row r="575">
      <c r="A575" s="78"/>
      <c r="B575" s="78"/>
      <c r="C575" s="78"/>
    </row>
    <row r="576">
      <c r="A576" s="78"/>
      <c r="B576" s="78"/>
      <c r="C576" s="78"/>
    </row>
    <row r="577">
      <c r="A577" s="78"/>
      <c r="B577" s="78"/>
      <c r="C577" s="78"/>
    </row>
    <row r="578">
      <c r="A578" s="78"/>
      <c r="B578" s="78"/>
      <c r="C578" s="78"/>
    </row>
    <row r="579">
      <c r="A579" s="78"/>
      <c r="B579" s="78"/>
      <c r="C579" s="78"/>
    </row>
    <row r="580">
      <c r="A580" s="78"/>
      <c r="B580" s="78"/>
      <c r="C580" s="78"/>
    </row>
    <row r="581">
      <c r="A581" s="78"/>
      <c r="B581" s="78"/>
      <c r="C581" s="78"/>
    </row>
    <row r="582">
      <c r="A582" s="78"/>
      <c r="B582" s="78"/>
      <c r="C582" s="78"/>
    </row>
    <row r="583">
      <c r="A583" s="78"/>
      <c r="B583" s="78"/>
      <c r="C583" s="78"/>
    </row>
    <row r="584">
      <c r="A584" s="78"/>
      <c r="B584" s="78"/>
      <c r="C584" s="78"/>
    </row>
    <row r="585">
      <c r="A585" s="78"/>
      <c r="B585" s="78"/>
      <c r="C585" s="78"/>
    </row>
    <row r="586">
      <c r="A586" s="78"/>
      <c r="B586" s="78"/>
      <c r="C586" s="78"/>
    </row>
    <row r="587">
      <c r="A587" s="78"/>
      <c r="B587" s="78"/>
      <c r="C587" s="78"/>
    </row>
    <row r="588">
      <c r="A588" s="78"/>
      <c r="B588" s="78"/>
      <c r="C588" s="78"/>
    </row>
    <row r="589">
      <c r="A589" s="78"/>
      <c r="B589" s="78"/>
      <c r="C589" s="78"/>
    </row>
    <row r="590">
      <c r="A590" s="78"/>
      <c r="B590" s="78"/>
      <c r="C590" s="78"/>
    </row>
    <row r="591">
      <c r="A591" s="78"/>
      <c r="B591" s="78"/>
      <c r="C591" s="78"/>
    </row>
    <row r="592">
      <c r="A592" s="78"/>
      <c r="B592" s="78"/>
      <c r="C592" s="78"/>
    </row>
    <row r="593">
      <c r="A593" s="78"/>
      <c r="B593" s="78"/>
      <c r="C593" s="78"/>
    </row>
    <row r="594">
      <c r="A594" s="78"/>
      <c r="B594" s="78"/>
      <c r="C594" s="78"/>
    </row>
    <row r="595">
      <c r="A595" s="78"/>
      <c r="B595" s="78"/>
      <c r="C595" s="78"/>
    </row>
    <row r="596">
      <c r="A596" s="78"/>
      <c r="B596" s="78"/>
      <c r="C596" s="78"/>
    </row>
    <row r="597">
      <c r="A597" s="78"/>
      <c r="B597" s="78"/>
      <c r="C597" s="78"/>
    </row>
    <row r="598">
      <c r="A598" s="78"/>
      <c r="B598" s="78"/>
      <c r="C598" s="78"/>
    </row>
    <row r="599">
      <c r="A599" s="78"/>
      <c r="B599" s="78"/>
      <c r="C599" s="78"/>
    </row>
    <row r="600">
      <c r="A600" s="78"/>
      <c r="B600" s="78"/>
      <c r="C600" s="78"/>
    </row>
    <row r="601">
      <c r="A601" s="78"/>
      <c r="B601" s="78"/>
      <c r="C601" s="78"/>
    </row>
    <row r="602">
      <c r="A602" s="78"/>
      <c r="B602" s="78"/>
      <c r="C602" s="78"/>
    </row>
    <row r="603">
      <c r="A603" s="78"/>
      <c r="B603" s="78"/>
      <c r="C603" s="78"/>
    </row>
    <row r="604">
      <c r="A604" s="78"/>
      <c r="B604" s="78"/>
      <c r="C604" s="78"/>
    </row>
    <row r="605">
      <c r="A605" s="78"/>
      <c r="B605" s="78"/>
      <c r="C605" s="78"/>
    </row>
    <row r="606">
      <c r="A606" s="78"/>
      <c r="B606" s="78"/>
      <c r="C606" s="78"/>
    </row>
    <row r="607">
      <c r="A607" s="78"/>
      <c r="B607" s="78"/>
      <c r="C607" s="78"/>
    </row>
    <row r="608">
      <c r="A608" s="78"/>
      <c r="B608" s="78"/>
      <c r="C608" s="78"/>
    </row>
    <row r="609">
      <c r="A609" s="78"/>
      <c r="B609" s="78"/>
      <c r="C609" s="78"/>
    </row>
    <row r="610">
      <c r="A610" s="78"/>
      <c r="B610" s="78"/>
      <c r="C610" s="78"/>
    </row>
    <row r="611">
      <c r="A611" s="78"/>
      <c r="B611" s="78"/>
      <c r="C611" s="78"/>
    </row>
    <row r="612">
      <c r="A612" s="78"/>
      <c r="B612" s="78"/>
      <c r="C612" s="78"/>
    </row>
    <row r="613">
      <c r="A613" s="78"/>
      <c r="B613" s="78"/>
      <c r="C613" s="78"/>
    </row>
    <row r="614">
      <c r="A614" s="78"/>
      <c r="B614" s="78"/>
      <c r="C614" s="78"/>
    </row>
    <row r="615">
      <c r="A615" s="78"/>
      <c r="B615" s="78"/>
      <c r="C615" s="78"/>
    </row>
    <row r="616">
      <c r="A616" s="78"/>
      <c r="B616" s="78"/>
      <c r="C616" s="78"/>
    </row>
    <row r="617">
      <c r="A617" s="78"/>
      <c r="B617" s="78"/>
      <c r="C617" s="78"/>
    </row>
    <row r="618">
      <c r="A618" s="78"/>
      <c r="B618" s="78"/>
      <c r="C618" s="78"/>
    </row>
    <row r="619">
      <c r="A619" s="78"/>
      <c r="B619" s="78"/>
      <c r="C619" s="78"/>
    </row>
    <row r="620">
      <c r="A620" s="78"/>
      <c r="B620" s="78"/>
      <c r="C620" s="78"/>
    </row>
    <row r="621">
      <c r="A621" s="78"/>
      <c r="B621" s="78"/>
      <c r="C621" s="78"/>
    </row>
    <row r="622">
      <c r="A622" s="78"/>
      <c r="B622" s="78"/>
      <c r="C622" s="78"/>
    </row>
    <row r="623">
      <c r="A623" s="78"/>
      <c r="B623" s="78"/>
      <c r="C623" s="78"/>
    </row>
    <row r="624">
      <c r="A624" s="78"/>
      <c r="B624" s="78"/>
      <c r="C624" s="78"/>
    </row>
    <row r="625">
      <c r="A625" s="78"/>
      <c r="B625" s="78"/>
      <c r="C625" s="78"/>
    </row>
    <row r="626">
      <c r="A626" s="78"/>
      <c r="B626" s="78"/>
      <c r="C626" s="78"/>
    </row>
    <row r="627">
      <c r="A627" s="78"/>
      <c r="B627" s="78"/>
      <c r="C627" s="78"/>
    </row>
    <row r="628">
      <c r="A628" s="78"/>
      <c r="B628" s="78"/>
      <c r="C628" s="78"/>
    </row>
    <row r="629">
      <c r="A629" s="78"/>
      <c r="B629" s="78"/>
      <c r="C629" s="78"/>
    </row>
    <row r="630">
      <c r="A630" s="78"/>
      <c r="B630" s="78"/>
      <c r="C630" s="78"/>
    </row>
    <row r="631">
      <c r="A631" s="78"/>
      <c r="B631" s="78"/>
      <c r="C631" s="78"/>
    </row>
    <row r="632">
      <c r="A632" s="78"/>
      <c r="B632" s="78"/>
      <c r="C632" s="78"/>
    </row>
    <row r="633">
      <c r="A633" s="78"/>
      <c r="B633" s="78"/>
      <c r="C633" s="78"/>
    </row>
    <row r="634">
      <c r="A634" s="78"/>
      <c r="B634" s="78"/>
      <c r="C634" s="78"/>
    </row>
    <row r="635">
      <c r="A635" s="78"/>
      <c r="B635" s="78"/>
      <c r="C635" s="78"/>
    </row>
    <row r="636">
      <c r="A636" s="78"/>
      <c r="B636" s="78"/>
      <c r="C636" s="78"/>
    </row>
    <row r="637">
      <c r="A637" s="78"/>
      <c r="B637" s="78"/>
      <c r="C637" s="78"/>
    </row>
    <row r="638">
      <c r="A638" s="78"/>
      <c r="B638" s="78"/>
      <c r="C638" s="78"/>
    </row>
    <row r="639">
      <c r="A639" s="78"/>
      <c r="B639" s="78"/>
      <c r="C639" s="78"/>
    </row>
    <row r="640">
      <c r="A640" s="78"/>
      <c r="B640" s="78"/>
      <c r="C640" s="78"/>
    </row>
    <row r="641">
      <c r="A641" s="78"/>
      <c r="B641" s="78"/>
      <c r="C641" s="78"/>
    </row>
    <row r="642">
      <c r="A642" s="78"/>
      <c r="B642" s="78"/>
      <c r="C642" s="78"/>
    </row>
    <row r="643">
      <c r="A643" s="78"/>
      <c r="B643" s="78"/>
      <c r="C643" s="78"/>
    </row>
    <row r="644">
      <c r="A644" s="78"/>
      <c r="B644" s="78"/>
      <c r="C644" s="78"/>
    </row>
    <row r="645">
      <c r="A645" s="78"/>
      <c r="B645" s="78"/>
      <c r="C645" s="78"/>
    </row>
    <row r="646">
      <c r="A646" s="78"/>
      <c r="B646" s="78"/>
      <c r="C646" s="78"/>
    </row>
    <row r="647">
      <c r="A647" s="78"/>
      <c r="B647" s="78"/>
      <c r="C647" s="78"/>
    </row>
    <row r="648">
      <c r="A648" s="78"/>
      <c r="B648" s="78"/>
      <c r="C648" s="78"/>
    </row>
    <row r="649">
      <c r="A649" s="78"/>
      <c r="B649" s="78"/>
      <c r="C649" s="78"/>
    </row>
    <row r="650">
      <c r="A650" s="78"/>
      <c r="B650" s="78"/>
      <c r="C650" s="78"/>
    </row>
    <row r="651">
      <c r="A651" s="78"/>
      <c r="B651" s="78"/>
      <c r="C651" s="78"/>
    </row>
    <row r="652">
      <c r="A652" s="78"/>
      <c r="B652" s="78"/>
      <c r="C652" s="78"/>
    </row>
    <row r="653">
      <c r="A653" s="78"/>
      <c r="B653" s="78"/>
      <c r="C653" s="78"/>
    </row>
    <row r="654">
      <c r="A654" s="78"/>
      <c r="B654" s="78"/>
      <c r="C654" s="78"/>
    </row>
    <row r="655">
      <c r="A655" s="78"/>
      <c r="B655" s="78"/>
      <c r="C655" s="78"/>
    </row>
    <row r="656">
      <c r="A656" s="78"/>
      <c r="B656" s="78"/>
      <c r="C656" s="78"/>
    </row>
    <row r="657">
      <c r="A657" s="78"/>
      <c r="B657" s="78"/>
      <c r="C657" s="78"/>
    </row>
    <row r="658">
      <c r="A658" s="78"/>
      <c r="B658" s="78"/>
      <c r="C658" s="78"/>
    </row>
    <row r="659">
      <c r="A659" s="78"/>
      <c r="B659" s="78"/>
      <c r="C659" s="78"/>
    </row>
    <row r="660">
      <c r="A660" s="78"/>
      <c r="B660" s="78"/>
      <c r="C660" s="78"/>
    </row>
    <row r="661">
      <c r="A661" s="78"/>
      <c r="B661" s="78"/>
      <c r="C661" s="78"/>
    </row>
    <row r="662">
      <c r="A662" s="78"/>
      <c r="B662" s="78"/>
      <c r="C662" s="78"/>
    </row>
    <row r="663">
      <c r="A663" s="78"/>
      <c r="B663" s="78"/>
      <c r="C663" s="78"/>
    </row>
    <row r="664">
      <c r="A664" s="78"/>
      <c r="B664" s="78"/>
      <c r="C664" s="78"/>
    </row>
    <row r="665">
      <c r="A665" s="78"/>
      <c r="B665" s="78"/>
      <c r="C665" s="78"/>
    </row>
    <row r="666">
      <c r="A666" s="78"/>
      <c r="B666" s="78"/>
      <c r="C666" s="78"/>
    </row>
    <row r="667">
      <c r="A667" s="78"/>
      <c r="B667" s="78"/>
      <c r="C667" s="78"/>
    </row>
    <row r="668">
      <c r="A668" s="78"/>
      <c r="B668" s="78"/>
      <c r="C668" s="78"/>
    </row>
    <row r="669">
      <c r="A669" s="78"/>
      <c r="B669" s="78"/>
      <c r="C669" s="78"/>
    </row>
    <row r="670">
      <c r="A670" s="78"/>
      <c r="B670" s="78"/>
      <c r="C670" s="78"/>
    </row>
    <row r="671">
      <c r="A671" s="78"/>
      <c r="B671" s="78"/>
      <c r="C671" s="78"/>
    </row>
    <row r="672">
      <c r="A672" s="78"/>
      <c r="B672" s="78"/>
      <c r="C672" s="78"/>
    </row>
    <row r="673">
      <c r="A673" s="78"/>
      <c r="B673" s="78"/>
      <c r="C673" s="78"/>
    </row>
    <row r="674">
      <c r="A674" s="78"/>
      <c r="B674" s="78"/>
      <c r="C674" s="78"/>
    </row>
    <row r="675">
      <c r="A675" s="78"/>
      <c r="B675" s="78"/>
      <c r="C675" s="78"/>
    </row>
    <row r="676">
      <c r="A676" s="78"/>
      <c r="B676" s="78"/>
      <c r="C676" s="78"/>
    </row>
    <row r="677">
      <c r="A677" s="78"/>
      <c r="B677" s="78"/>
      <c r="C677" s="78"/>
    </row>
    <row r="678">
      <c r="A678" s="78"/>
      <c r="B678" s="78"/>
      <c r="C678" s="78"/>
    </row>
    <row r="679">
      <c r="A679" s="78"/>
      <c r="B679" s="78"/>
      <c r="C679" s="78"/>
    </row>
    <row r="680">
      <c r="A680" s="78"/>
      <c r="B680" s="78"/>
      <c r="C680" s="78"/>
    </row>
    <row r="681">
      <c r="A681" s="78"/>
      <c r="B681" s="78"/>
      <c r="C681" s="78"/>
    </row>
    <row r="682">
      <c r="A682" s="78"/>
      <c r="B682" s="78"/>
      <c r="C682" s="78"/>
    </row>
    <row r="683">
      <c r="A683" s="78"/>
      <c r="B683" s="78"/>
      <c r="C683" s="78"/>
    </row>
    <row r="684">
      <c r="A684" s="78"/>
      <c r="B684" s="78"/>
      <c r="C684" s="78"/>
    </row>
    <row r="685">
      <c r="A685" s="78"/>
      <c r="B685" s="78"/>
      <c r="C685" s="78"/>
    </row>
    <row r="686">
      <c r="A686" s="78"/>
      <c r="B686" s="78"/>
      <c r="C686" s="78"/>
    </row>
    <row r="687">
      <c r="A687" s="78"/>
      <c r="B687" s="78"/>
      <c r="C687" s="78"/>
    </row>
    <row r="688">
      <c r="A688" s="78"/>
      <c r="B688" s="78"/>
      <c r="C688" s="78"/>
    </row>
    <row r="689">
      <c r="A689" s="78"/>
      <c r="B689" s="78"/>
      <c r="C689" s="78"/>
    </row>
    <row r="690">
      <c r="A690" s="78"/>
      <c r="B690" s="78"/>
      <c r="C690" s="78"/>
    </row>
    <row r="691">
      <c r="A691" s="78"/>
      <c r="B691" s="78"/>
      <c r="C691" s="78"/>
    </row>
    <row r="692">
      <c r="A692" s="78"/>
      <c r="B692" s="78"/>
      <c r="C692" s="78"/>
    </row>
    <row r="693">
      <c r="A693" s="78"/>
      <c r="B693" s="78"/>
      <c r="C693" s="78"/>
    </row>
    <row r="694">
      <c r="A694" s="78"/>
      <c r="B694" s="78"/>
      <c r="C694" s="78"/>
    </row>
    <row r="695">
      <c r="A695" s="78"/>
      <c r="B695" s="78"/>
      <c r="C695" s="78"/>
    </row>
    <row r="696">
      <c r="A696" s="78"/>
      <c r="B696" s="78"/>
      <c r="C696" s="78"/>
    </row>
    <row r="697">
      <c r="A697" s="78"/>
      <c r="B697" s="78"/>
      <c r="C697" s="78"/>
    </row>
    <row r="698">
      <c r="A698" s="78"/>
      <c r="B698" s="78"/>
      <c r="C698" s="78"/>
    </row>
    <row r="699">
      <c r="A699" s="78"/>
      <c r="B699" s="78"/>
      <c r="C699" s="78"/>
    </row>
    <row r="700">
      <c r="A700" s="78"/>
      <c r="B700" s="78"/>
      <c r="C700" s="78"/>
    </row>
    <row r="701">
      <c r="A701" s="78"/>
      <c r="B701" s="78"/>
      <c r="C701" s="78"/>
    </row>
    <row r="702">
      <c r="A702" s="78"/>
      <c r="B702" s="78"/>
      <c r="C702" s="78"/>
    </row>
    <row r="703">
      <c r="A703" s="78"/>
      <c r="B703" s="78"/>
      <c r="C703" s="78"/>
    </row>
    <row r="704">
      <c r="A704" s="78"/>
      <c r="B704" s="78"/>
      <c r="C704" s="78"/>
    </row>
    <row r="705">
      <c r="A705" s="78"/>
      <c r="B705" s="78"/>
      <c r="C705" s="78"/>
    </row>
    <row r="706">
      <c r="A706" s="78"/>
      <c r="B706" s="78"/>
      <c r="C706" s="78"/>
    </row>
    <row r="707">
      <c r="A707" s="78"/>
      <c r="B707" s="78"/>
      <c r="C707" s="78"/>
    </row>
    <row r="708">
      <c r="A708" s="78"/>
      <c r="B708" s="78"/>
      <c r="C708" s="78"/>
    </row>
    <row r="709">
      <c r="A709" s="78"/>
      <c r="B709" s="78"/>
      <c r="C709" s="78"/>
    </row>
    <row r="710">
      <c r="A710" s="78"/>
      <c r="B710" s="78"/>
      <c r="C710" s="78"/>
    </row>
    <row r="711">
      <c r="A711" s="78"/>
      <c r="B711" s="78"/>
      <c r="C711" s="78"/>
    </row>
    <row r="712">
      <c r="A712" s="78"/>
      <c r="B712" s="78"/>
      <c r="C712" s="78"/>
    </row>
    <row r="713">
      <c r="A713" s="78"/>
      <c r="B713" s="78"/>
      <c r="C713" s="78"/>
    </row>
    <row r="714">
      <c r="A714" s="78"/>
      <c r="B714" s="78"/>
      <c r="C714" s="78"/>
    </row>
    <row r="715">
      <c r="A715" s="78"/>
      <c r="B715" s="78"/>
      <c r="C715" s="78"/>
    </row>
    <row r="716">
      <c r="A716" s="78"/>
      <c r="B716" s="78"/>
      <c r="C716" s="78"/>
    </row>
    <row r="717">
      <c r="A717" s="78"/>
      <c r="B717" s="78"/>
      <c r="C717" s="78"/>
    </row>
    <row r="718">
      <c r="A718" s="78"/>
      <c r="B718" s="78"/>
      <c r="C718" s="78"/>
    </row>
    <row r="719">
      <c r="A719" s="78"/>
      <c r="B719" s="78"/>
      <c r="C719" s="78"/>
    </row>
    <row r="720">
      <c r="A720" s="78"/>
      <c r="B720" s="78"/>
      <c r="C720" s="78"/>
    </row>
    <row r="721">
      <c r="A721" s="78"/>
      <c r="B721" s="78"/>
      <c r="C721" s="78"/>
    </row>
    <row r="722">
      <c r="A722" s="78"/>
      <c r="B722" s="78"/>
      <c r="C722" s="78"/>
    </row>
    <row r="723">
      <c r="A723" s="78"/>
      <c r="B723" s="78"/>
      <c r="C723" s="78"/>
    </row>
    <row r="724">
      <c r="A724" s="78"/>
      <c r="B724" s="78"/>
      <c r="C724" s="78"/>
    </row>
    <row r="725">
      <c r="A725" s="78"/>
      <c r="B725" s="78"/>
      <c r="C725" s="78"/>
    </row>
    <row r="726">
      <c r="A726" s="78"/>
      <c r="B726" s="78"/>
      <c r="C726" s="78"/>
    </row>
    <row r="727">
      <c r="A727" s="78"/>
      <c r="B727" s="78"/>
      <c r="C727" s="78"/>
    </row>
    <row r="728">
      <c r="A728" s="78"/>
      <c r="B728" s="78"/>
      <c r="C728" s="78"/>
    </row>
    <row r="729">
      <c r="A729" s="78"/>
      <c r="B729" s="78"/>
      <c r="C729" s="78"/>
    </row>
    <row r="730">
      <c r="A730" s="78"/>
      <c r="B730" s="78"/>
      <c r="C730" s="78"/>
    </row>
    <row r="731">
      <c r="A731" s="78"/>
      <c r="B731" s="78"/>
      <c r="C731" s="78"/>
    </row>
    <row r="732">
      <c r="A732" s="78"/>
      <c r="B732" s="78"/>
      <c r="C732" s="78"/>
    </row>
    <row r="733">
      <c r="A733" s="78"/>
      <c r="B733" s="78"/>
      <c r="C733" s="78"/>
    </row>
    <row r="734">
      <c r="A734" s="78"/>
      <c r="B734" s="78"/>
      <c r="C734" s="78"/>
    </row>
    <row r="735">
      <c r="A735" s="78"/>
      <c r="B735" s="78"/>
      <c r="C735" s="78"/>
    </row>
    <row r="736">
      <c r="A736" s="78"/>
      <c r="B736" s="78"/>
      <c r="C736" s="78"/>
    </row>
    <row r="737">
      <c r="A737" s="78"/>
      <c r="B737" s="78"/>
      <c r="C737" s="78"/>
    </row>
    <row r="738">
      <c r="A738" s="78"/>
      <c r="B738" s="78"/>
      <c r="C738" s="78"/>
    </row>
    <row r="739">
      <c r="A739" s="78"/>
      <c r="B739" s="78"/>
      <c r="C739" s="78"/>
    </row>
    <row r="740">
      <c r="A740" s="78"/>
      <c r="B740" s="78"/>
      <c r="C740" s="78"/>
    </row>
    <row r="741">
      <c r="A741" s="78"/>
      <c r="B741" s="78"/>
      <c r="C741" s="78"/>
    </row>
    <row r="742">
      <c r="A742" s="78"/>
      <c r="B742" s="78"/>
      <c r="C742" s="78"/>
    </row>
    <row r="743">
      <c r="A743" s="78"/>
      <c r="B743" s="78"/>
      <c r="C743" s="78"/>
    </row>
    <row r="744">
      <c r="A744" s="78"/>
      <c r="B744" s="78"/>
      <c r="C744" s="78"/>
    </row>
    <row r="745">
      <c r="A745" s="78"/>
      <c r="B745" s="78"/>
      <c r="C745" s="78"/>
    </row>
    <row r="746">
      <c r="A746" s="78"/>
      <c r="B746" s="78"/>
      <c r="C746" s="78"/>
    </row>
    <row r="747">
      <c r="A747" s="78"/>
      <c r="B747" s="78"/>
      <c r="C747" s="78"/>
    </row>
    <row r="748">
      <c r="A748" s="78"/>
      <c r="B748" s="78"/>
      <c r="C748" s="78"/>
    </row>
    <row r="749">
      <c r="A749" s="78"/>
      <c r="B749" s="78"/>
      <c r="C749" s="78"/>
    </row>
    <row r="750">
      <c r="A750" s="78"/>
      <c r="B750" s="78"/>
      <c r="C750" s="78"/>
    </row>
    <row r="751">
      <c r="A751" s="78"/>
      <c r="B751" s="78"/>
      <c r="C751" s="78"/>
    </row>
    <row r="752">
      <c r="A752" s="78"/>
      <c r="B752" s="78"/>
      <c r="C752" s="78"/>
    </row>
    <row r="753">
      <c r="A753" s="78"/>
      <c r="B753" s="78"/>
      <c r="C753" s="78"/>
    </row>
    <row r="754">
      <c r="A754" s="78"/>
      <c r="B754" s="78"/>
      <c r="C754" s="78"/>
    </row>
    <row r="755">
      <c r="A755" s="78"/>
      <c r="B755" s="78"/>
      <c r="C755" s="78"/>
    </row>
    <row r="756">
      <c r="A756" s="78"/>
      <c r="B756" s="78"/>
      <c r="C756" s="78"/>
    </row>
    <row r="757">
      <c r="A757" s="78"/>
      <c r="B757" s="78"/>
      <c r="C757" s="78"/>
    </row>
    <row r="758">
      <c r="A758" s="78"/>
      <c r="B758" s="78"/>
      <c r="C758" s="78"/>
    </row>
    <row r="759">
      <c r="A759" s="78"/>
      <c r="B759" s="78"/>
      <c r="C759" s="78"/>
    </row>
    <row r="760">
      <c r="A760" s="78"/>
      <c r="B760" s="78"/>
      <c r="C760" s="78"/>
    </row>
    <row r="761">
      <c r="A761" s="78"/>
      <c r="B761" s="78"/>
      <c r="C761" s="78"/>
    </row>
    <row r="762">
      <c r="A762" s="78"/>
      <c r="B762" s="78"/>
      <c r="C762" s="78"/>
    </row>
    <row r="763">
      <c r="A763" s="78"/>
      <c r="B763" s="78"/>
      <c r="C763" s="78"/>
    </row>
    <row r="764">
      <c r="A764" s="78"/>
      <c r="B764" s="78"/>
      <c r="C764" s="78"/>
    </row>
    <row r="765">
      <c r="A765" s="78"/>
      <c r="B765" s="78"/>
      <c r="C765" s="78"/>
    </row>
    <row r="766">
      <c r="A766" s="78"/>
      <c r="B766" s="78"/>
      <c r="C766" s="78"/>
    </row>
    <row r="767">
      <c r="A767" s="78"/>
      <c r="B767" s="78"/>
      <c r="C767" s="78"/>
    </row>
    <row r="768">
      <c r="A768" s="78"/>
      <c r="B768" s="78"/>
      <c r="C768" s="78"/>
    </row>
    <row r="769">
      <c r="A769" s="78"/>
      <c r="B769" s="78"/>
      <c r="C769" s="78"/>
    </row>
    <row r="770">
      <c r="A770" s="78"/>
      <c r="B770" s="78"/>
      <c r="C770" s="78"/>
    </row>
    <row r="771">
      <c r="A771" s="78"/>
      <c r="B771" s="78"/>
      <c r="C771" s="78"/>
    </row>
    <row r="772">
      <c r="A772" s="78"/>
      <c r="B772" s="78"/>
      <c r="C772" s="78"/>
    </row>
    <row r="773">
      <c r="A773" s="78"/>
      <c r="B773" s="78"/>
      <c r="C773" s="78"/>
    </row>
    <row r="774">
      <c r="A774" s="78"/>
      <c r="B774" s="78"/>
      <c r="C774" s="78"/>
    </row>
    <row r="775">
      <c r="A775" s="78"/>
      <c r="B775" s="78"/>
      <c r="C775" s="78"/>
    </row>
    <row r="776">
      <c r="A776" s="78"/>
      <c r="B776" s="78"/>
      <c r="C776" s="78"/>
    </row>
    <row r="777">
      <c r="A777" s="78"/>
      <c r="B777" s="78"/>
      <c r="C777" s="78"/>
    </row>
    <row r="778">
      <c r="A778" s="78"/>
      <c r="B778" s="78"/>
      <c r="C778" s="78"/>
    </row>
    <row r="779">
      <c r="A779" s="78"/>
      <c r="B779" s="78"/>
      <c r="C779" s="78"/>
    </row>
    <row r="780">
      <c r="A780" s="78"/>
      <c r="B780" s="78"/>
      <c r="C780" s="78"/>
    </row>
    <row r="781">
      <c r="A781" s="78"/>
      <c r="B781" s="78"/>
      <c r="C781" s="78"/>
    </row>
    <row r="782">
      <c r="A782" s="78"/>
      <c r="B782" s="78"/>
      <c r="C782" s="78"/>
    </row>
    <row r="783">
      <c r="A783" s="78"/>
      <c r="B783" s="78"/>
      <c r="C783" s="78"/>
    </row>
    <row r="784">
      <c r="A784" s="78"/>
      <c r="B784" s="78"/>
      <c r="C784" s="78"/>
    </row>
    <row r="785">
      <c r="A785" s="78"/>
      <c r="B785" s="78"/>
      <c r="C785" s="78"/>
    </row>
    <row r="786">
      <c r="A786" s="78"/>
      <c r="B786" s="78"/>
      <c r="C786" s="78"/>
    </row>
    <row r="787">
      <c r="A787" s="78"/>
      <c r="B787" s="78"/>
      <c r="C787" s="78"/>
    </row>
    <row r="788">
      <c r="A788" s="78"/>
      <c r="B788" s="78"/>
      <c r="C788" s="78"/>
    </row>
    <row r="789">
      <c r="A789" s="78"/>
      <c r="B789" s="78"/>
      <c r="C789" s="78"/>
    </row>
    <row r="790">
      <c r="A790" s="78"/>
      <c r="B790" s="78"/>
      <c r="C790" s="78"/>
    </row>
    <row r="791">
      <c r="A791" s="78"/>
      <c r="B791" s="78"/>
      <c r="C791" s="78"/>
    </row>
    <row r="792">
      <c r="A792" s="78"/>
      <c r="B792" s="78"/>
      <c r="C792" s="78"/>
    </row>
    <row r="793">
      <c r="A793" s="78"/>
      <c r="B793" s="78"/>
      <c r="C793" s="78"/>
    </row>
    <row r="794">
      <c r="A794" s="78"/>
      <c r="B794" s="78"/>
      <c r="C794" s="78"/>
    </row>
    <row r="795">
      <c r="A795" s="78"/>
      <c r="B795" s="78"/>
      <c r="C795" s="78"/>
    </row>
    <row r="796">
      <c r="A796" s="78"/>
      <c r="B796" s="78"/>
      <c r="C796" s="78"/>
    </row>
    <row r="797">
      <c r="A797" s="78"/>
      <c r="B797" s="78"/>
      <c r="C797" s="78"/>
    </row>
    <row r="798">
      <c r="A798" s="78"/>
      <c r="B798" s="78"/>
      <c r="C798" s="78"/>
    </row>
    <row r="799">
      <c r="A799" s="78"/>
      <c r="B799" s="78"/>
      <c r="C799" s="78"/>
    </row>
    <row r="800">
      <c r="A800" s="78"/>
      <c r="B800" s="78"/>
      <c r="C800" s="78"/>
    </row>
    <row r="801">
      <c r="A801" s="78"/>
      <c r="B801" s="78"/>
      <c r="C801" s="78"/>
    </row>
    <row r="802">
      <c r="A802" s="78"/>
      <c r="B802" s="78"/>
      <c r="C802" s="78"/>
    </row>
    <row r="803">
      <c r="A803" s="78"/>
      <c r="B803" s="78"/>
      <c r="C803" s="78"/>
    </row>
    <row r="804">
      <c r="A804" s="78"/>
      <c r="B804" s="78"/>
      <c r="C804" s="78"/>
    </row>
    <row r="805">
      <c r="A805" s="78"/>
      <c r="B805" s="78"/>
      <c r="C805" s="78"/>
    </row>
    <row r="806">
      <c r="A806" s="78"/>
      <c r="B806" s="78"/>
      <c r="C806" s="78"/>
    </row>
    <row r="807">
      <c r="A807" s="78"/>
      <c r="B807" s="78"/>
      <c r="C807" s="78"/>
    </row>
    <row r="808">
      <c r="A808" s="78"/>
      <c r="B808" s="78"/>
      <c r="C808" s="78"/>
    </row>
    <row r="809">
      <c r="A809" s="78"/>
      <c r="B809" s="78"/>
      <c r="C809" s="78"/>
    </row>
    <row r="810">
      <c r="A810" s="78"/>
      <c r="B810" s="78"/>
      <c r="C810" s="78"/>
    </row>
    <row r="811">
      <c r="A811" s="78"/>
      <c r="B811" s="78"/>
      <c r="C811" s="78"/>
    </row>
    <row r="812">
      <c r="A812" s="78"/>
      <c r="B812" s="78"/>
      <c r="C812" s="78"/>
    </row>
    <row r="813">
      <c r="A813" s="78"/>
      <c r="B813" s="78"/>
      <c r="C813" s="78"/>
    </row>
    <row r="814">
      <c r="A814" s="78"/>
      <c r="B814" s="78"/>
      <c r="C814" s="78"/>
    </row>
    <row r="815">
      <c r="A815" s="78"/>
      <c r="B815" s="78"/>
      <c r="C815" s="78"/>
    </row>
    <row r="816">
      <c r="A816" s="78"/>
      <c r="B816" s="78"/>
      <c r="C816" s="78"/>
    </row>
    <row r="817">
      <c r="A817" s="78"/>
      <c r="B817" s="78"/>
      <c r="C817" s="78"/>
    </row>
    <row r="818">
      <c r="A818" s="78"/>
      <c r="B818" s="78"/>
      <c r="C818" s="78"/>
    </row>
    <row r="819">
      <c r="A819" s="78"/>
      <c r="B819" s="78"/>
      <c r="C819" s="78"/>
    </row>
    <row r="820">
      <c r="A820" s="78"/>
      <c r="B820" s="78"/>
      <c r="C820" s="78"/>
    </row>
    <row r="821">
      <c r="A821" s="78"/>
      <c r="B821" s="78"/>
      <c r="C821" s="78"/>
    </row>
    <row r="822">
      <c r="A822" s="78"/>
      <c r="B822" s="78"/>
      <c r="C822" s="78"/>
    </row>
    <row r="823">
      <c r="A823" s="78"/>
      <c r="B823" s="78"/>
      <c r="C823" s="78"/>
    </row>
    <row r="824">
      <c r="A824" s="78"/>
      <c r="B824" s="78"/>
      <c r="C824" s="78"/>
    </row>
    <row r="825">
      <c r="A825" s="78"/>
      <c r="B825" s="78"/>
      <c r="C825" s="78"/>
    </row>
    <row r="826">
      <c r="A826" s="78"/>
      <c r="B826" s="78"/>
      <c r="C826" s="78"/>
    </row>
    <row r="827">
      <c r="A827" s="78"/>
      <c r="B827" s="78"/>
      <c r="C827" s="78"/>
    </row>
    <row r="828">
      <c r="A828" s="78"/>
      <c r="B828" s="78"/>
      <c r="C828" s="78"/>
    </row>
    <row r="829">
      <c r="A829" s="78"/>
      <c r="B829" s="78"/>
      <c r="C829" s="78"/>
    </row>
    <row r="830">
      <c r="A830" s="78"/>
      <c r="B830" s="78"/>
      <c r="C830" s="78"/>
    </row>
    <row r="831">
      <c r="A831" s="78"/>
      <c r="B831" s="78"/>
      <c r="C831" s="78"/>
    </row>
    <row r="832">
      <c r="A832" s="78"/>
      <c r="B832" s="78"/>
      <c r="C832" s="78"/>
    </row>
    <row r="833">
      <c r="A833" s="78"/>
      <c r="B833" s="78"/>
      <c r="C833" s="78"/>
    </row>
    <row r="834">
      <c r="A834" s="78"/>
      <c r="B834" s="78"/>
      <c r="C834" s="78"/>
    </row>
    <row r="835">
      <c r="A835" s="78"/>
      <c r="B835" s="78"/>
      <c r="C835" s="78"/>
    </row>
    <row r="836">
      <c r="A836" s="78"/>
      <c r="B836" s="78"/>
      <c r="C836" s="78"/>
    </row>
    <row r="837">
      <c r="A837" s="78"/>
      <c r="B837" s="78"/>
      <c r="C837" s="78"/>
    </row>
    <row r="838">
      <c r="A838" s="78"/>
      <c r="B838" s="78"/>
      <c r="C838" s="78"/>
    </row>
    <row r="839">
      <c r="A839" s="78"/>
      <c r="B839" s="78"/>
      <c r="C839" s="78"/>
    </row>
    <row r="840">
      <c r="A840" s="78"/>
      <c r="B840" s="78"/>
      <c r="C840" s="78"/>
    </row>
    <row r="841">
      <c r="A841" s="78"/>
      <c r="B841" s="78"/>
      <c r="C841" s="78"/>
    </row>
    <row r="842">
      <c r="A842" s="78"/>
      <c r="B842" s="78"/>
      <c r="C842" s="78"/>
    </row>
    <row r="843">
      <c r="A843" s="78"/>
      <c r="B843" s="78"/>
      <c r="C843" s="78"/>
    </row>
    <row r="844">
      <c r="A844" s="78"/>
      <c r="B844" s="78"/>
      <c r="C844" s="78"/>
    </row>
    <row r="845">
      <c r="A845" s="78"/>
      <c r="B845" s="78"/>
      <c r="C845" s="78"/>
    </row>
    <row r="846">
      <c r="A846" s="78"/>
      <c r="B846" s="78"/>
      <c r="C846" s="78"/>
    </row>
    <row r="847">
      <c r="A847" s="78"/>
      <c r="B847" s="78"/>
      <c r="C847" s="78"/>
    </row>
    <row r="848">
      <c r="A848" s="78"/>
      <c r="B848" s="78"/>
      <c r="C848" s="78"/>
    </row>
    <row r="849">
      <c r="A849" s="78"/>
      <c r="B849" s="78"/>
      <c r="C849" s="78"/>
    </row>
    <row r="850">
      <c r="A850" s="78"/>
      <c r="B850" s="78"/>
      <c r="C850" s="78"/>
    </row>
    <row r="851">
      <c r="A851" s="78"/>
      <c r="B851" s="78"/>
      <c r="C851" s="78"/>
    </row>
    <row r="852">
      <c r="A852" s="78"/>
      <c r="B852" s="78"/>
      <c r="C852" s="78"/>
    </row>
    <row r="853">
      <c r="A853" s="78"/>
      <c r="B853" s="78"/>
      <c r="C853" s="78"/>
    </row>
    <row r="854">
      <c r="A854" s="78"/>
      <c r="B854" s="78"/>
      <c r="C854" s="78"/>
    </row>
    <row r="855">
      <c r="A855" s="78"/>
      <c r="B855" s="78"/>
      <c r="C855" s="78"/>
    </row>
    <row r="856">
      <c r="A856" s="78"/>
      <c r="B856" s="78"/>
      <c r="C856" s="78"/>
    </row>
    <row r="857">
      <c r="A857" s="78"/>
      <c r="B857" s="78"/>
      <c r="C857" s="78"/>
    </row>
    <row r="858">
      <c r="A858" s="78"/>
      <c r="B858" s="78"/>
      <c r="C858" s="78"/>
    </row>
    <row r="859">
      <c r="A859" s="78"/>
      <c r="B859" s="78"/>
      <c r="C859" s="78"/>
    </row>
    <row r="860">
      <c r="A860" s="78"/>
      <c r="B860" s="78"/>
      <c r="C860" s="78"/>
    </row>
    <row r="861">
      <c r="A861" s="78"/>
      <c r="B861" s="78"/>
      <c r="C861" s="78"/>
    </row>
    <row r="862">
      <c r="A862" s="78"/>
      <c r="B862" s="78"/>
      <c r="C862" s="78"/>
    </row>
    <row r="863">
      <c r="A863" s="78"/>
      <c r="B863" s="78"/>
      <c r="C863" s="78"/>
    </row>
    <row r="864">
      <c r="A864" s="78"/>
      <c r="B864" s="78"/>
      <c r="C864" s="78"/>
    </row>
    <row r="865">
      <c r="A865" s="78"/>
      <c r="B865" s="78"/>
      <c r="C865" s="78"/>
    </row>
    <row r="866">
      <c r="A866" s="78"/>
      <c r="B866" s="78"/>
      <c r="C866" s="78"/>
    </row>
    <row r="867">
      <c r="A867" s="78"/>
      <c r="B867" s="78"/>
      <c r="C867" s="78"/>
    </row>
    <row r="868">
      <c r="A868" s="78"/>
      <c r="B868" s="78"/>
      <c r="C868" s="78"/>
    </row>
    <row r="869">
      <c r="A869" s="78"/>
      <c r="B869" s="78"/>
      <c r="C869" s="78"/>
    </row>
    <row r="870">
      <c r="A870" s="78"/>
      <c r="B870" s="78"/>
      <c r="C870" s="78"/>
    </row>
    <row r="871">
      <c r="A871" s="78"/>
      <c r="B871" s="78"/>
      <c r="C871" s="78"/>
    </row>
    <row r="872">
      <c r="A872" s="78"/>
      <c r="B872" s="78"/>
      <c r="C872" s="78"/>
    </row>
    <row r="873">
      <c r="A873" s="78"/>
      <c r="B873" s="78"/>
      <c r="C873" s="78"/>
    </row>
    <row r="874">
      <c r="A874" s="78"/>
      <c r="B874" s="78"/>
      <c r="C874" s="78"/>
    </row>
    <row r="875">
      <c r="A875" s="78"/>
      <c r="B875" s="78"/>
      <c r="C875" s="78"/>
    </row>
    <row r="876">
      <c r="A876" s="78"/>
      <c r="B876" s="78"/>
      <c r="C876" s="78"/>
    </row>
    <row r="877">
      <c r="A877" s="78"/>
      <c r="B877" s="78"/>
      <c r="C877" s="78"/>
    </row>
    <row r="878">
      <c r="A878" s="78"/>
      <c r="B878" s="78"/>
      <c r="C878" s="78"/>
    </row>
    <row r="879">
      <c r="A879" s="78"/>
      <c r="B879" s="78"/>
      <c r="C879" s="78"/>
    </row>
    <row r="880">
      <c r="A880" s="78"/>
      <c r="B880" s="78"/>
      <c r="C880" s="78"/>
    </row>
    <row r="881">
      <c r="A881" s="78"/>
      <c r="B881" s="78"/>
      <c r="C881" s="78"/>
    </row>
    <row r="882">
      <c r="A882" s="78"/>
      <c r="B882" s="78"/>
      <c r="C882" s="78"/>
    </row>
    <row r="883">
      <c r="A883" s="78"/>
      <c r="B883" s="78"/>
      <c r="C883" s="78"/>
    </row>
    <row r="884">
      <c r="A884" s="78"/>
      <c r="B884" s="78"/>
      <c r="C884" s="78"/>
    </row>
    <row r="885">
      <c r="A885" s="78"/>
      <c r="B885" s="78"/>
      <c r="C885" s="78"/>
    </row>
    <row r="886">
      <c r="A886" s="78"/>
      <c r="B886" s="78"/>
      <c r="C886" s="78"/>
    </row>
    <row r="887">
      <c r="A887" s="78"/>
      <c r="B887" s="78"/>
      <c r="C887" s="78"/>
    </row>
    <row r="888">
      <c r="A888" s="78"/>
      <c r="B888" s="78"/>
      <c r="C888" s="78"/>
    </row>
    <row r="889">
      <c r="A889" s="78"/>
      <c r="B889" s="78"/>
      <c r="C889" s="78"/>
    </row>
    <row r="890">
      <c r="A890" s="78"/>
      <c r="B890" s="78"/>
      <c r="C890" s="78"/>
    </row>
    <row r="891">
      <c r="A891" s="78"/>
      <c r="B891" s="78"/>
      <c r="C891" s="78"/>
    </row>
    <row r="892">
      <c r="A892" s="78"/>
      <c r="B892" s="78"/>
      <c r="C892" s="78"/>
    </row>
    <row r="893">
      <c r="A893" s="78"/>
      <c r="B893" s="78"/>
      <c r="C893" s="78"/>
    </row>
    <row r="894">
      <c r="A894" s="78"/>
      <c r="B894" s="78"/>
      <c r="C894" s="78"/>
    </row>
    <row r="895">
      <c r="A895" s="78"/>
      <c r="B895" s="78"/>
      <c r="C895" s="78"/>
    </row>
    <row r="896">
      <c r="A896" s="78"/>
      <c r="B896" s="78"/>
      <c r="C896" s="78"/>
    </row>
    <row r="897">
      <c r="A897" s="78"/>
      <c r="B897" s="78"/>
      <c r="C897" s="78"/>
    </row>
    <row r="898">
      <c r="A898" s="78"/>
      <c r="B898" s="78"/>
      <c r="C898" s="78"/>
    </row>
    <row r="899">
      <c r="A899" s="78"/>
      <c r="B899" s="78"/>
      <c r="C899" s="78"/>
    </row>
    <row r="900">
      <c r="A900" s="78"/>
      <c r="B900" s="78"/>
      <c r="C900" s="78"/>
    </row>
    <row r="901">
      <c r="A901" s="78"/>
      <c r="B901" s="78"/>
      <c r="C901" s="78"/>
    </row>
    <row r="902">
      <c r="A902" s="78"/>
      <c r="B902" s="78"/>
      <c r="C902" s="78"/>
    </row>
    <row r="903">
      <c r="A903" s="78"/>
      <c r="B903" s="78"/>
      <c r="C903" s="78"/>
    </row>
    <row r="904">
      <c r="A904" s="78"/>
      <c r="B904" s="78"/>
      <c r="C904" s="78"/>
    </row>
    <row r="905">
      <c r="A905" s="78"/>
      <c r="B905" s="78"/>
      <c r="C905" s="78"/>
    </row>
    <row r="906">
      <c r="A906" s="78"/>
      <c r="B906" s="78"/>
      <c r="C906" s="78"/>
    </row>
    <row r="907">
      <c r="A907" s="78"/>
      <c r="B907" s="78"/>
      <c r="C907" s="78"/>
    </row>
    <row r="908">
      <c r="A908" s="78"/>
      <c r="B908" s="78"/>
      <c r="C908" s="78"/>
    </row>
    <row r="909">
      <c r="A909" s="78"/>
      <c r="B909" s="78"/>
      <c r="C909" s="78"/>
    </row>
    <row r="910">
      <c r="A910" s="78"/>
      <c r="B910" s="78"/>
      <c r="C910" s="78"/>
    </row>
    <row r="911">
      <c r="A911" s="78"/>
      <c r="B911" s="78"/>
      <c r="C911" s="78"/>
    </row>
    <row r="912">
      <c r="A912" s="78"/>
      <c r="B912" s="78"/>
      <c r="C912" s="78"/>
    </row>
    <row r="913">
      <c r="A913" s="78"/>
      <c r="B913" s="78"/>
      <c r="C913" s="78"/>
    </row>
    <row r="914">
      <c r="A914" s="78"/>
      <c r="B914" s="78"/>
      <c r="C914" s="78"/>
    </row>
    <row r="915">
      <c r="A915" s="78"/>
      <c r="B915" s="78"/>
      <c r="C915" s="78"/>
    </row>
    <row r="916">
      <c r="A916" s="78"/>
      <c r="B916" s="78"/>
      <c r="C916" s="78"/>
    </row>
    <row r="917">
      <c r="A917" s="78"/>
      <c r="B917" s="78"/>
      <c r="C917" s="78"/>
    </row>
    <row r="918">
      <c r="A918" s="78"/>
      <c r="B918" s="78"/>
      <c r="C918" s="78"/>
    </row>
    <row r="919">
      <c r="A919" s="78"/>
      <c r="B919" s="78"/>
      <c r="C919" s="78"/>
    </row>
    <row r="920">
      <c r="A920" s="78"/>
      <c r="B920" s="78"/>
      <c r="C920" s="78"/>
    </row>
    <row r="921">
      <c r="A921" s="78"/>
      <c r="B921" s="78"/>
      <c r="C921" s="78"/>
    </row>
    <row r="922">
      <c r="A922" s="78"/>
      <c r="B922" s="78"/>
      <c r="C922" s="78"/>
    </row>
    <row r="923">
      <c r="A923" s="78"/>
      <c r="B923" s="78"/>
      <c r="C923" s="78"/>
    </row>
    <row r="924">
      <c r="A924" s="78"/>
      <c r="B924" s="78"/>
      <c r="C924" s="78"/>
    </row>
    <row r="925">
      <c r="A925" s="78"/>
      <c r="B925" s="78"/>
      <c r="C925" s="78"/>
    </row>
    <row r="926">
      <c r="A926" s="78"/>
      <c r="B926" s="78"/>
      <c r="C926" s="78"/>
    </row>
    <row r="927">
      <c r="A927" s="78"/>
      <c r="B927" s="78"/>
      <c r="C927" s="78"/>
    </row>
    <row r="928">
      <c r="A928" s="78"/>
      <c r="B928" s="78"/>
      <c r="C928" s="78"/>
    </row>
    <row r="929">
      <c r="A929" s="78"/>
      <c r="B929" s="78"/>
      <c r="C929" s="78"/>
    </row>
    <row r="930">
      <c r="A930" s="78"/>
      <c r="B930" s="78"/>
      <c r="C930" s="78"/>
    </row>
    <row r="931">
      <c r="A931" s="78"/>
      <c r="B931" s="78"/>
      <c r="C931" s="78"/>
    </row>
    <row r="932">
      <c r="A932" s="78"/>
      <c r="B932" s="78"/>
      <c r="C932" s="78"/>
    </row>
    <row r="933">
      <c r="A933" s="78"/>
      <c r="B933" s="78"/>
      <c r="C933" s="78"/>
    </row>
    <row r="934">
      <c r="A934" s="78"/>
      <c r="B934" s="78"/>
      <c r="C934" s="78"/>
    </row>
    <row r="935">
      <c r="A935" s="78"/>
      <c r="B935" s="78"/>
      <c r="C935" s="78"/>
    </row>
    <row r="936">
      <c r="A936" s="78"/>
      <c r="B936" s="78"/>
      <c r="C936" s="78"/>
    </row>
    <row r="937">
      <c r="A937" s="78"/>
      <c r="B937" s="78"/>
      <c r="C937" s="78"/>
    </row>
    <row r="938">
      <c r="A938" s="78"/>
      <c r="B938" s="78"/>
      <c r="C938" s="78"/>
    </row>
    <row r="939">
      <c r="A939" s="78"/>
      <c r="B939" s="78"/>
      <c r="C939" s="78"/>
    </row>
    <row r="940">
      <c r="A940" s="78"/>
      <c r="B940" s="78"/>
      <c r="C940" s="78"/>
    </row>
    <row r="941">
      <c r="A941" s="78"/>
      <c r="B941" s="78"/>
      <c r="C941" s="78"/>
    </row>
    <row r="942">
      <c r="A942" s="78"/>
      <c r="B942" s="78"/>
      <c r="C942" s="78"/>
    </row>
    <row r="943">
      <c r="A943" s="78"/>
      <c r="B943" s="78"/>
      <c r="C943" s="78"/>
    </row>
    <row r="944">
      <c r="A944" s="78"/>
      <c r="B944" s="78"/>
      <c r="C944" s="78"/>
    </row>
    <row r="945">
      <c r="A945" s="78"/>
      <c r="B945" s="78"/>
      <c r="C945" s="78"/>
    </row>
    <row r="946">
      <c r="A946" s="78"/>
      <c r="B946" s="78"/>
      <c r="C946" s="78"/>
    </row>
    <row r="947">
      <c r="A947" s="78"/>
      <c r="B947" s="78"/>
      <c r="C947" s="78"/>
    </row>
    <row r="948">
      <c r="A948" s="78"/>
      <c r="B948" s="78"/>
      <c r="C948" s="78"/>
    </row>
    <row r="949">
      <c r="A949" s="78"/>
      <c r="B949" s="78"/>
      <c r="C949" s="78"/>
    </row>
    <row r="950">
      <c r="A950" s="78"/>
      <c r="B950" s="78"/>
      <c r="C950" s="78"/>
    </row>
    <row r="951">
      <c r="A951" s="78"/>
      <c r="B951" s="78"/>
      <c r="C951" s="78"/>
    </row>
    <row r="952">
      <c r="A952" s="78"/>
      <c r="B952" s="78"/>
      <c r="C952" s="78"/>
    </row>
    <row r="953">
      <c r="A953" s="78"/>
      <c r="B953" s="78"/>
      <c r="C953" s="78"/>
    </row>
    <row r="954">
      <c r="A954" s="78"/>
      <c r="B954" s="78"/>
      <c r="C954" s="78"/>
    </row>
    <row r="955">
      <c r="A955" s="78"/>
      <c r="B955" s="78"/>
      <c r="C955" s="78"/>
    </row>
    <row r="956">
      <c r="A956" s="78"/>
      <c r="B956" s="78"/>
      <c r="C956" s="78"/>
    </row>
    <row r="957">
      <c r="A957" s="78"/>
      <c r="B957" s="78"/>
      <c r="C957" s="78"/>
    </row>
    <row r="958">
      <c r="A958" s="78"/>
      <c r="B958" s="78"/>
      <c r="C958" s="78"/>
    </row>
    <row r="959">
      <c r="A959" s="78"/>
      <c r="B959" s="78"/>
      <c r="C959" s="78"/>
    </row>
    <row r="960">
      <c r="A960" s="78"/>
      <c r="B960" s="78"/>
      <c r="C960" s="78"/>
    </row>
    <row r="961">
      <c r="A961" s="78"/>
      <c r="B961" s="78"/>
      <c r="C961" s="78"/>
    </row>
    <row r="962">
      <c r="A962" s="78"/>
      <c r="B962" s="78"/>
      <c r="C962" s="78"/>
    </row>
    <row r="963">
      <c r="A963" s="78"/>
      <c r="B963" s="78"/>
      <c r="C963" s="78"/>
    </row>
    <row r="964">
      <c r="A964" s="78"/>
      <c r="B964" s="78"/>
      <c r="C964" s="78"/>
    </row>
    <row r="965">
      <c r="A965" s="78"/>
      <c r="B965" s="78"/>
      <c r="C965" s="78"/>
    </row>
    <row r="966">
      <c r="A966" s="78"/>
      <c r="B966" s="78"/>
      <c r="C966" s="78"/>
    </row>
    <row r="967">
      <c r="A967" s="78"/>
      <c r="B967" s="78"/>
      <c r="C967" s="78"/>
    </row>
    <row r="968">
      <c r="A968" s="78"/>
      <c r="B968" s="78"/>
      <c r="C968" s="78"/>
    </row>
    <row r="969">
      <c r="A969" s="78"/>
      <c r="B969" s="78"/>
      <c r="C969" s="78"/>
    </row>
    <row r="970">
      <c r="A970" s="78"/>
      <c r="B970" s="78"/>
      <c r="C970" s="78"/>
    </row>
    <row r="971">
      <c r="A971" s="78"/>
      <c r="B971" s="78"/>
      <c r="C971" s="78"/>
    </row>
    <row r="972">
      <c r="A972" s="78"/>
      <c r="B972" s="78"/>
      <c r="C972" s="78"/>
    </row>
    <row r="973">
      <c r="A973" s="78"/>
      <c r="B973" s="78"/>
      <c r="C973" s="78"/>
    </row>
    <row r="974">
      <c r="A974" s="78"/>
      <c r="B974" s="78"/>
      <c r="C974" s="78"/>
    </row>
    <row r="975">
      <c r="A975" s="78"/>
      <c r="B975" s="78"/>
      <c r="C975" s="78"/>
    </row>
    <row r="976">
      <c r="A976" s="78"/>
      <c r="B976" s="78"/>
      <c r="C976" s="78"/>
    </row>
    <row r="977">
      <c r="A977" s="78"/>
      <c r="B977" s="78"/>
      <c r="C977" s="78"/>
    </row>
    <row r="978">
      <c r="A978" s="78"/>
      <c r="B978" s="78"/>
      <c r="C978" s="78"/>
    </row>
    <row r="979">
      <c r="A979" s="78"/>
      <c r="B979" s="78"/>
      <c r="C979" s="78"/>
    </row>
    <row r="980">
      <c r="A980" s="78"/>
      <c r="B980" s="78"/>
      <c r="C980" s="78"/>
    </row>
    <row r="981">
      <c r="A981" s="78"/>
      <c r="B981" s="78"/>
      <c r="C981" s="78"/>
    </row>
    <row r="982">
      <c r="A982" s="78"/>
      <c r="B982" s="78"/>
      <c r="C982" s="78"/>
    </row>
    <row r="983">
      <c r="A983" s="78"/>
      <c r="B983" s="78"/>
      <c r="C983" s="78"/>
    </row>
    <row r="984">
      <c r="A984" s="78"/>
      <c r="B984" s="78"/>
      <c r="C984" s="78"/>
    </row>
    <row r="985">
      <c r="A985" s="78"/>
      <c r="B985" s="78"/>
      <c r="C985" s="78"/>
    </row>
    <row r="986">
      <c r="A986" s="78"/>
      <c r="B986" s="78"/>
      <c r="C986" s="78"/>
    </row>
    <row r="987">
      <c r="A987" s="78"/>
      <c r="B987" s="78"/>
      <c r="C987" s="78"/>
    </row>
    <row r="988">
      <c r="A988" s="78"/>
      <c r="B988" s="78"/>
      <c r="C988" s="78"/>
    </row>
    <row r="989">
      <c r="A989" s="78"/>
      <c r="B989" s="78"/>
      <c r="C989" s="78"/>
    </row>
    <row r="990">
      <c r="A990" s="78"/>
      <c r="B990" s="78"/>
      <c r="C990" s="78"/>
    </row>
    <row r="991">
      <c r="A991" s="78"/>
      <c r="B991" s="78"/>
      <c r="C991" s="78"/>
    </row>
    <row r="992">
      <c r="A992" s="78"/>
      <c r="B992" s="78"/>
      <c r="C992" s="78"/>
    </row>
    <row r="993">
      <c r="A993" s="78"/>
      <c r="B993" s="78"/>
      <c r="C993" s="78"/>
    </row>
    <row r="994">
      <c r="A994" s="78"/>
      <c r="B994" s="78"/>
      <c r="C994" s="78"/>
    </row>
    <row r="995">
      <c r="A995" s="78"/>
      <c r="B995" s="78"/>
      <c r="C995" s="78"/>
    </row>
    <row r="996">
      <c r="A996" s="78"/>
      <c r="B996" s="78"/>
      <c r="C996" s="78"/>
    </row>
    <row r="997">
      <c r="A997" s="78"/>
      <c r="B997" s="78"/>
      <c r="C997" s="78"/>
    </row>
    <row r="998">
      <c r="A998" s="78"/>
      <c r="B998" s="78"/>
      <c r="C998" s="78"/>
    </row>
    <row r="999">
      <c r="A999" s="78"/>
      <c r="B999" s="78"/>
      <c r="C999" s="78"/>
    </row>
    <row r="1000">
      <c r="A1000" s="78"/>
      <c r="B1000" s="78"/>
      <c r="C1000" s="78"/>
    </row>
  </sheetData>
  <mergeCells count="7">
    <mergeCell ref="E20:N20"/>
    <mergeCell ref="E21:N21"/>
    <mergeCell ref="E22:N22"/>
    <mergeCell ref="E23:N23"/>
    <mergeCell ref="E24:N24"/>
    <mergeCell ref="E25:N25"/>
    <mergeCell ref="E26:N2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s>
  <sheetData>
    <row r="1">
      <c r="A1" s="33" t="s">
        <v>0</v>
      </c>
      <c r="B1" s="34" t="str">
        <f>'Diseño Curricular'!B1</f>
        <v>90 - Programacion de Computadoras 1</v>
      </c>
      <c r="I1" s="35"/>
      <c r="J1" s="35"/>
      <c r="K1" s="35"/>
    </row>
    <row r="2">
      <c r="A2" s="35"/>
      <c r="B2" s="35"/>
      <c r="C2" s="35"/>
      <c r="D2" s="35"/>
      <c r="E2" s="35"/>
      <c r="F2" s="35"/>
      <c r="G2" s="35"/>
      <c r="H2" s="35"/>
      <c r="I2" s="35"/>
      <c r="J2" s="35"/>
      <c r="K2" s="35"/>
    </row>
    <row r="3">
      <c r="A3" s="38" t="s">
        <v>158</v>
      </c>
      <c r="H3" s="83">
        <f>SUM(C11,C35,C59)</f>
        <v>40</v>
      </c>
      <c r="I3" s="35"/>
      <c r="J3" s="35"/>
      <c r="K3" s="35"/>
    </row>
    <row r="4">
      <c r="A4" s="35"/>
      <c r="B4" s="35"/>
      <c r="C4" s="35"/>
      <c r="D4" s="35"/>
      <c r="E4" s="35"/>
      <c r="F4" s="35"/>
      <c r="G4" s="35"/>
      <c r="H4" s="35"/>
      <c r="I4" s="35"/>
      <c r="J4" s="35"/>
      <c r="K4" s="35"/>
    </row>
    <row r="5">
      <c r="A5" s="84" t="s">
        <v>159</v>
      </c>
      <c r="B5" s="84"/>
      <c r="C5" s="84"/>
      <c r="D5" s="84"/>
      <c r="E5" s="84"/>
      <c r="F5" s="84"/>
      <c r="G5" s="84"/>
      <c r="H5" s="84"/>
      <c r="I5" s="35"/>
      <c r="J5" s="35"/>
      <c r="K5" s="35"/>
    </row>
    <row r="6">
      <c r="A6" s="35"/>
      <c r="B6" s="35"/>
      <c r="C6" s="35"/>
      <c r="D6" s="35"/>
      <c r="E6" s="35"/>
      <c r="F6" s="35"/>
      <c r="G6" s="35"/>
      <c r="H6" s="35"/>
      <c r="I6" s="35"/>
      <c r="J6" s="35"/>
      <c r="K6" s="35"/>
    </row>
    <row r="7">
      <c r="A7" s="38" t="s">
        <v>160</v>
      </c>
      <c r="B7" s="85" t="s">
        <v>161</v>
      </c>
      <c r="I7" s="35"/>
      <c r="J7" s="35"/>
      <c r="K7" s="35"/>
    </row>
    <row r="8">
      <c r="A8" s="35"/>
      <c r="B8" s="35"/>
      <c r="C8" s="35"/>
      <c r="D8" s="35"/>
      <c r="E8" s="35"/>
      <c r="F8" s="35"/>
      <c r="G8" s="35"/>
      <c r="H8" s="35"/>
      <c r="I8" s="35"/>
      <c r="J8" s="35"/>
      <c r="K8" s="35"/>
    </row>
    <row r="9">
      <c r="A9" s="38" t="s">
        <v>162</v>
      </c>
      <c r="C9" s="85">
        <v>20.0</v>
      </c>
      <c r="I9" s="35"/>
      <c r="J9" s="35"/>
      <c r="K9" s="35"/>
    </row>
    <row r="10">
      <c r="A10" s="35"/>
      <c r="B10" s="35"/>
      <c r="C10" s="35"/>
      <c r="D10" s="35"/>
      <c r="E10" s="35"/>
      <c r="F10" s="35"/>
      <c r="G10" s="35"/>
      <c r="H10" s="35"/>
      <c r="I10" s="35"/>
      <c r="J10" s="35"/>
      <c r="K10" s="35"/>
    </row>
    <row r="11">
      <c r="A11" s="38" t="s">
        <v>163</v>
      </c>
      <c r="C11" s="85">
        <v>15.0</v>
      </c>
      <c r="I11" s="35"/>
      <c r="J11" s="35"/>
      <c r="K11" s="35"/>
    </row>
    <row r="12">
      <c r="A12" s="35"/>
      <c r="B12" s="35"/>
      <c r="C12" s="35"/>
      <c r="D12" s="35"/>
      <c r="E12" s="35"/>
      <c r="F12" s="35"/>
      <c r="G12" s="35"/>
      <c r="H12" s="35"/>
      <c r="I12" s="35"/>
      <c r="J12" s="35"/>
      <c r="K12" s="35"/>
    </row>
    <row r="13">
      <c r="A13" s="38" t="s">
        <v>164</v>
      </c>
      <c r="C13" s="85">
        <v>6.0</v>
      </c>
      <c r="I13" s="35"/>
      <c r="J13" s="35"/>
      <c r="K13" s="35"/>
    </row>
    <row r="14">
      <c r="A14" s="35"/>
      <c r="B14" s="35"/>
      <c r="C14" s="35"/>
      <c r="D14" s="35"/>
      <c r="E14" s="35"/>
      <c r="F14" s="35"/>
      <c r="G14" s="35"/>
      <c r="H14" s="35"/>
      <c r="I14" s="35"/>
      <c r="J14" s="35"/>
      <c r="K14" s="35"/>
    </row>
    <row r="15">
      <c r="A15" s="86" t="s">
        <v>165</v>
      </c>
      <c r="B15" s="87" t="s">
        <v>56</v>
      </c>
      <c r="C15" s="81"/>
      <c r="D15" s="81"/>
      <c r="E15" s="81"/>
      <c r="F15" s="81"/>
      <c r="G15" s="81"/>
      <c r="H15" s="82"/>
      <c r="I15" s="35"/>
      <c r="J15" s="35"/>
      <c r="K15" s="35"/>
    </row>
    <row r="16">
      <c r="B16" s="87" t="s">
        <v>10</v>
      </c>
      <c r="C16" s="81"/>
      <c r="D16" s="81"/>
      <c r="E16" s="81"/>
      <c r="F16" s="81"/>
      <c r="G16" s="81"/>
      <c r="H16" s="82"/>
      <c r="I16" s="35"/>
      <c r="J16" s="35"/>
      <c r="K16" s="35"/>
    </row>
    <row r="17">
      <c r="B17" s="87" t="s">
        <v>21</v>
      </c>
      <c r="C17" s="81"/>
      <c r="D17" s="81"/>
      <c r="E17" s="81"/>
      <c r="F17" s="81"/>
      <c r="G17" s="81"/>
      <c r="H17" s="82"/>
      <c r="I17" s="35"/>
      <c r="J17" s="35"/>
      <c r="K17" s="35"/>
    </row>
    <row r="18">
      <c r="B18" s="87" t="s">
        <v>82</v>
      </c>
      <c r="C18" s="81"/>
      <c r="D18" s="81"/>
      <c r="E18" s="81"/>
      <c r="F18" s="81"/>
      <c r="G18" s="81"/>
      <c r="H18" s="82"/>
      <c r="I18" s="35"/>
      <c r="J18" s="35"/>
      <c r="K18" s="35"/>
    </row>
    <row r="19">
      <c r="B19" s="88"/>
      <c r="C19" s="81"/>
      <c r="D19" s="81"/>
      <c r="E19" s="81"/>
      <c r="F19" s="81"/>
      <c r="G19" s="81"/>
      <c r="H19" s="82"/>
      <c r="I19" s="35"/>
      <c r="J19" s="35"/>
      <c r="K19" s="35"/>
    </row>
    <row r="20">
      <c r="B20" s="88"/>
      <c r="C20" s="81"/>
      <c r="D20" s="81"/>
      <c r="E20" s="81"/>
      <c r="F20" s="81"/>
      <c r="G20" s="81"/>
      <c r="H20" s="82"/>
      <c r="I20" s="35"/>
      <c r="J20" s="35"/>
      <c r="K20" s="35"/>
    </row>
    <row r="21">
      <c r="B21" s="88"/>
      <c r="C21" s="81"/>
      <c r="D21" s="81"/>
      <c r="E21" s="81"/>
      <c r="F21" s="81"/>
      <c r="G21" s="81"/>
      <c r="H21" s="82"/>
      <c r="I21" s="35"/>
      <c r="J21" s="35"/>
      <c r="K21" s="35"/>
    </row>
    <row r="22">
      <c r="A22" s="35"/>
      <c r="B22" s="35"/>
      <c r="C22" s="35"/>
      <c r="D22" s="35"/>
      <c r="E22" s="35"/>
      <c r="F22" s="35"/>
      <c r="G22" s="35"/>
      <c r="H22" s="35"/>
      <c r="I22" s="35"/>
      <c r="J22" s="35"/>
      <c r="K22" s="35"/>
    </row>
    <row r="23">
      <c r="A23" s="35"/>
      <c r="B23" s="35"/>
      <c r="C23" s="35"/>
      <c r="D23" s="35"/>
      <c r="E23" s="35"/>
      <c r="F23" s="35"/>
      <c r="G23" s="35"/>
      <c r="H23" s="35"/>
      <c r="I23" s="35"/>
      <c r="J23" s="35"/>
      <c r="K23" s="35"/>
    </row>
    <row r="24">
      <c r="A24" s="35"/>
      <c r="B24" s="35"/>
      <c r="C24" s="35"/>
      <c r="D24" s="35"/>
      <c r="E24" s="35"/>
      <c r="F24" s="35"/>
      <c r="G24" s="35"/>
      <c r="H24" s="35"/>
      <c r="I24" s="35"/>
      <c r="J24" s="35"/>
      <c r="K24" s="35"/>
    </row>
    <row r="25">
      <c r="A25" s="89" t="s">
        <v>166</v>
      </c>
      <c r="B25" s="35"/>
      <c r="C25" s="35"/>
      <c r="D25" s="35"/>
      <c r="E25" s="35"/>
      <c r="F25" s="35"/>
      <c r="G25" s="35"/>
      <c r="H25" s="35"/>
      <c r="I25" s="35"/>
      <c r="J25" s="35"/>
      <c r="K25" s="35"/>
    </row>
    <row r="26" ht="43.5" customHeight="1">
      <c r="A26" s="90" t="s">
        <v>167</v>
      </c>
      <c r="B26" s="81"/>
      <c r="C26" s="81"/>
      <c r="D26" s="81"/>
      <c r="E26" s="81"/>
      <c r="F26" s="81"/>
      <c r="G26" s="81"/>
      <c r="H26" s="82"/>
      <c r="I26" s="35"/>
      <c r="J26" s="35"/>
      <c r="K26" s="35"/>
    </row>
    <row r="27">
      <c r="A27" s="35"/>
      <c r="B27" s="35"/>
      <c r="C27" s="35"/>
      <c r="D27" s="35"/>
      <c r="E27" s="35"/>
      <c r="F27" s="35"/>
      <c r="G27" s="35"/>
      <c r="H27" s="35"/>
      <c r="I27" s="35"/>
      <c r="J27" s="35"/>
      <c r="K27" s="35"/>
    </row>
    <row r="28">
      <c r="A28" s="35"/>
      <c r="B28" s="35"/>
      <c r="C28" s="35"/>
      <c r="D28" s="35"/>
      <c r="E28" s="35"/>
      <c r="F28" s="35"/>
      <c r="G28" s="35"/>
      <c r="H28" s="35"/>
      <c r="I28" s="35"/>
      <c r="J28" s="35"/>
      <c r="K28" s="35"/>
    </row>
    <row r="29">
      <c r="A29" s="84" t="s">
        <v>168</v>
      </c>
      <c r="B29" s="84"/>
      <c r="C29" s="84"/>
      <c r="D29" s="84"/>
      <c r="E29" s="84"/>
      <c r="F29" s="84"/>
      <c r="G29" s="84"/>
      <c r="H29" s="84"/>
      <c r="I29" s="35"/>
      <c r="J29" s="35"/>
      <c r="K29" s="35"/>
    </row>
    <row r="30">
      <c r="A30" s="35"/>
      <c r="B30" s="35"/>
      <c r="C30" s="35"/>
      <c r="D30" s="35"/>
      <c r="E30" s="35"/>
      <c r="F30" s="35"/>
      <c r="G30" s="35"/>
      <c r="H30" s="35"/>
      <c r="I30" s="35"/>
      <c r="J30" s="35"/>
      <c r="K30" s="35"/>
    </row>
    <row r="31">
      <c r="A31" s="38" t="s">
        <v>160</v>
      </c>
      <c r="B31" s="85" t="s">
        <v>169</v>
      </c>
      <c r="I31" s="35"/>
      <c r="J31" s="35"/>
      <c r="K31" s="35"/>
    </row>
    <row r="32">
      <c r="A32" s="35"/>
      <c r="B32" s="35"/>
      <c r="C32" s="35"/>
      <c r="D32" s="35"/>
      <c r="E32" s="35"/>
      <c r="F32" s="35"/>
      <c r="G32" s="35"/>
      <c r="H32" s="91"/>
      <c r="I32" s="35"/>
      <c r="J32" s="35"/>
      <c r="K32" s="35"/>
    </row>
    <row r="33">
      <c r="A33" s="38" t="s">
        <v>162</v>
      </c>
      <c r="C33" s="85">
        <v>20.0</v>
      </c>
      <c r="I33" s="35"/>
      <c r="J33" s="35"/>
      <c r="K33" s="35"/>
    </row>
    <row r="34">
      <c r="A34" s="35"/>
      <c r="B34" s="35"/>
      <c r="C34" s="35"/>
      <c r="D34" s="35"/>
      <c r="E34" s="35"/>
      <c r="F34" s="35"/>
      <c r="G34" s="35"/>
      <c r="H34" s="35"/>
      <c r="I34" s="35"/>
      <c r="J34" s="35"/>
      <c r="K34" s="35"/>
    </row>
    <row r="35">
      <c r="A35" s="38" t="s">
        <v>163</v>
      </c>
      <c r="C35" s="85">
        <v>25.0</v>
      </c>
      <c r="I35" s="35"/>
      <c r="J35" s="35"/>
      <c r="K35" s="35"/>
    </row>
    <row r="36">
      <c r="A36" s="35"/>
      <c r="B36" s="35"/>
      <c r="C36" s="35"/>
      <c r="D36" s="35"/>
      <c r="E36" s="35"/>
      <c r="F36" s="35"/>
      <c r="G36" s="35"/>
      <c r="H36" s="35"/>
      <c r="I36" s="35"/>
      <c r="J36" s="35"/>
      <c r="K36" s="35"/>
    </row>
    <row r="37">
      <c r="A37" s="38" t="s">
        <v>164</v>
      </c>
      <c r="C37" s="85">
        <v>9.0</v>
      </c>
      <c r="I37" s="35"/>
      <c r="J37" s="35"/>
      <c r="K37" s="35"/>
    </row>
    <row r="38">
      <c r="A38" s="35"/>
      <c r="B38" s="35"/>
      <c r="C38" s="35"/>
      <c r="D38" s="35"/>
      <c r="E38" s="35"/>
      <c r="F38" s="35"/>
      <c r="G38" s="35"/>
      <c r="H38" s="35"/>
      <c r="I38" s="35"/>
      <c r="J38" s="35"/>
      <c r="K38" s="35"/>
    </row>
    <row r="39">
      <c r="A39" s="86" t="s">
        <v>165</v>
      </c>
      <c r="B39" s="87" t="s">
        <v>10</v>
      </c>
      <c r="C39" s="81"/>
      <c r="D39" s="81"/>
      <c r="E39" s="81"/>
      <c r="F39" s="81"/>
      <c r="G39" s="81"/>
      <c r="H39" s="82"/>
      <c r="I39" s="35"/>
      <c r="J39" s="35"/>
      <c r="K39" s="35"/>
    </row>
    <row r="40">
      <c r="B40" s="87" t="s">
        <v>82</v>
      </c>
      <c r="C40" s="81"/>
      <c r="D40" s="81"/>
      <c r="E40" s="81"/>
      <c r="F40" s="81"/>
      <c r="G40" s="81"/>
      <c r="H40" s="82"/>
      <c r="I40" s="35"/>
      <c r="J40" s="35"/>
      <c r="K40" s="35"/>
    </row>
    <row r="41">
      <c r="B41" s="87" t="s">
        <v>47</v>
      </c>
      <c r="C41" s="81"/>
      <c r="D41" s="81"/>
      <c r="E41" s="81"/>
      <c r="F41" s="81"/>
      <c r="G41" s="81"/>
      <c r="H41" s="82"/>
      <c r="I41" s="35"/>
      <c r="J41" s="35"/>
      <c r="K41" s="35"/>
    </row>
    <row r="42">
      <c r="B42" s="87" t="s">
        <v>56</v>
      </c>
      <c r="C42" s="81"/>
      <c r="D42" s="81"/>
      <c r="E42" s="81"/>
      <c r="F42" s="81"/>
      <c r="G42" s="81"/>
      <c r="H42" s="82"/>
      <c r="I42" s="35"/>
      <c r="J42" s="35"/>
      <c r="K42" s="35"/>
    </row>
    <row r="43">
      <c r="B43" s="88"/>
      <c r="C43" s="81"/>
      <c r="D43" s="81"/>
      <c r="E43" s="81"/>
      <c r="F43" s="81"/>
      <c r="G43" s="81"/>
      <c r="H43" s="82"/>
      <c r="I43" s="35"/>
      <c r="J43" s="35"/>
      <c r="K43" s="35"/>
    </row>
    <row r="44">
      <c r="B44" s="88"/>
      <c r="C44" s="81"/>
      <c r="D44" s="81"/>
      <c r="E44" s="81"/>
      <c r="F44" s="81"/>
      <c r="G44" s="81"/>
      <c r="H44" s="82"/>
      <c r="I44" s="35"/>
      <c r="J44" s="35"/>
      <c r="K44" s="35"/>
    </row>
    <row r="45">
      <c r="B45" s="88"/>
      <c r="C45" s="81"/>
      <c r="D45" s="81"/>
      <c r="E45" s="81"/>
      <c r="F45" s="81"/>
      <c r="G45" s="81"/>
      <c r="H45" s="82"/>
      <c r="I45" s="35"/>
      <c r="J45" s="35"/>
      <c r="K45" s="35"/>
    </row>
    <row r="46">
      <c r="A46" s="35"/>
      <c r="B46" s="35"/>
      <c r="C46" s="35"/>
      <c r="D46" s="35"/>
      <c r="E46" s="35"/>
      <c r="F46" s="35"/>
      <c r="G46" s="35"/>
      <c r="H46" s="35"/>
      <c r="I46" s="35"/>
      <c r="J46" s="35"/>
      <c r="K46" s="35"/>
    </row>
    <row r="47">
      <c r="A47" s="35"/>
      <c r="B47" s="35"/>
      <c r="C47" s="35"/>
      <c r="D47" s="35"/>
      <c r="E47" s="35"/>
      <c r="F47" s="35"/>
      <c r="G47" s="35"/>
      <c r="H47" s="35"/>
      <c r="I47" s="35"/>
      <c r="J47" s="35"/>
      <c r="K47" s="35"/>
    </row>
    <row r="48">
      <c r="A48" s="35"/>
      <c r="B48" s="35"/>
      <c r="C48" s="35"/>
      <c r="D48" s="35"/>
      <c r="E48" s="35"/>
      <c r="F48" s="35"/>
      <c r="G48" s="35"/>
      <c r="H48" s="35"/>
      <c r="I48" s="35"/>
      <c r="J48" s="35"/>
      <c r="K48" s="35"/>
    </row>
    <row r="49">
      <c r="A49" s="89" t="s">
        <v>166</v>
      </c>
      <c r="B49" s="35"/>
      <c r="C49" s="35"/>
      <c r="D49" s="35"/>
      <c r="E49" s="35"/>
      <c r="F49" s="35"/>
      <c r="G49" s="35"/>
      <c r="H49" s="35"/>
      <c r="I49" s="35"/>
      <c r="J49" s="35"/>
      <c r="K49" s="35"/>
    </row>
    <row r="50" ht="36.0" customHeight="1">
      <c r="A50" s="90" t="s">
        <v>170</v>
      </c>
      <c r="B50" s="81"/>
      <c r="C50" s="81"/>
      <c r="D50" s="81"/>
      <c r="E50" s="81"/>
      <c r="F50" s="81"/>
      <c r="G50" s="81"/>
      <c r="H50" s="82"/>
      <c r="I50" s="35"/>
      <c r="J50" s="35"/>
      <c r="K50" s="35"/>
    </row>
    <row r="51">
      <c r="A51" s="35"/>
      <c r="B51" s="35"/>
      <c r="C51" s="35"/>
      <c r="D51" s="35"/>
      <c r="E51" s="35"/>
      <c r="F51" s="35"/>
      <c r="G51" s="35"/>
      <c r="H51" s="35"/>
      <c r="I51" s="35"/>
      <c r="J51" s="35"/>
      <c r="K51" s="35"/>
    </row>
    <row r="52">
      <c r="A52" s="35"/>
      <c r="B52" s="35"/>
      <c r="C52" s="35"/>
      <c r="D52" s="35"/>
      <c r="E52" s="35"/>
      <c r="F52" s="35"/>
      <c r="G52" s="35"/>
      <c r="H52" s="35"/>
      <c r="I52" s="35"/>
      <c r="J52" s="35"/>
      <c r="K52" s="35"/>
    </row>
    <row r="53">
      <c r="A53" s="84" t="s">
        <v>171</v>
      </c>
      <c r="B53" s="84"/>
      <c r="C53" s="84"/>
      <c r="D53" s="84"/>
      <c r="E53" s="84"/>
      <c r="F53" s="84"/>
      <c r="G53" s="84"/>
      <c r="H53" s="84"/>
      <c r="I53" s="35"/>
      <c r="J53" s="35"/>
      <c r="K53" s="35"/>
    </row>
    <row r="54">
      <c r="A54" s="35"/>
      <c r="B54" s="35"/>
      <c r="C54" s="35"/>
      <c r="D54" s="35"/>
      <c r="E54" s="35"/>
      <c r="F54" s="35"/>
      <c r="G54" s="35"/>
      <c r="H54" s="35"/>
      <c r="I54" s="35"/>
      <c r="J54" s="35"/>
      <c r="K54" s="35"/>
    </row>
    <row r="55">
      <c r="A55" s="38" t="s">
        <v>160</v>
      </c>
      <c r="B55" s="92"/>
      <c r="I55" s="35"/>
      <c r="J55" s="35"/>
      <c r="K55" s="35"/>
    </row>
    <row r="56">
      <c r="A56" s="35"/>
      <c r="B56" s="35"/>
      <c r="C56" s="35"/>
      <c r="D56" s="35"/>
      <c r="E56" s="35"/>
      <c r="F56" s="35"/>
      <c r="G56" s="35"/>
      <c r="H56" s="91"/>
      <c r="I56" s="35"/>
      <c r="J56" s="35"/>
      <c r="K56" s="35"/>
    </row>
    <row r="57">
      <c r="A57" s="38" t="s">
        <v>162</v>
      </c>
      <c r="C57" s="92"/>
      <c r="I57" s="35"/>
      <c r="J57" s="35"/>
      <c r="K57" s="35"/>
    </row>
    <row r="58">
      <c r="A58" s="35"/>
      <c r="B58" s="35"/>
      <c r="C58" s="35"/>
      <c r="D58" s="35"/>
      <c r="E58" s="35"/>
      <c r="F58" s="35"/>
      <c r="G58" s="35"/>
      <c r="H58" s="35"/>
      <c r="I58" s="35"/>
      <c r="J58" s="35"/>
      <c r="K58" s="35"/>
    </row>
    <row r="59">
      <c r="A59" s="38" t="s">
        <v>163</v>
      </c>
      <c r="C59" s="92"/>
      <c r="I59" s="35"/>
      <c r="J59" s="35"/>
      <c r="K59" s="35"/>
    </row>
    <row r="60">
      <c r="A60" s="35"/>
      <c r="B60" s="35"/>
      <c r="C60" s="35"/>
      <c r="D60" s="35"/>
      <c r="E60" s="35"/>
      <c r="F60" s="35"/>
      <c r="G60" s="35"/>
      <c r="H60" s="35"/>
      <c r="I60" s="35"/>
      <c r="J60" s="35"/>
      <c r="K60" s="35"/>
    </row>
    <row r="61">
      <c r="A61" s="38" t="s">
        <v>164</v>
      </c>
      <c r="C61" s="92"/>
      <c r="I61" s="35"/>
      <c r="J61" s="35"/>
      <c r="K61" s="35"/>
    </row>
    <row r="62">
      <c r="A62" s="35"/>
      <c r="B62" s="35"/>
      <c r="C62" s="35"/>
      <c r="D62" s="35"/>
      <c r="E62" s="35"/>
      <c r="F62" s="35"/>
      <c r="G62" s="35"/>
      <c r="H62" s="35"/>
      <c r="I62" s="35"/>
      <c r="J62" s="35"/>
      <c r="K62" s="35"/>
    </row>
    <row r="63">
      <c r="A63" s="86" t="s">
        <v>165</v>
      </c>
      <c r="B63" s="88"/>
      <c r="C63" s="81"/>
      <c r="D63" s="81"/>
      <c r="E63" s="81"/>
      <c r="F63" s="81"/>
      <c r="G63" s="81"/>
      <c r="H63" s="82"/>
      <c r="I63" s="35"/>
      <c r="J63" s="35"/>
      <c r="K63" s="35"/>
    </row>
    <row r="64">
      <c r="B64" s="88"/>
      <c r="C64" s="81"/>
      <c r="D64" s="81"/>
      <c r="E64" s="81"/>
      <c r="F64" s="81"/>
      <c r="G64" s="81"/>
      <c r="H64" s="82"/>
      <c r="I64" s="35"/>
      <c r="J64" s="35"/>
      <c r="K64" s="35"/>
    </row>
    <row r="65">
      <c r="B65" s="88"/>
      <c r="C65" s="81"/>
      <c r="D65" s="81"/>
      <c r="E65" s="81"/>
      <c r="F65" s="81"/>
      <c r="G65" s="81"/>
      <c r="H65" s="82"/>
      <c r="I65" s="35"/>
      <c r="J65" s="35"/>
      <c r="K65" s="35"/>
    </row>
    <row r="66">
      <c r="B66" s="88"/>
      <c r="C66" s="81"/>
      <c r="D66" s="81"/>
      <c r="E66" s="81"/>
      <c r="F66" s="81"/>
      <c r="G66" s="81"/>
      <c r="H66" s="82"/>
      <c r="I66" s="35"/>
      <c r="J66" s="35"/>
      <c r="K66" s="35"/>
    </row>
    <row r="67">
      <c r="B67" s="88"/>
      <c r="C67" s="81"/>
      <c r="D67" s="81"/>
      <c r="E67" s="81"/>
      <c r="F67" s="81"/>
      <c r="G67" s="81"/>
      <c r="H67" s="82"/>
      <c r="I67" s="35"/>
      <c r="J67" s="35"/>
      <c r="K67" s="35"/>
    </row>
    <row r="68">
      <c r="B68" s="88"/>
      <c r="C68" s="81"/>
      <c r="D68" s="81"/>
      <c r="E68" s="81"/>
      <c r="F68" s="81"/>
      <c r="G68" s="81"/>
      <c r="H68" s="82"/>
      <c r="I68" s="35"/>
      <c r="J68" s="35"/>
      <c r="K68" s="35"/>
    </row>
    <row r="69">
      <c r="B69" s="88"/>
      <c r="C69" s="81"/>
      <c r="D69" s="81"/>
      <c r="E69" s="81"/>
      <c r="F69" s="81"/>
      <c r="G69" s="81"/>
      <c r="H69" s="82"/>
      <c r="I69" s="35"/>
      <c r="J69" s="35"/>
      <c r="K69" s="35"/>
    </row>
    <row r="70">
      <c r="A70" s="35"/>
      <c r="B70" s="35"/>
      <c r="C70" s="35"/>
      <c r="D70" s="35"/>
      <c r="E70" s="35"/>
      <c r="F70" s="35"/>
      <c r="G70" s="35"/>
      <c r="H70" s="35"/>
      <c r="I70" s="35"/>
      <c r="J70" s="35"/>
      <c r="K70" s="35"/>
    </row>
    <row r="71">
      <c r="A71" s="35"/>
      <c r="B71" s="35"/>
      <c r="C71" s="35"/>
      <c r="D71" s="35"/>
      <c r="E71" s="35"/>
      <c r="F71" s="35"/>
      <c r="G71" s="35"/>
      <c r="H71" s="35"/>
      <c r="I71" s="35"/>
      <c r="J71" s="35"/>
      <c r="K71" s="35"/>
    </row>
    <row r="72">
      <c r="A72" s="35"/>
      <c r="B72" s="35"/>
      <c r="C72" s="35"/>
      <c r="D72" s="35"/>
      <c r="E72" s="35"/>
      <c r="F72" s="35"/>
      <c r="G72" s="35"/>
      <c r="H72" s="35"/>
      <c r="I72" s="35"/>
      <c r="J72" s="35"/>
      <c r="K72" s="35"/>
    </row>
    <row r="73">
      <c r="A73" s="89" t="s">
        <v>166</v>
      </c>
      <c r="B73" s="35"/>
      <c r="C73" s="35"/>
      <c r="D73" s="35"/>
      <c r="E73" s="35"/>
      <c r="F73" s="35"/>
      <c r="G73" s="35"/>
      <c r="H73" s="35"/>
      <c r="I73" s="35"/>
      <c r="J73" s="35"/>
      <c r="K73" s="35"/>
    </row>
    <row r="74">
      <c r="A74" s="93"/>
      <c r="B74" s="81"/>
      <c r="C74" s="81"/>
      <c r="D74" s="81"/>
      <c r="E74" s="81"/>
      <c r="F74" s="81"/>
      <c r="G74" s="81"/>
      <c r="H74" s="82"/>
      <c r="I74" s="35"/>
      <c r="J74" s="35"/>
      <c r="K74" s="35"/>
    </row>
    <row r="75">
      <c r="A75" s="35"/>
      <c r="B75" s="35"/>
      <c r="C75" s="35"/>
      <c r="D75" s="35"/>
      <c r="E75" s="35"/>
      <c r="F75" s="35"/>
      <c r="G75" s="35"/>
      <c r="H75" s="35"/>
      <c r="I75" s="35"/>
      <c r="J75" s="35"/>
      <c r="K75" s="35"/>
    </row>
    <row r="76">
      <c r="A76" s="35"/>
      <c r="B76" s="35"/>
      <c r="C76" s="35"/>
      <c r="D76" s="35"/>
      <c r="E76" s="35"/>
      <c r="F76" s="35"/>
      <c r="G76" s="35"/>
      <c r="H76" s="35"/>
      <c r="I76" s="35"/>
      <c r="J76" s="35"/>
      <c r="K76" s="35"/>
    </row>
    <row r="77">
      <c r="A77" s="35"/>
      <c r="B77" s="35"/>
      <c r="C77" s="35"/>
      <c r="D77" s="35"/>
      <c r="E77" s="35"/>
      <c r="F77" s="35"/>
      <c r="G77" s="35"/>
      <c r="H77" s="35"/>
      <c r="I77" s="35"/>
      <c r="J77" s="35"/>
      <c r="K77" s="35"/>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s>
  <sheetData>
    <row r="1">
      <c r="A1" s="33" t="s">
        <v>0</v>
      </c>
      <c r="B1" s="34" t="str">
        <f>'Diseño Curricular'!B1</f>
        <v>90 - Programacion de Computadoras 1</v>
      </c>
      <c r="I1" s="35"/>
      <c r="J1" s="35"/>
      <c r="K1" s="35"/>
      <c r="L1" s="35"/>
      <c r="M1" s="35"/>
      <c r="N1" s="35"/>
      <c r="O1" s="35"/>
      <c r="P1" s="35"/>
      <c r="Q1" s="35"/>
      <c r="R1" s="35"/>
      <c r="S1" s="35"/>
      <c r="T1" s="35"/>
      <c r="U1" s="35"/>
      <c r="V1" s="35"/>
      <c r="W1" s="35"/>
      <c r="X1" s="35"/>
      <c r="Y1" s="35"/>
    </row>
    <row r="2">
      <c r="A2" s="35"/>
      <c r="B2" s="35"/>
      <c r="C2" s="35"/>
      <c r="D2" s="35"/>
      <c r="E2" s="35"/>
      <c r="F2" s="35"/>
      <c r="G2" s="35"/>
      <c r="H2" s="35"/>
      <c r="I2" s="35"/>
      <c r="J2" s="35"/>
      <c r="K2" s="35"/>
      <c r="L2" s="35"/>
      <c r="M2" s="35"/>
      <c r="N2" s="35"/>
      <c r="O2" s="35"/>
      <c r="P2" s="35"/>
      <c r="Q2" s="35"/>
      <c r="R2" s="35"/>
      <c r="S2" s="35"/>
      <c r="T2" s="35"/>
      <c r="U2" s="35"/>
      <c r="V2" s="35"/>
      <c r="W2" s="35"/>
      <c r="X2" s="35"/>
      <c r="Y2" s="35"/>
    </row>
    <row r="3">
      <c r="A3" s="38" t="s">
        <v>172</v>
      </c>
      <c r="H3" s="83">
        <f>SUM(C11,C35,C59,C83,C107,C131,C155)</f>
        <v>20</v>
      </c>
      <c r="I3" s="35"/>
      <c r="J3" s="35"/>
      <c r="K3" s="35"/>
      <c r="L3" s="35"/>
      <c r="M3" s="35"/>
      <c r="N3" s="35"/>
      <c r="O3" s="35"/>
      <c r="P3" s="35"/>
      <c r="Q3" s="35"/>
      <c r="R3" s="35"/>
      <c r="S3" s="35"/>
      <c r="T3" s="35"/>
      <c r="U3" s="35"/>
      <c r="V3" s="35"/>
      <c r="W3" s="35"/>
      <c r="X3" s="35"/>
      <c r="Y3" s="35"/>
    </row>
    <row r="4">
      <c r="A4" s="35"/>
      <c r="B4" s="35"/>
      <c r="C4" s="35"/>
      <c r="D4" s="35"/>
      <c r="E4" s="35"/>
      <c r="F4" s="35"/>
      <c r="G4" s="35"/>
      <c r="H4" s="35"/>
      <c r="I4" s="35"/>
      <c r="J4" s="35"/>
      <c r="K4" s="35"/>
      <c r="L4" s="35"/>
      <c r="M4" s="35"/>
      <c r="N4" s="35"/>
      <c r="O4" s="35"/>
      <c r="P4" s="35"/>
      <c r="Q4" s="35"/>
      <c r="R4" s="35"/>
      <c r="S4" s="35"/>
      <c r="T4" s="35"/>
      <c r="U4" s="35"/>
      <c r="V4" s="35"/>
      <c r="W4" s="35"/>
      <c r="X4" s="35"/>
      <c r="Y4" s="35"/>
    </row>
    <row r="5">
      <c r="A5" s="84" t="s">
        <v>173</v>
      </c>
      <c r="B5" s="84"/>
      <c r="C5" s="84"/>
      <c r="D5" s="84"/>
      <c r="E5" s="84"/>
      <c r="F5" s="84"/>
      <c r="G5" s="84"/>
      <c r="H5" s="84"/>
      <c r="I5" s="35"/>
      <c r="J5" s="35"/>
      <c r="K5" s="35"/>
      <c r="L5" s="35"/>
      <c r="M5" s="35"/>
      <c r="N5" s="35"/>
      <c r="O5" s="35"/>
      <c r="P5" s="35"/>
      <c r="Q5" s="35"/>
      <c r="R5" s="35"/>
      <c r="S5" s="35"/>
      <c r="T5" s="35"/>
      <c r="U5" s="35"/>
      <c r="V5" s="35"/>
      <c r="W5" s="35"/>
      <c r="X5" s="35"/>
      <c r="Y5" s="35"/>
    </row>
    <row r="6">
      <c r="A6" s="35"/>
      <c r="B6" s="35"/>
      <c r="C6" s="35"/>
      <c r="D6" s="35"/>
      <c r="E6" s="35"/>
      <c r="F6" s="35"/>
      <c r="G6" s="35"/>
      <c r="H6" s="35"/>
      <c r="I6" s="35"/>
      <c r="J6" s="35"/>
      <c r="K6" s="35"/>
      <c r="L6" s="35"/>
      <c r="M6" s="35"/>
      <c r="N6" s="35"/>
      <c r="O6" s="35"/>
      <c r="P6" s="35"/>
      <c r="Q6" s="35"/>
      <c r="R6" s="35"/>
      <c r="S6" s="35"/>
      <c r="T6" s="35"/>
      <c r="U6" s="35"/>
      <c r="V6" s="35"/>
      <c r="W6" s="35"/>
      <c r="X6" s="35"/>
      <c r="Y6" s="35"/>
    </row>
    <row r="7">
      <c r="A7" s="38" t="s">
        <v>160</v>
      </c>
      <c r="B7" s="85" t="s">
        <v>174</v>
      </c>
      <c r="C7" s="92"/>
      <c r="D7" s="92"/>
      <c r="E7" s="92"/>
      <c r="F7" s="92"/>
      <c r="G7" s="92"/>
      <c r="H7" s="92"/>
      <c r="I7" s="35"/>
      <c r="J7" s="35"/>
      <c r="K7" s="35"/>
      <c r="L7" s="35"/>
      <c r="M7" s="35"/>
      <c r="N7" s="35"/>
      <c r="O7" s="35"/>
      <c r="P7" s="35"/>
      <c r="Q7" s="35"/>
      <c r="R7" s="35"/>
      <c r="S7" s="35"/>
      <c r="T7" s="35"/>
      <c r="U7" s="35"/>
      <c r="V7" s="35"/>
      <c r="W7" s="35"/>
      <c r="X7" s="35"/>
      <c r="Y7" s="35"/>
    </row>
    <row r="8">
      <c r="A8" s="35"/>
      <c r="B8" s="35"/>
      <c r="C8" s="35"/>
      <c r="D8" s="35"/>
      <c r="E8" s="35"/>
      <c r="F8" s="35"/>
      <c r="G8" s="35"/>
      <c r="H8" s="35"/>
      <c r="I8" s="35"/>
      <c r="J8" s="35"/>
      <c r="K8" s="35"/>
      <c r="L8" s="35"/>
      <c r="M8" s="35"/>
      <c r="N8" s="35"/>
      <c r="O8" s="35"/>
      <c r="P8" s="35"/>
      <c r="Q8" s="35"/>
      <c r="R8" s="35"/>
      <c r="S8" s="35"/>
      <c r="T8" s="35"/>
      <c r="U8" s="35"/>
      <c r="V8" s="35"/>
      <c r="W8" s="35"/>
      <c r="X8" s="35"/>
      <c r="Y8" s="35"/>
    </row>
    <row r="9">
      <c r="A9" s="38" t="s">
        <v>162</v>
      </c>
      <c r="C9" s="85">
        <v>12.0</v>
      </c>
      <c r="I9" s="35"/>
      <c r="J9" s="35"/>
      <c r="K9" s="35"/>
      <c r="L9" s="35"/>
      <c r="M9" s="35"/>
      <c r="N9" s="35"/>
      <c r="O9" s="35"/>
      <c r="P9" s="35"/>
      <c r="Q9" s="35"/>
      <c r="R9" s="35"/>
      <c r="S9" s="35"/>
      <c r="T9" s="35"/>
      <c r="U9" s="35"/>
      <c r="V9" s="35"/>
      <c r="W9" s="35"/>
      <c r="X9" s="35"/>
      <c r="Y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row>
    <row r="11">
      <c r="A11" s="38" t="s">
        <v>163</v>
      </c>
      <c r="C11" s="85">
        <v>20.0</v>
      </c>
      <c r="I11" s="35"/>
      <c r="J11" s="35"/>
      <c r="K11" s="35"/>
      <c r="L11" s="35"/>
      <c r="M11" s="35"/>
      <c r="N11" s="35"/>
      <c r="O11" s="35"/>
      <c r="P11" s="35"/>
      <c r="Q11" s="35"/>
      <c r="R11" s="35"/>
      <c r="S11" s="35"/>
      <c r="T11" s="35"/>
      <c r="U11" s="35"/>
      <c r="V11" s="35"/>
      <c r="W11" s="35"/>
      <c r="X11" s="35"/>
      <c r="Y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row>
    <row r="13">
      <c r="A13" s="38" t="s">
        <v>175</v>
      </c>
      <c r="C13" s="85">
        <v>3.0</v>
      </c>
      <c r="I13" s="35"/>
      <c r="J13" s="35"/>
      <c r="K13" s="35"/>
      <c r="L13" s="35"/>
      <c r="M13" s="35"/>
      <c r="N13" s="35"/>
      <c r="O13" s="35"/>
      <c r="P13" s="35"/>
      <c r="Q13" s="35"/>
      <c r="R13" s="35"/>
      <c r="S13" s="35"/>
      <c r="T13" s="35"/>
      <c r="U13" s="35"/>
      <c r="V13" s="35"/>
      <c r="W13" s="35"/>
      <c r="X13" s="35"/>
      <c r="Y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row>
    <row r="15">
      <c r="A15" s="86" t="s">
        <v>165</v>
      </c>
      <c r="B15" s="87" t="s">
        <v>10</v>
      </c>
      <c r="C15" s="81"/>
      <c r="D15" s="81"/>
      <c r="E15" s="81"/>
      <c r="F15" s="81"/>
      <c r="G15" s="81"/>
      <c r="H15" s="82"/>
      <c r="I15" s="35"/>
      <c r="J15" s="35"/>
      <c r="K15" s="35"/>
      <c r="L15" s="35"/>
      <c r="M15" s="35"/>
      <c r="N15" s="35"/>
      <c r="O15" s="35"/>
      <c r="P15" s="35"/>
      <c r="Q15" s="35"/>
      <c r="R15" s="35"/>
      <c r="S15" s="35"/>
      <c r="T15" s="35"/>
      <c r="U15" s="35"/>
      <c r="V15" s="35"/>
      <c r="W15" s="35"/>
      <c r="X15" s="35"/>
      <c r="Y15" s="35"/>
    </row>
    <row r="16">
      <c r="B16" s="87" t="s">
        <v>21</v>
      </c>
      <c r="C16" s="81"/>
      <c r="D16" s="81"/>
      <c r="E16" s="81"/>
      <c r="F16" s="81"/>
      <c r="G16" s="81"/>
      <c r="H16" s="82"/>
      <c r="I16" s="35"/>
      <c r="J16" s="35"/>
      <c r="K16" s="35"/>
      <c r="L16" s="35"/>
      <c r="M16" s="35"/>
      <c r="N16" s="35"/>
      <c r="O16" s="35"/>
      <c r="P16" s="35"/>
      <c r="Q16" s="35"/>
      <c r="R16" s="35"/>
      <c r="S16" s="35"/>
      <c r="T16" s="35"/>
      <c r="U16" s="35"/>
      <c r="V16" s="35"/>
      <c r="W16" s="35"/>
      <c r="X16" s="35"/>
      <c r="Y16" s="35"/>
    </row>
    <row r="17">
      <c r="B17" s="87" t="s">
        <v>82</v>
      </c>
      <c r="C17" s="81"/>
      <c r="D17" s="81"/>
      <c r="E17" s="81"/>
      <c r="F17" s="81"/>
      <c r="G17" s="81"/>
      <c r="H17" s="82"/>
      <c r="I17" s="35"/>
      <c r="J17" s="35"/>
      <c r="K17" s="35"/>
      <c r="L17" s="35"/>
      <c r="M17" s="35"/>
      <c r="N17" s="35"/>
      <c r="O17" s="35"/>
      <c r="P17" s="35"/>
      <c r="Q17" s="35"/>
      <c r="R17" s="35"/>
      <c r="S17" s="35"/>
      <c r="T17" s="35"/>
      <c r="U17" s="35"/>
      <c r="V17" s="35"/>
      <c r="W17" s="35"/>
      <c r="X17" s="35"/>
      <c r="Y17" s="35"/>
    </row>
    <row r="18">
      <c r="B18" s="88"/>
      <c r="C18" s="81"/>
      <c r="D18" s="81"/>
      <c r="E18" s="81"/>
      <c r="F18" s="81"/>
      <c r="G18" s="81"/>
      <c r="H18" s="82"/>
      <c r="I18" s="35"/>
      <c r="J18" s="35"/>
      <c r="K18" s="35"/>
      <c r="L18" s="35"/>
      <c r="M18" s="35"/>
      <c r="N18" s="35"/>
      <c r="O18" s="35"/>
      <c r="P18" s="35"/>
      <c r="Q18" s="35"/>
      <c r="R18" s="35"/>
      <c r="S18" s="35"/>
      <c r="T18" s="35"/>
      <c r="U18" s="35"/>
      <c r="V18" s="35"/>
      <c r="W18" s="35"/>
      <c r="X18" s="35"/>
      <c r="Y18" s="35"/>
    </row>
    <row r="19">
      <c r="B19" s="88"/>
      <c r="C19" s="81"/>
      <c r="D19" s="81"/>
      <c r="E19" s="81"/>
      <c r="F19" s="81"/>
      <c r="G19" s="81"/>
      <c r="H19" s="82"/>
      <c r="I19" s="35"/>
      <c r="J19" s="35"/>
      <c r="K19" s="35"/>
      <c r="L19" s="35"/>
      <c r="M19" s="35"/>
      <c r="N19" s="35"/>
      <c r="O19" s="35"/>
      <c r="P19" s="35"/>
      <c r="Q19" s="35"/>
      <c r="R19" s="35"/>
      <c r="S19" s="35"/>
      <c r="T19" s="35"/>
      <c r="U19" s="35"/>
      <c r="V19" s="35"/>
      <c r="W19" s="35"/>
      <c r="X19" s="35"/>
      <c r="Y19" s="35"/>
    </row>
    <row r="20">
      <c r="B20" s="88"/>
      <c r="C20" s="81"/>
      <c r="D20" s="81"/>
      <c r="E20" s="81"/>
      <c r="F20" s="81"/>
      <c r="G20" s="81"/>
      <c r="H20" s="82"/>
      <c r="I20" s="35"/>
      <c r="J20" s="35"/>
      <c r="K20" s="35"/>
      <c r="L20" s="35"/>
      <c r="M20" s="35"/>
      <c r="N20" s="35"/>
      <c r="O20" s="35"/>
      <c r="P20" s="35"/>
      <c r="Q20" s="35"/>
      <c r="R20" s="35"/>
      <c r="S20" s="35"/>
      <c r="T20" s="35"/>
      <c r="U20" s="35"/>
      <c r="V20" s="35"/>
      <c r="W20" s="35"/>
      <c r="X20" s="35"/>
      <c r="Y20" s="35"/>
    </row>
    <row r="21">
      <c r="B21" s="88"/>
      <c r="C21" s="81"/>
      <c r="D21" s="81"/>
      <c r="E21" s="81"/>
      <c r="F21" s="81"/>
      <c r="G21" s="81"/>
      <c r="H21" s="82"/>
      <c r="I21" s="35"/>
      <c r="J21" s="35"/>
      <c r="K21" s="35"/>
      <c r="L21" s="35"/>
      <c r="M21" s="35"/>
      <c r="N21" s="35"/>
      <c r="O21" s="35"/>
      <c r="P21" s="35"/>
      <c r="Q21" s="35"/>
      <c r="R21" s="35"/>
      <c r="S21" s="35"/>
      <c r="T21" s="35"/>
      <c r="U21" s="35"/>
      <c r="V21" s="35"/>
      <c r="W21" s="35"/>
      <c r="X21" s="35"/>
      <c r="Y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row>
    <row r="25">
      <c r="A25" s="89" t="s">
        <v>166</v>
      </c>
      <c r="B25" s="35"/>
      <c r="C25" s="35"/>
      <c r="D25" s="35"/>
      <c r="E25" s="35"/>
      <c r="F25" s="35"/>
      <c r="G25" s="35"/>
      <c r="H25" s="35"/>
      <c r="I25" s="35"/>
      <c r="J25" s="35"/>
      <c r="K25" s="35"/>
      <c r="L25" s="35"/>
      <c r="M25" s="35"/>
      <c r="N25" s="35"/>
      <c r="O25" s="35"/>
      <c r="P25" s="35"/>
      <c r="Q25" s="35"/>
      <c r="R25" s="35"/>
      <c r="S25" s="35"/>
      <c r="T25" s="35"/>
      <c r="U25" s="35"/>
      <c r="V25" s="35"/>
      <c r="W25" s="35"/>
      <c r="X25" s="35"/>
      <c r="Y25" s="35"/>
    </row>
    <row r="26">
      <c r="A26" s="90" t="s">
        <v>176</v>
      </c>
      <c r="B26" s="81"/>
      <c r="C26" s="81"/>
      <c r="D26" s="81"/>
      <c r="E26" s="81"/>
      <c r="F26" s="81"/>
      <c r="G26" s="81"/>
      <c r="H26" s="82"/>
      <c r="I26" s="35"/>
      <c r="J26" s="35"/>
      <c r="K26" s="35"/>
      <c r="L26" s="35"/>
      <c r="M26" s="35"/>
      <c r="N26" s="35"/>
      <c r="O26" s="35"/>
      <c r="P26" s="35"/>
      <c r="Q26" s="35"/>
      <c r="R26" s="35"/>
      <c r="S26" s="35"/>
      <c r="T26" s="35"/>
      <c r="U26" s="35"/>
      <c r="V26" s="35"/>
      <c r="W26" s="35"/>
      <c r="X26" s="35"/>
      <c r="Y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row>
    <row r="29">
      <c r="A29" s="84" t="s">
        <v>177</v>
      </c>
      <c r="B29" s="84"/>
      <c r="C29" s="84"/>
      <c r="D29" s="84"/>
      <c r="E29" s="84"/>
      <c r="F29" s="84"/>
      <c r="G29" s="84"/>
      <c r="H29" s="84"/>
      <c r="I29" s="35"/>
      <c r="J29" s="35"/>
      <c r="K29" s="35"/>
      <c r="L29" s="35"/>
      <c r="M29" s="35"/>
      <c r="N29" s="35"/>
      <c r="O29" s="35"/>
      <c r="P29" s="35"/>
      <c r="Q29" s="35"/>
      <c r="R29" s="35"/>
      <c r="S29" s="35"/>
      <c r="T29" s="35"/>
      <c r="U29" s="35"/>
      <c r="V29" s="35"/>
      <c r="W29" s="35"/>
      <c r="X29" s="35"/>
      <c r="Y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row>
    <row r="31">
      <c r="A31" s="38" t="s">
        <v>160</v>
      </c>
      <c r="B31" s="92"/>
      <c r="I31" s="35"/>
      <c r="J31" s="35"/>
      <c r="K31" s="35"/>
      <c r="L31" s="35"/>
      <c r="M31" s="35"/>
      <c r="N31" s="35"/>
      <c r="O31" s="35"/>
      <c r="P31" s="35"/>
      <c r="Q31" s="35"/>
      <c r="R31" s="35"/>
      <c r="S31" s="35"/>
      <c r="T31" s="35"/>
      <c r="U31" s="35"/>
      <c r="V31" s="35"/>
      <c r="W31" s="35"/>
      <c r="X31" s="35"/>
      <c r="Y31" s="35"/>
    </row>
    <row r="32">
      <c r="A32" s="35"/>
      <c r="B32" s="35"/>
      <c r="C32" s="35"/>
      <c r="D32" s="35"/>
      <c r="E32" s="35"/>
      <c r="F32" s="35"/>
      <c r="G32" s="35"/>
      <c r="H32" s="91"/>
      <c r="I32" s="35"/>
      <c r="J32" s="35"/>
      <c r="K32" s="35"/>
      <c r="L32" s="35"/>
      <c r="M32" s="35"/>
      <c r="N32" s="35"/>
      <c r="O32" s="35"/>
      <c r="P32" s="35"/>
      <c r="Q32" s="35"/>
      <c r="R32" s="35"/>
      <c r="S32" s="35"/>
      <c r="T32" s="35"/>
      <c r="U32" s="35"/>
      <c r="V32" s="35"/>
      <c r="W32" s="35"/>
      <c r="X32" s="35"/>
      <c r="Y32" s="35"/>
    </row>
    <row r="33">
      <c r="A33" s="38" t="s">
        <v>162</v>
      </c>
      <c r="C33" s="92"/>
      <c r="I33" s="35"/>
      <c r="J33" s="35"/>
      <c r="K33" s="35"/>
      <c r="L33" s="35"/>
      <c r="M33" s="35"/>
      <c r="N33" s="35"/>
      <c r="O33" s="35"/>
      <c r="P33" s="35"/>
      <c r="Q33" s="35"/>
      <c r="R33" s="35"/>
      <c r="S33" s="35"/>
      <c r="T33" s="35"/>
      <c r="U33" s="35"/>
      <c r="V33" s="35"/>
      <c r="W33" s="35"/>
      <c r="X33" s="35"/>
      <c r="Y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row>
    <row r="35">
      <c r="A35" s="38" t="s">
        <v>163</v>
      </c>
      <c r="C35" s="92"/>
      <c r="I35" s="35"/>
      <c r="J35" s="35"/>
      <c r="K35" s="35"/>
      <c r="L35" s="35"/>
      <c r="M35" s="35"/>
      <c r="N35" s="35"/>
      <c r="O35" s="35"/>
      <c r="P35" s="35"/>
      <c r="Q35" s="35"/>
      <c r="R35" s="35"/>
      <c r="S35" s="35"/>
      <c r="T35" s="35"/>
      <c r="U35" s="35"/>
      <c r="V35" s="35"/>
      <c r="W35" s="35"/>
      <c r="X35" s="35"/>
      <c r="Y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row>
    <row r="37">
      <c r="A37" s="38" t="s">
        <v>175</v>
      </c>
      <c r="C37" s="92"/>
      <c r="I37" s="35"/>
      <c r="J37" s="35"/>
      <c r="K37" s="35"/>
      <c r="L37" s="35"/>
      <c r="M37" s="35"/>
      <c r="N37" s="35"/>
      <c r="O37" s="35"/>
      <c r="P37" s="35"/>
      <c r="Q37" s="35"/>
      <c r="R37" s="35"/>
      <c r="S37" s="35"/>
      <c r="T37" s="35"/>
      <c r="U37" s="35"/>
      <c r="V37" s="35"/>
      <c r="W37" s="35"/>
      <c r="X37" s="35"/>
      <c r="Y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row>
    <row r="39">
      <c r="A39" s="86" t="s">
        <v>165</v>
      </c>
      <c r="B39" s="88"/>
      <c r="C39" s="81"/>
      <c r="D39" s="81"/>
      <c r="E39" s="81"/>
      <c r="F39" s="81"/>
      <c r="G39" s="81"/>
      <c r="H39" s="82"/>
      <c r="I39" s="35"/>
      <c r="J39" s="35"/>
      <c r="K39" s="35"/>
      <c r="L39" s="35"/>
      <c r="M39" s="35"/>
      <c r="N39" s="35"/>
      <c r="O39" s="35"/>
      <c r="P39" s="35"/>
      <c r="Q39" s="35"/>
      <c r="R39" s="35"/>
      <c r="S39" s="35"/>
      <c r="T39" s="35"/>
      <c r="U39" s="35"/>
      <c r="V39" s="35"/>
      <c r="W39" s="35"/>
      <c r="X39" s="35"/>
      <c r="Y39" s="35"/>
    </row>
    <row r="40">
      <c r="B40" s="88"/>
      <c r="C40" s="81"/>
      <c r="D40" s="81"/>
      <c r="E40" s="81"/>
      <c r="F40" s="81"/>
      <c r="G40" s="81"/>
      <c r="H40" s="82"/>
      <c r="I40" s="35"/>
      <c r="J40" s="35"/>
      <c r="K40" s="35"/>
      <c r="L40" s="35"/>
      <c r="M40" s="35"/>
      <c r="N40" s="35"/>
      <c r="O40" s="35"/>
      <c r="P40" s="35"/>
      <c r="Q40" s="35"/>
      <c r="R40" s="35"/>
      <c r="S40" s="35"/>
      <c r="T40" s="35"/>
      <c r="U40" s="35"/>
      <c r="V40" s="35"/>
      <c r="W40" s="35"/>
      <c r="X40" s="35"/>
      <c r="Y40" s="35"/>
    </row>
    <row r="41">
      <c r="B41" s="88"/>
      <c r="C41" s="81"/>
      <c r="D41" s="81"/>
      <c r="E41" s="81"/>
      <c r="F41" s="81"/>
      <c r="G41" s="81"/>
      <c r="H41" s="82"/>
      <c r="I41" s="35"/>
      <c r="J41" s="35"/>
      <c r="K41" s="35"/>
      <c r="L41" s="35"/>
      <c r="M41" s="35"/>
      <c r="N41" s="35"/>
      <c r="O41" s="35"/>
      <c r="P41" s="35"/>
      <c r="Q41" s="35"/>
      <c r="R41" s="35"/>
      <c r="S41" s="35"/>
      <c r="T41" s="35"/>
      <c r="U41" s="35"/>
      <c r="V41" s="35"/>
      <c r="W41" s="35"/>
      <c r="X41" s="35"/>
      <c r="Y41" s="35"/>
    </row>
    <row r="42">
      <c r="B42" s="88"/>
      <c r="C42" s="81"/>
      <c r="D42" s="81"/>
      <c r="E42" s="81"/>
      <c r="F42" s="81"/>
      <c r="G42" s="81"/>
      <c r="H42" s="82"/>
      <c r="I42" s="35"/>
      <c r="J42" s="35"/>
      <c r="K42" s="35"/>
      <c r="L42" s="35"/>
      <c r="M42" s="35"/>
      <c r="N42" s="35"/>
      <c r="O42" s="35"/>
      <c r="P42" s="35"/>
      <c r="Q42" s="35"/>
      <c r="R42" s="35"/>
      <c r="S42" s="35"/>
      <c r="T42" s="35"/>
      <c r="U42" s="35"/>
      <c r="V42" s="35"/>
      <c r="W42" s="35"/>
      <c r="X42" s="35"/>
      <c r="Y42" s="35"/>
    </row>
    <row r="43">
      <c r="B43" s="88"/>
      <c r="C43" s="81"/>
      <c r="D43" s="81"/>
      <c r="E43" s="81"/>
      <c r="F43" s="81"/>
      <c r="G43" s="81"/>
      <c r="H43" s="82"/>
      <c r="I43" s="35"/>
      <c r="J43" s="35"/>
      <c r="K43" s="35"/>
      <c r="L43" s="35"/>
      <c r="M43" s="35"/>
      <c r="N43" s="35"/>
      <c r="O43" s="35"/>
      <c r="P43" s="35"/>
      <c r="Q43" s="35"/>
      <c r="R43" s="35"/>
      <c r="S43" s="35"/>
      <c r="T43" s="35"/>
      <c r="U43" s="35"/>
      <c r="V43" s="35"/>
      <c r="W43" s="35"/>
      <c r="X43" s="35"/>
      <c r="Y43" s="35"/>
    </row>
    <row r="44">
      <c r="B44" s="88"/>
      <c r="C44" s="81"/>
      <c r="D44" s="81"/>
      <c r="E44" s="81"/>
      <c r="F44" s="81"/>
      <c r="G44" s="81"/>
      <c r="H44" s="82"/>
      <c r="I44" s="35"/>
      <c r="J44" s="35"/>
      <c r="K44" s="35"/>
      <c r="L44" s="35"/>
      <c r="M44" s="35"/>
      <c r="N44" s="35"/>
      <c r="O44" s="35"/>
      <c r="P44" s="35"/>
      <c r="Q44" s="35"/>
      <c r="R44" s="35"/>
      <c r="S44" s="35"/>
      <c r="T44" s="35"/>
      <c r="U44" s="35"/>
      <c r="V44" s="35"/>
      <c r="W44" s="35"/>
      <c r="X44" s="35"/>
      <c r="Y44" s="35"/>
    </row>
    <row r="45">
      <c r="B45" s="88"/>
      <c r="C45" s="81"/>
      <c r="D45" s="81"/>
      <c r="E45" s="81"/>
      <c r="F45" s="81"/>
      <c r="G45" s="81"/>
      <c r="H45" s="82"/>
      <c r="I45" s="35"/>
      <c r="J45" s="35"/>
      <c r="K45" s="35"/>
      <c r="L45" s="35"/>
      <c r="M45" s="35"/>
      <c r="N45" s="35"/>
      <c r="O45" s="35"/>
      <c r="P45" s="35"/>
      <c r="Q45" s="35"/>
      <c r="R45" s="35"/>
      <c r="S45" s="35"/>
      <c r="T45" s="35"/>
      <c r="U45" s="35"/>
      <c r="V45" s="35"/>
      <c r="W45" s="35"/>
      <c r="X45" s="35"/>
      <c r="Y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row>
    <row r="49">
      <c r="A49" s="89" t="s">
        <v>166</v>
      </c>
      <c r="B49" s="35"/>
      <c r="C49" s="35"/>
      <c r="D49" s="35"/>
      <c r="E49" s="35"/>
      <c r="F49" s="35"/>
      <c r="G49" s="35"/>
      <c r="H49" s="35"/>
      <c r="I49" s="35"/>
      <c r="J49" s="35"/>
      <c r="K49" s="35"/>
      <c r="L49" s="35"/>
      <c r="M49" s="35"/>
      <c r="N49" s="35"/>
      <c r="O49" s="35"/>
      <c r="P49" s="35"/>
      <c r="Q49" s="35"/>
      <c r="R49" s="35"/>
      <c r="S49" s="35"/>
      <c r="T49" s="35"/>
      <c r="U49" s="35"/>
      <c r="V49" s="35"/>
      <c r="W49" s="35"/>
      <c r="X49" s="35"/>
      <c r="Y49" s="35"/>
    </row>
    <row r="50">
      <c r="A50" s="93"/>
      <c r="B50" s="81"/>
      <c r="C50" s="81"/>
      <c r="D50" s="81"/>
      <c r="E50" s="81"/>
      <c r="F50" s="81"/>
      <c r="G50" s="81"/>
      <c r="H50" s="82"/>
      <c r="I50" s="35"/>
      <c r="J50" s="35"/>
      <c r="K50" s="35"/>
      <c r="L50" s="35"/>
      <c r="M50" s="35"/>
      <c r="N50" s="35"/>
      <c r="O50" s="35"/>
      <c r="P50" s="35"/>
      <c r="Q50" s="35"/>
      <c r="R50" s="35"/>
      <c r="S50" s="35"/>
      <c r="T50" s="35"/>
      <c r="U50" s="35"/>
      <c r="V50" s="35"/>
      <c r="W50" s="35"/>
      <c r="X50" s="35"/>
      <c r="Y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row>
    <row r="53">
      <c r="A53" s="84" t="s">
        <v>178</v>
      </c>
      <c r="B53" s="84"/>
      <c r="C53" s="84"/>
      <c r="D53" s="84"/>
      <c r="E53" s="84"/>
      <c r="F53" s="84"/>
      <c r="G53" s="84"/>
      <c r="H53" s="84"/>
      <c r="I53" s="35"/>
      <c r="J53" s="35"/>
      <c r="K53" s="35"/>
      <c r="L53" s="35"/>
      <c r="M53" s="35"/>
      <c r="N53" s="35"/>
      <c r="O53" s="35"/>
      <c r="P53" s="35"/>
      <c r="Q53" s="35"/>
      <c r="R53" s="35"/>
      <c r="S53" s="35"/>
      <c r="T53" s="35"/>
      <c r="U53" s="35"/>
      <c r="V53" s="35"/>
      <c r="W53" s="35"/>
      <c r="X53" s="35"/>
      <c r="Y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row>
    <row r="55">
      <c r="A55" s="38" t="s">
        <v>160</v>
      </c>
      <c r="B55" s="92"/>
      <c r="I55" s="35"/>
      <c r="J55" s="35"/>
      <c r="K55" s="35"/>
      <c r="L55" s="35"/>
      <c r="M55" s="35"/>
      <c r="N55" s="35"/>
      <c r="O55" s="35"/>
      <c r="P55" s="35"/>
      <c r="Q55" s="35"/>
      <c r="R55" s="35"/>
      <c r="S55" s="35"/>
      <c r="T55" s="35"/>
      <c r="U55" s="35"/>
      <c r="V55" s="35"/>
      <c r="W55" s="35"/>
      <c r="X55" s="35"/>
      <c r="Y55" s="35"/>
    </row>
    <row r="56">
      <c r="A56" s="35"/>
      <c r="B56" s="35"/>
      <c r="C56" s="35"/>
      <c r="D56" s="35"/>
      <c r="E56" s="35"/>
      <c r="F56" s="35"/>
      <c r="G56" s="35"/>
      <c r="H56" s="91"/>
      <c r="I56" s="35"/>
      <c r="J56" s="35"/>
      <c r="K56" s="35"/>
      <c r="L56" s="35"/>
      <c r="M56" s="35"/>
      <c r="N56" s="35"/>
      <c r="O56" s="35"/>
      <c r="P56" s="35"/>
      <c r="Q56" s="35"/>
      <c r="R56" s="35"/>
      <c r="S56" s="35"/>
      <c r="T56" s="35"/>
      <c r="U56" s="35"/>
      <c r="V56" s="35"/>
      <c r="W56" s="35"/>
      <c r="X56" s="35"/>
      <c r="Y56" s="35"/>
    </row>
    <row r="57">
      <c r="A57" s="38" t="s">
        <v>162</v>
      </c>
      <c r="C57" s="92"/>
      <c r="I57" s="35"/>
      <c r="J57" s="35"/>
      <c r="K57" s="35"/>
      <c r="L57" s="35"/>
      <c r="M57" s="35"/>
      <c r="N57" s="35"/>
      <c r="O57" s="35"/>
      <c r="P57" s="35"/>
      <c r="Q57" s="35"/>
      <c r="R57" s="35"/>
      <c r="S57" s="35"/>
      <c r="T57" s="35"/>
      <c r="U57" s="35"/>
      <c r="V57" s="35"/>
      <c r="W57" s="35"/>
      <c r="X57" s="35"/>
      <c r="Y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row>
    <row r="59">
      <c r="A59" s="38" t="s">
        <v>163</v>
      </c>
      <c r="C59" s="92"/>
      <c r="I59" s="35"/>
      <c r="J59" s="35"/>
      <c r="K59" s="35"/>
      <c r="L59" s="35"/>
      <c r="M59" s="35"/>
      <c r="N59" s="35"/>
      <c r="O59" s="35"/>
      <c r="P59" s="35"/>
      <c r="Q59" s="35"/>
      <c r="R59" s="35"/>
      <c r="S59" s="35"/>
      <c r="T59" s="35"/>
      <c r="U59" s="35"/>
      <c r="V59" s="35"/>
      <c r="W59" s="35"/>
      <c r="X59" s="35"/>
      <c r="Y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row>
    <row r="61">
      <c r="A61" s="38" t="s">
        <v>175</v>
      </c>
      <c r="C61" s="92"/>
      <c r="I61" s="35"/>
      <c r="J61" s="35"/>
      <c r="K61" s="35"/>
      <c r="L61" s="35"/>
      <c r="M61" s="35"/>
      <c r="N61" s="35"/>
      <c r="O61" s="35"/>
      <c r="P61" s="35"/>
      <c r="Q61" s="35"/>
      <c r="R61" s="35"/>
      <c r="S61" s="35"/>
      <c r="T61" s="35"/>
      <c r="U61" s="35"/>
      <c r="V61" s="35"/>
      <c r="W61" s="35"/>
      <c r="X61" s="35"/>
      <c r="Y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row>
    <row r="63">
      <c r="A63" s="86" t="s">
        <v>165</v>
      </c>
      <c r="B63" s="88"/>
      <c r="C63" s="81"/>
      <c r="D63" s="81"/>
      <c r="E63" s="81"/>
      <c r="F63" s="81"/>
      <c r="G63" s="81"/>
      <c r="H63" s="82"/>
      <c r="I63" s="35"/>
      <c r="J63" s="35"/>
      <c r="K63" s="35"/>
      <c r="L63" s="35"/>
      <c r="M63" s="35"/>
      <c r="N63" s="35"/>
      <c r="O63" s="35"/>
      <c r="P63" s="35"/>
      <c r="Q63" s="35"/>
      <c r="R63" s="35"/>
      <c r="S63" s="35"/>
      <c r="T63" s="35"/>
      <c r="U63" s="35"/>
      <c r="V63" s="35"/>
      <c r="W63" s="35"/>
      <c r="X63" s="35"/>
      <c r="Y63" s="35"/>
    </row>
    <row r="64">
      <c r="B64" s="88"/>
      <c r="C64" s="81"/>
      <c r="D64" s="81"/>
      <c r="E64" s="81"/>
      <c r="F64" s="81"/>
      <c r="G64" s="81"/>
      <c r="H64" s="82"/>
      <c r="I64" s="35"/>
      <c r="J64" s="35"/>
      <c r="K64" s="35"/>
      <c r="L64" s="35"/>
      <c r="M64" s="35"/>
      <c r="N64" s="35"/>
      <c r="O64" s="35"/>
      <c r="P64" s="35"/>
      <c r="Q64" s="35"/>
      <c r="R64" s="35"/>
      <c r="S64" s="35"/>
      <c r="T64" s="35"/>
      <c r="U64" s="35"/>
      <c r="V64" s="35"/>
      <c r="W64" s="35"/>
      <c r="X64" s="35"/>
      <c r="Y64" s="35"/>
    </row>
    <row r="65">
      <c r="B65" s="88"/>
      <c r="C65" s="81"/>
      <c r="D65" s="81"/>
      <c r="E65" s="81"/>
      <c r="F65" s="81"/>
      <c r="G65" s="81"/>
      <c r="H65" s="82"/>
      <c r="I65" s="35"/>
      <c r="J65" s="35"/>
      <c r="K65" s="35"/>
      <c r="L65" s="35"/>
      <c r="M65" s="35"/>
      <c r="N65" s="35"/>
      <c r="O65" s="35"/>
      <c r="P65" s="35"/>
      <c r="Q65" s="35"/>
      <c r="R65" s="35"/>
      <c r="S65" s="35"/>
      <c r="T65" s="35"/>
      <c r="U65" s="35"/>
      <c r="V65" s="35"/>
      <c r="W65" s="35"/>
      <c r="X65" s="35"/>
      <c r="Y65" s="35"/>
    </row>
    <row r="66">
      <c r="B66" s="88"/>
      <c r="C66" s="81"/>
      <c r="D66" s="81"/>
      <c r="E66" s="81"/>
      <c r="F66" s="81"/>
      <c r="G66" s="81"/>
      <c r="H66" s="82"/>
      <c r="I66" s="35"/>
      <c r="J66" s="35"/>
      <c r="K66" s="35"/>
      <c r="L66" s="35"/>
      <c r="M66" s="35"/>
      <c r="N66" s="35"/>
      <c r="O66" s="35"/>
      <c r="P66" s="35"/>
      <c r="Q66" s="35"/>
      <c r="R66" s="35"/>
      <c r="S66" s="35"/>
      <c r="T66" s="35"/>
      <c r="U66" s="35"/>
      <c r="V66" s="35"/>
      <c r="W66" s="35"/>
      <c r="X66" s="35"/>
      <c r="Y66" s="35"/>
    </row>
    <row r="67">
      <c r="B67" s="88"/>
      <c r="C67" s="81"/>
      <c r="D67" s="81"/>
      <c r="E67" s="81"/>
      <c r="F67" s="81"/>
      <c r="G67" s="81"/>
      <c r="H67" s="82"/>
      <c r="I67" s="35"/>
      <c r="J67" s="35"/>
      <c r="K67" s="35"/>
      <c r="L67" s="35"/>
      <c r="M67" s="35"/>
      <c r="N67" s="35"/>
      <c r="O67" s="35"/>
      <c r="P67" s="35"/>
      <c r="Q67" s="35"/>
      <c r="R67" s="35"/>
      <c r="S67" s="35"/>
      <c r="T67" s="35"/>
      <c r="U67" s="35"/>
      <c r="V67" s="35"/>
      <c r="W67" s="35"/>
      <c r="X67" s="35"/>
      <c r="Y67" s="35"/>
    </row>
    <row r="68">
      <c r="B68" s="88"/>
      <c r="C68" s="81"/>
      <c r="D68" s="81"/>
      <c r="E68" s="81"/>
      <c r="F68" s="81"/>
      <c r="G68" s="81"/>
      <c r="H68" s="82"/>
      <c r="I68" s="35"/>
      <c r="J68" s="35"/>
      <c r="K68" s="35"/>
      <c r="L68" s="35"/>
      <c r="M68" s="35"/>
      <c r="N68" s="35"/>
      <c r="O68" s="35"/>
      <c r="P68" s="35"/>
      <c r="Q68" s="35"/>
      <c r="R68" s="35"/>
      <c r="S68" s="35"/>
      <c r="T68" s="35"/>
      <c r="U68" s="35"/>
      <c r="V68" s="35"/>
      <c r="W68" s="35"/>
      <c r="X68" s="35"/>
      <c r="Y68" s="35"/>
    </row>
    <row r="69">
      <c r="B69" s="88"/>
      <c r="C69" s="81"/>
      <c r="D69" s="81"/>
      <c r="E69" s="81"/>
      <c r="F69" s="81"/>
      <c r="G69" s="81"/>
      <c r="H69" s="82"/>
      <c r="I69" s="35"/>
      <c r="J69" s="35"/>
      <c r="K69" s="35"/>
      <c r="L69" s="35"/>
      <c r="M69" s="35"/>
      <c r="N69" s="35"/>
      <c r="O69" s="35"/>
      <c r="P69" s="35"/>
      <c r="Q69" s="35"/>
      <c r="R69" s="35"/>
      <c r="S69" s="35"/>
      <c r="T69" s="35"/>
      <c r="U69" s="35"/>
      <c r="V69" s="35"/>
      <c r="W69" s="35"/>
      <c r="X69" s="35"/>
      <c r="Y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row>
    <row r="73">
      <c r="A73" s="89" t="s">
        <v>166</v>
      </c>
      <c r="B73" s="35"/>
      <c r="C73" s="35"/>
      <c r="D73" s="35"/>
      <c r="E73" s="35"/>
      <c r="F73" s="35"/>
      <c r="G73" s="35"/>
      <c r="H73" s="35"/>
      <c r="I73" s="35"/>
      <c r="J73" s="35"/>
      <c r="K73" s="35"/>
      <c r="L73" s="35"/>
      <c r="M73" s="35"/>
      <c r="N73" s="35"/>
      <c r="O73" s="35"/>
      <c r="P73" s="35"/>
      <c r="Q73" s="35"/>
      <c r="R73" s="35"/>
      <c r="S73" s="35"/>
      <c r="T73" s="35"/>
      <c r="U73" s="35"/>
      <c r="V73" s="35"/>
      <c r="W73" s="35"/>
      <c r="X73" s="35"/>
      <c r="Y73" s="35"/>
    </row>
    <row r="74">
      <c r="A74" s="93"/>
      <c r="B74" s="81"/>
      <c r="C74" s="81"/>
      <c r="D74" s="81"/>
      <c r="E74" s="81"/>
      <c r="F74" s="81"/>
      <c r="G74" s="81"/>
      <c r="H74" s="82"/>
      <c r="I74" s="35"/>
      <c r="J74" s="35"/>
      <c r="K74" s="35"/>
      <c r="L74" s="35"/>
      <c r="M74" s="35"/>
      <c r="N74" s="35"/>
      <c r="O74" s="35"/>
      <c r="P74" s="35"/>
      <c r="Q74" s="35"/>
      <c r="R74" s="35"/>
      <c r="S74" s="35"/>
      <c r="T74" s="35"/>
      <c r="U74" s="35"/>
      <c r="V74" s="35"/>
      <c r="W74" s="35"/>
      <c r="X74" s="35"/>
      <c r="Y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row>
    <row r="77">
      <c r="A77" s="84" t="s">
        <v>179</v>
      </c>
      <c r="B77" s="84"/>
      <c r="C77" s="84"/>
      <c r="D77" s="84"/>
      <c r="E77" s="84"/>
      <c r="F77" s="84"/>
      <c r="G77" s="84"/>
      <c r="H77" s="84"/>
      <c r="I77" s="35"/>
      <c r="J77" s="35"/>
      <c r="K77" s="35"/>
      <c r="L77" s="35"/>
      <c r="M77" s="35"/>
      <c r="N77" s="35"/>
      <c r="O77" s="35"/>
      <c r="P77" s="35"/>
      <c r="Q77" s="35"/>
      <c r="R77" s="35"/>
      <c r="S77" s="35"/>
      <c r="T77" s="35"/>
      <c r="U77" s="35"/>
      <c r="V77" s="35"/>
      <c r="W77" s="35"/>
      <c r="X77" s="35"/>
      <c r="Y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row>
    <row r="79">
      <c r="A79" s="38" t="s">
        <v>160</v>
      </c>
      <c r="B79" s="92"/>
      <c r="I79" s="35"/>
      <c r="J79" s="35"/>
      <c r="K79" s="35"/>
      <c r="L79" s="35"/>
      <c r="M79" s="35"/>
      <c r="N79" s="35"/>
      <c r="O79" s="35"/>
      <c r="P79" s="35"/>
      <c r="Q79" s="35"/>
      <c r="R79" s="35"/>
      <c r="S79" s="35"/>
      <c r="T79" s="35"/>
      <c r="U79" s="35"/>
      <c r="V79" s="35"/>
      <c r="W79" s="35"/>
      <c r="X79" s="35"/>
      <c r="Y79" s="35"/>
    </row>
    <row r="80">
      <c r="A80" s="35"/>
      <c r="B80" s="35"/>
      <c r="C80" s="35"/>
      <c r="D80" s="35"/>
      <c r="E80" s="35"/>
      <c r="F80" s="35"/>
      <c r="G80" s="35"/>
      <c r="H80" s="91"/>
      <c r="I80" s="35"/>
      <c r="J80" s="35"/>
      <c r="K80" s="35"/>
      <c r="L80" s="35"/>
      <c r="M80" s="35"/>
      <c r="N80" s="35"/>
      <c r="O80" s="35"/>
      <c r="P80" s="35"/>
      <c r="Q80" s="35"/>
      <c r="R80" s="35"/>
      <c r="S80" s="35"/>
      <c r="T80" s="35"/>
      <c r="U80" s="35"/>
      <c r="V80" s="35"/>
      <c r="W80" s="35"/>
      <c r="X80" s="35"/>
      <c r="Y80" s="35"/>
    </row>
    <row r="81">
      <c r="A81" s="38" t="s">
        <v>162</v>
      </c>
      <c r="C81" s="92"/>
      <c r="I81" s="35"/>
      <c r="J81" s="35"/>
      <c r="K81" s="35"/>
      <c r="L81" s="35"/>
      <c r="M81" s="35"/>
      <c r="N81" s="35"/>
      <c r="O81" s="35"/>
      <c r="P81" s="35"/>
      <c r="Q81" s="35"/>
      <c r="R81" s="35"/>
      <c r="S81" s="35"/>
      <c r="T81" s="35"/>
      <c r="U81" s="35"/>
      <c r="V81" s="35"/>
      <c r="W81" s="35"/>
      <c r="X81" s="35"/>
      <c r="Y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row>
    <row r="83">
      <c r="A83" s="38" t="s">
        <v>163</v>
      </c>
      <c r="C83" s="92"/>
      <c r="I83" s="35"/>
      <c r="J83" s="35"/>
      <c r="K83" s="35"/>
      <c r="L83" s="35"/>
      <c r="M83" s="35"/>
      <c r="N83" s="35"/>
      <c r="O83" s="35"/>
      <c r="P83" s="35"/>
      <c r="Q83" s="35"/>
      <c r="R83" s="35"/>
      <c r="S83" s="35"/>
      <c r="T83" s="35"/>
      <c r="U83" s="35"/>
      <c r="V83" s="35"/>
      <c r="W83" s="35"/>
      <c r="X83" s="35"/>
      <c r="Y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row>
    <row r="85">
      <c r="A85" s="38" t="s">
        <v>164</v>
      </c>
      <c r="C85" s="92"/>
      <c r="I85" s="35"/>
      <c r="K85" s="94"/>
      <c r="L85" s="94"/>
      <c r="M85" s="94"/>
      <c r="N85" s="94"/>
      <c r="O85" s="94"/>
      <c r="P85" s="94"/>
      <c r="Q85" s="38" t="s">
        <v>164</v>
      </c>
      <c r="S85" s="92"/>
      <c r="Y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row>
    <row r="87">
      <c r="A87" s="86" t="s">
        <v>165</v>
      </c>
      <c r="B87" s="88"/>
      <c r="C87" s="81"/>
      <c r="D87" s="81"/>
      <c r="E87" s="81"/>
      <c r="F87" s="81"/>
      <c r="G87" s="81"/>
      <c r="H87" s="82"/>
      <c r="I87" s="35"/>
      <c r="J87" s="35"/>
      <c r="K87" s="35"/>
      <c r="L87" s="35"/>
      <c r="M87" s="35"/>
      <c r="N87" s="35"/>
      <c r="O87" s="35"/>
      <c r="P87" s="35"/>
      <c r="Q87" s="35"/>
      <c r="R87" s="35"/>
      <c r="S87" s="35"/>
      <c r="T87" s="35"/>
      <c r="U87" s="35"/>
      <c r="V87" s="35"/>
      <c r="W87" s="35"/>
      <c r="X87" s="35"/>
      <c r="Y87" s="35"/>
    </row>
    <row r="88">
      <c r="B88" s="88"/>
      <c r="C88" s="81"/>
      <c r="D88" s="81"/>
      <c r="E88" s="81"/>
      <c r="F88" s="81"/>
      <c r="G88" s="81"/>
      <c r="H88" s="82"/>
      <c r="I88" s="35"/>
      <c r="J88" s="35"/>
      <c r="K88" s="35"/>
      <c r="L88" s="35"/>
      <c r="M88" s="35"/>
      <c r="N88" s="35"/>
      <c r="O88" s="35"/>
      <c r="P88" s="35"/>
      <c r="Q88" s="35"/>
      <c r="R88" s="35"/>
      <c r="S88" s="35"/>
      <c r="T88" s="35"/>
      <c r="U88" s="35"/>
      <c r="V88" s="35"/>
      <c r="W88" s="35"/>
      <c r="X88" s="35"/>
      <c r="Y88" s="35"/>
    </row>
    <row r="89">
      <c r="B89" s="88"/>
      <c r="C89" s="81"/>
      <c r="D89" s="81"/>
      <c r="E89" s="81"/>
      <c r="F89" s="81"/>
      <c r="G89" s="81"/>
      <c r="H89" s="82"/>
      <c r="I89" s="35"/>
      <c r="J89" s="35"/>
      <c r="K89" s="35"/>
      <c r="L89" s="35"/>
      <c r="M89" s="35"/>
      <c r="N89" s="35"/>
      <c r="O89" s="35"/>
      <c r="P89" s="35"/>
      <c r="Q89" s="35"/>
      <c r="R89" s="35"/>
      <c r="S89" s="35"/>
      <c r="T89" s="35"/>
      <c r="U89" s="35"/>
      <c r="V89" s="35"/>
      <c r="W89" s="35"/>
      <c r="X89" s="35"/>
      <c r="Y89" s="35"/>
    </row>
    <row r="90">
      <c r="B90" s="88"/>
      <c r="C90" s="81"/>
      <c r="D90" s="81"/>
      <c r="E90" s="81"/>
      <c r="F90" s="81"/>
      <c r="G90" s="81"/>
      <c r="H90" s="82"/>
      <c r="I90" s="35"/>
      <c r="J90" s="35"/>
      <c r="K90" s="35"/>
      <c r="L90" s="35"/>
      <c r="M90" s="35"/>
      <c r="N90" s="35"/>
      <c r="O90" s="35"/>
      <c r="P90" s="35"/>
      <c r="Q90" s="35"/>
      <c r="R90" s="35"/>
      <c r="S90" s="35"/>
      <c r="T90" s="35"/>
      <c r="U90" s="35"/>
      <c r="V90" s="35"/>
      <c r="W90" s="35"/>
      <c r="X90" s="35"/>
      <c r="Y90" s="35"/>
    </row>
    <row r="91">
      <c r="B91" s="88"/>
      <c r="C91" s="81"/>
      <c r="D91" s="81"/>
      <c r="E91" s="81"/>
      <c r="F91" s="81"/>
      <c r="G91" s="81"/>
      <c r="H91" s="82"/>
      <c r="I91" s="35"/>
      <c r="J91" s="35"/>
      <c r="K91" s="35"/>
      <c r="L91" s="35"/>
      <c r="M91" s="35"/>
      <c r="N91" s="35"/>
      <c r="O91" s="35"/>
      <c r="P91" s="35"/>
      <c r="Q91" s="35"/>
      <c r="R91" s="35"/>
      <c r="S91" s="35"/>
      <c r="T91" s="35"/>
      <c r="U91" s="35"/>
      <c r="V91" s="35"/>
      <c r="W91" s="35"/>
      <c r="X91" s="35"/>
      <c r="Y91" s="35"/>
    </row>
    <row r="92">
      <c r="B92" s="88"/>
      <c r="C92" s="81"/>
      <c r="D92" s="81"/>
      <c r="E92" s="81"/>
      <c r="F92" s="81"/>
      <c r="G92" s="81"/>
      <c r="H92" s="82"/>
      <c r="I92" s="35"/>
      <c r="J92" s="35"/>
      <c r="K92" s="35"/>
      <c r="L92" s="35"/>
      <c r="M92" s="35"/>
      <c r="N92" s="35"/>
      <c r="O92" s="35"/>
      <c r="P92" s="35"/>
      <c r="Q92" s="35"/>
      <c r="R92" s="35"/>
      <c r="S92" s="35"/>
      <c r="T92" s="35"/>
      <c r="U92" s="35"/>
      <c r="V92" s="35"/>
      <c r="W92" s="35"/>
      <c r="X92" s="35"/>
      <c r="Y92" s="35"/>
    </row>
    <row r="93">
      <c r="B93" s="88"/>
      <c r="C93" s="81"/>
      <c r="D93" s="81"/>
      <c r="E93" s="81"/>
      <c r="F93" s="81"/>
      <c r="G93" s="81"/>
      <c r="H93" s="82"/>
      <c r="I93" s="35"/>
      <c r="J93" s="35"/>
      <c r="K93" s="35"/>
      <c r="L93" s="35"/>
      <c r="M93" s="35"/>
      <c r="N93" s="35"/>
      <c r="O93" s="35"/>
      <c r="P93" s="35"/>
      <c r="Q93" s="35"/>
      <c r="R93" s="35"/>
      <c r="S93" s="35"/>
      <c r="T93" s="35"/>
      <c r="U93" s="35"/>
      <c r="V93" s="35"/>
      <c r="W93" s="35"/>
      <c r="X93" s="35"/>
      <c r="Y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row>
    <row r="97">
      <c r="A97" s="89" t="s">
        <v>166</v>
      </c>
      <c r="B97" s="35"/>
      <c r="C97" s="35"/>
      <c r="D97" s="35"/>
      <c r="E97" s="35"/>
      <c r="F97" s="35"/>
      <c r="G97" s="35"/>
      <c r="H97" s="35"/>
      <c r="I97" s="35"/>
      <c r="J97" s="35"/>
      <c r="K97" s="35"/>
      <c r="L97" s="35"/>
      <c r="M97" s="35"/>
      <c r="N97" s="35"/>
      <c r="O97" s="35"/>
      <c r="P97" s="35"/>
      <c r="Q97" s="35"/>
      <c r="R97" s="35"/>
      <c r="S97" s="35"/>
      <c r="T97" s="35"/>
      <c r="U97" s="35"/>
      <c r="V97" s="35"/>
      <c r="W97" s="35"/>
      <c r="X97" s="35"/>
      <c r="Y97" s="35"/>
    </row>
    <row r="98">
      <c r="A98" s="93"/>
      <c r="B98" s="81"/>
      <c r="C98" s="81"/>
      <c r="D98" s="81"/>
      <c r="E98" s="81"/>
      <c r="F98" s="81"/>
      <c r="G98" s="81"/>
      <c r="H98" s="82"/>
      <c r="I98" s="35"/>
      <c r="J98" s="35"/>
      <c r="K98" s="35"/>
      <c r="L98" s="35"/>
      <c r="M98" s="35"/>
      <c r="N98" s="35"/>
      <c r="O98" s="35"/>
      <c r="P98" s="35"/>
      <c r="Q98" s="35"/>
      <c r="R98" s="35"/>
      <c r="S98" s="35"/>
      <c r="T98" s="35"/>
      <c r="U98" s="35"/>
      <c r="V98" s="35"/>
      <c r="W98" s="35"/>
      <c r="X98" s="35"/>
      <c r="Y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row>
    <row r="101">
      <c r="A101" s="84" t="s">
        <v>180</v>
      </c>
      <c r="B101" s="84"/>
      <c r="C101" s="84"/>
      <c r="D101" s="84"/>
      <c r="E101" s="84"/>
      <c r="F101" s="84"/>
      <c r="G101" s="84"/>
      <c r="H101" s="84"/>
      <c r="I101" s="35"/>
      <c r="J101" s="35"/>
      <c r="K101" s="35"/>
      <c r="L101" s="35"/>
      <c r="M101" s="35"/>
      <c r="N101" s="35"/>
      <c r="O101" s="35"/>
      <c r="P101" s="35"/>
      <c r="Q101" s="35"/>
      <c r="R101" s="35"/>
      <c r="S101" s="35"/>
      <c r="T101" s="35"/>
      <c r="U101" s="35"/>
      <c r="V101" s="35"/>
      <c r="W101" s="35"/>
      <c r="X101" s="35"/>
      <c r="Y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c r="A103" s="38" t="s">
        <v>160</v>
      </c>
      <c r="B103" s="92"/>
      <c r="I103" s="35"/>
      <c r="J103" s="35"/>
      <c r="K103" s="35"/>
      <c r="L103" s="35"/>
      <c r="M103" s="35"/>
      <c r="N103" s="35"/>
      <c r="O103" s="35"/>
      <c r="P103" s="35"/>
      <c r="Q103" s="35"/>
      <c r="R103" s="35"/>
      <c r="S103" s="35"/>
      <c r="T103" s="35"/>
      <c r="U103" s="35"/>
      <c r="V103" s="35"/>
      <c r="W103" s="35"/>
      <c r="X103" s="35"/>
      <c r="Y103" s="35"/>
    </row>
    <row r="104">
      <c r="A104" s="35"/>
      <c r="B104" s="35"/>
      <c r="C104" s="35"/>
      <c r="D104" s="35"/>
      <c r="E104" s="35"/>
      <c r="F104" s="35"/>
      <c r="G104" s="35"/>
      <c r="H104" s="91"/>
      <c r="I104" s="35"/>
      <c r="J104" s="35"/>
      <c r="K104" s="35"/>
      <c r="L104" s="35"/>
      <c r="M104" s="35"/>
      <c r="N104" s="35"/>
      <c r="O104" s="35"/>
      <c r="P104" s="35"/>
      <c r="Q104" s="35"/>
      <c r="R104" s="35"/>
      <c r="S104" s="35"/>
      <c r="T104" s="35"/>
      <c r="U104" s="35"/>
      <c r="V104" s="35"/>
      <c r="W104" s="35"/>
      <c r="X104" s="35"/>
      <c r="Y104" s="35"/>
    </row>
    <row r="105">
      <c r="A105" s="38" t="s">
        <v>162</v>
      </c>
      <c r="C105" s="92"/>
      <c r="I105" s="35"/>
      <c r="J105" s="35"/>
      <c r="K105" s="35"/>
      <c r="L105" s="35"/>
      <c r="M105" s="35"/>
      <c r="N105" s="35"/>
      <c r="O105" s="35"/>
      <c r="P105" s="35"/>
      <c r="Q105" s="35"/>
      <c r="R105" s="35"/>
      <c r="S105" s="35"/>
      <c r="T105" s="35"/>
      <c r="U105" s="35"/>
      <c r="V105" s="35"/>
      <c r="W105" s="35"/>
      <c r="X105" s="35"/>
      <c r="Y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c r="A107" s="38" t="s">
        <v>163</v>
      </c>
      <c r="C107" s="92"/>
      <c r="I107" s="35"/>
      <c r="J107" s="35"/>
      <c r="K107" s="35"/>
      <c r="L107" s="35"/>
      <c r="M107" s="35"/>
      <c r="N107" s="35"/>
      <c r="O107" s="35"/>
      <c r="P107" s="35"/>
      <c r="Q107" s="35"/>
      <c r="R107" s="35"/>
      <c r="S107" s="35"/>
      <c r="T107" s="35"/>
      <c r="U107" s="35"/>
      <c r="V107" s="35"/>
      <c r="W107" s="35"/>
      <c r="X107" s="35"/>
      <c r="Y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c r="A109" s="38" t="s">
        <v>164</v>
      </c>
      <c r="C109" s="92"/>
      <c r="I109" s="35"/>
      <c r="K109" s="94"/>
      <c r="L109" s="94"/>
      <c r="M109" s="94"/>
      <c r="N109" s="94"/>
      <c r="O109" s="94"/>
      <c r="P109" s="94"/>
      <c r="Q109" s="38" t="s">
        <v>164</v>
      </c>
      <c r="S109" s="92"/>
      <c r="Y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c r="A111" s="86" t="s">
        <v>165</v>
      </c>
      <c r="B111" s="88"/>
      <c r="C111" s="81"/>
      <c r="D111" s="81"/>
      <c r="E111" s="81"/>
      <c r="F111" s="81"/>
      <c r="G111" s="81"/>
      <c r="H111" s="82"/>
      <c r="I111" s="35"/>
      <c r="J111" s="35"/>
      <c r="K111" s="35"/>
      <c r="L111" s="35"/>
      <c r="M111" s="35"/>
      <c r="N111" s="35"/>
      <c r="O111" s="35"/>
      <c r="P111" s="35"/>
      <c r="Q111" s="35"/>
      <c r="R111" s="35"/>
      <c r="S111" s="35"/>
      <c r="T111" s="35"/>
      <c r="U111" s="35"/>
      <c r="V111" s="35"/>
      <c r="W111" s="35"/>
      <c r="X111" s="35"/>
      <c r="Y111" s="35"/>
    </row>
    <row r="112">
      <c r="B112" s="88"/>
      <c r="C112" s="81"/>
      <c r="D112" s="81"/>
      <c r="E112" s="81"/>
      <c r="F112" s="81"/>
      <c r="G112" s="81"/>
      <c r="H112" s="82"/>
      <c r="I112" s="35"/>
      <c r="J112" s="35"/>
      <c r="K112" s="35"/>
      <c r="L112" s="35"/>
      <c r="M112" s="35"/>
      <c r="N112" s="35"/>
      <c r="O112" s="35"/>
      <c r="P112" s="35"/>
      <c r="Q112" s="35"/>
      <c r="R112" s="35"/>
      <c r="S112" s="35"/>
      <c r="T112" s="35"/>
      <c r="U112" s="35"/>
      <c r="V112" s="35"/>
      <c r="W112" s="35"/>
      <c r="X112" s="35"/>
      <c r="Y112" s="35"/>
    </row>
    <row r="113">
      <c r="B113" s="88"/>
      <c r="C113" s="81"/>
      <c r="D113" s="81"/>
      <c r="E113" s="81"/>
      <c r="F113" s="81"/>
      <c r="G113" s="81"/>
      <c r="H113" s="82"/>
      <c r="I113" s="35"/>
      <c r="J113" s="35"/>
      <c r="K113" s="35"/>
      <c r="L113" s="35"/>
      <c r="M113" s="35"/>
      <c r="N113" s="35"/>
      <c r="O113" s="35"/>
      <c r="P113" s="35"/>
      <c r="Q113" s="35"/>
      <c r="R113" s="35"/>
      <c r="S113" s="35"/>
      <c r="T113" s="35"/>
      <c r="U113" s="35"/>
      <c r="V113" s="35"/>
      <c r="W113" s="35"/>
      <c r="X113" s="35"/>
      <c r="Y113" s="35"/>
    </row>
    <row r="114">
      <c r="B114" s="88"/>
      <c r="C114" s="81"/>
      <c r="D114" s="81"/>
      <c r="E114" s="81"/>
      <c r="F114" s="81"/>
      <c r="G114" s="81"/>
      <c r="H114" s="82"/>
      <c r="I114" s="35"/>
      <c r="J114" s="35"/>
      <c r="K114" s="35"/>
      <c r="L114" s="35"/>
      <c r="M114" s="35"/>
      <c r="N114" s="35"/>
      <c r="O114" s="35"/>
      <c r="P114" s="35"/>
      <c r="Q114" s="35"/>
      <c r="R114" s="35"/>
      <c r="S114" s="35"/>
      <c r="T114" s="35"/>
      <c r="U114" s="35"/>
      <c r="V114" s="35"/>
      <c r="W114" s="35"/>
      <c r="X114" s="35"/>
      <c r="Y114" s="35"/>
    </row>
    <row r="115">
      <c r="B115" s="88"/>
      <c r="C115" s="81"/>
      <c r="D115" s="81"/>
      <c r="E115" s="81"/>
      <c r="F115" s="81"/>
      <c r="G115" s="81"/>
      <c r="H115" s="82"/>
      <c r="I115" s="35"/>
      <c r="J115" s="35"/>
      <c r="K115" s="35"/>
      <c r="L115" s="35"/>
      <c r="M115" s="35"/>
      <c r="N115" s="35"/>
      <c r="O115" s="35"/>
      <c r="P115" s="35"/>
      <c r="Q115" s="35"/>
      <c r="R115" s="35"/>
      <c r="S115" s="35"/>
      <c r="T115" s="35"/>
      <c r="U115" s="35"/>
      <c r="V115" s="35"/>
      <c r="W115" s="35"/>
      <c r="X115" s="35"/>
      <c r="Y115" s="35"/>
    </row>
    <row r="116">
      <c r="B116" s="88"/>
      <c r="C116" s="81"/>
      <c r="D116" s="81"/>
      <c r="E116" s="81"/>
      <c r="F116" s="81"/>
      <c r="G116" s="81"/>
      <c r="H116" s="82"/>
      <c r="I116" s="35"/>
      <c r="J116" s="35"/>
      <c r="K116" s="35"/>
      <c r="L116" s="35"/>
      <c r="M116" s="35"/>
      <c r="N116" s="35"/>
      <c r="O116" s="35"/>
      <c r="P116" s="35"/>
      <c r="Q116" s="35"/>
      <c r="R116" s="35"/>
      <c r="S116" s="35"/>
      <c r="T116" s="35"/>
      <c r="U116" s="35"/>
      <c r="V116" s="35"/>
      <c r="W116" s="35"/>
      <c r="X116" s="35"/>
      <c r="Y116" s="35"/>
    </row>
    <row r="117">
      <c r="B117" s="88"/>
      <c r="C117" s="81"/>
      <c r="D117" s="81"/>
      <c r="E117" s="81"/>
      <c r="F117" s="81"/>
      <c r="G117" s="81"/>
      <c r="H117" s="82"/>
      <c r="I117" s="35"/>
      <c r="J117" s="35"/>
      <c r="K117" s="35"/>
      <c r="L117" s="35"/>
      <c r="M117" s="35"/>
      <c r="N117" s="35"/>
      <c r="O117" s="35"/>
      <c r="P117" s="35"/>
      <c r="Q117" s="35"/>
      <c r="R117" s="35"/>
      <c r="S117" s="35"/>
      <c r="T117" s="35"/>
      <c r="U117" s="35"/>
      <c r="V117" s="35"/>
      <c r="W117" s="35"/>
      <c r="X117" s="35"/>
      <c r="Y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c r="A121" s="89" t="s">
        <v>166</v>
      </c>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c r="A122" s="93"/>
      <c r="B122" s="81"/>
      <c r="C122" s="81"/>
      <c r="D122" s="81"/>
      <c r="E122" s="81"/>
      <c r="F122" s="81"/>
      <c r="G122" s="81"/>
      <c r="H122" s="82"/>
      <c r="I122" s="35"/>
      <c r="J122" s="35"/>
      <c r="K122" s="35"/>
      <c r="L122" s="35"/>
      <c r="M122" s="35"/>
      <c r="N122" s="35"/>
      <c r="O122" s="35"/>
      <c r="P122" s="35"/>
      <c r="Q122" s="35"/>
      <c r="R122" s="35"/>
      <c r="S122" s="35"/>
      <c r="T122" s="35"/>
      <c r="U122" s="35"/>
      <c r="V122" s="35"/>
      <c r="W122" s="35"/>
      <c r="X122" s="35"/>
      <c r="Y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c r="A125" s="84" t="s">
        <v>181</v>
      </c>
      <c r="B125" s="84"/>
      <c r="C125" s="84"/>
      <c r="D125" s="84"/>
      <c r="E125" s="84"/>
      <c r="F125" s="84"/>
      <c r="G125" s="84"/>
      <c r="H125" s="84"/>
      <c r="I125" s="35"/>
      <c r="J125" s="35"/>
      <c r="K125" s="35"/>
      <c r="L125" s="35"/>
      <c r="M125" s="35"/>
      <c r="N125" s="35"/>
      <c r="O125" s="35"/>
      <c r="P125" s="35"/>
      <c r="Q125" s="35"/>
      <c r="R125" s="35"/>
      <c r="S125" s="35"/>
      <c r="T125" s="35"/>
      <c r="U125" s="35"/>
      <c r="V125" s="35"/>
      <c r="W125" s="35"/>
      <c r="X125" s="35"/>
      <c r="Y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c r="A127" s="38" t="s">
        <v>160</v>
      </c>
      <c r="B127" s="92"/>
      <c r="I127" s="35"/>
      <c r="J127" s="35"/>
      <c r="K127" s="35"/>
      <c r="L127" s="35"/>
      <c r="M127" s="35"/>
      <c r="N127" s="35"/>
      <c r="O127" s="35"/>
      <c r="P127" s="35"/>
      <c r="Q127" s="35"/>
      <c r="R127" s="35"/>
      <c r="S127" s="35"/>
      <c r="T127" s="35"/>
      <c r="U127" s="35"/>
      <c r="V127" s="35"/>
      <c r="W127" s="35"/>
      <c r="X127" s="35"/>
      <c r="Y127" s="35"/>
    </row>
    <row r="128">
      <c r="A128" s="35"/>
      <c r="B128" s="35"/>
      <c r="C128" s="35"/>
      <c r="D128" s="35"/>
      <c r="E128" s="35"/>
      <c r="F128" s="35"/>
      <c r="G128" s="35"/>
      <c r="H128" s="91"/>
      <c r="I128" s="35"/>
      <c r="J128" s="35"/>
      <c r="K128" s="35"/>
      <c r="L128" s="35"/>
      <c r="M128" s="35"/>
      <c r="N128" s="35"/>
      <c r="O128" s="35"/>
      <c r="P128" s="35"/>
      <c r="Q128" s="35"/>
      <c r="R128" s="35"/>
      <c r="S128" s="35"/>
      <c r="T128" s="35"/>
      <c r="U128" s="35"/>
      <c r="V128" s="35"/>
      <c r="W128" s="35"/>
      <c r="X128" s="35"/>
      <c r="Y128" s="35"/>
    </row>
    <row r="129">
      <c r="A129" s="38" t="s">
        <v>162</v>
      </c>
      <c r="C129" s="92"/>
      <c r="I129" s="35"/>
      <c r="J129" s="35"/>
      <c r="K129" s="35"/>
      <c r="L129" s="35"/>
      <c r="M129" s="35"/>
      <c r="N129" s="35"/>
      <c r="O129" s="35"/>
      <c r="P129" s="35"/>
      <c r="Q129" s="35"/>
      <c r="R129" s="35"/>
      <c r="S129" s="35"/>
      <c r="T129" s="35"/>
      <c r="U129" s="35"/>
      <c r="V129" s="35"/>
      <c r="W129" s="35"/>
      <c r="X129" s="35"/>
      <c r="Y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c r="A131" s="38" t="s">
        <v>163</v>
      </c>
      <c r="C131" s="92"/>
      <c r="I131" s="35"/>
      <c r="J131" s="35"/>
      <c r="K131" s="35"/>
      <c r="L131" s="35"/>
      <c r="M131" s="35"/>
      <c r="N131" s="35"/>
      <c r="O131" s="35"/>
      <c r="P131" s="35"/>
      <c r="Q131" s="35"/>
      <c r="R131" s="35"/>
      <c r="S131" s="35"/>
      <c r="T131" s="35"/>
      <c r="U131" s="35"/>
      <c r="V131" s="35"/>
      <c r="W131" s="35"/>
      <c r="X131" s="35"/>
      <c r="Y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c r="A133" s="38" t="s">
        <v>164</v>
      </c>
      <c r="C133" s="92"/>
      <c r="I133" s="35"/>
      <c r="K133" s="94"/>
      <c r="L133" s="94"/>
      <c r="M133" s="94"/>
      <c r="N133" s="94"/>
      <c r="O133" s="94"/>
      <c r="P133" s="94"/>
      <c r="Q133" s="38" t="s">
        <v>164</v>
      </c>
      <c r="S133" s="92"/>
      <c r="Y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c r="A135" s="86" t="s">
        <v>165</v>
      </c>
      <c r="B135" s="88"/>
      <c r="C135" s="81"/>
      <c r="D135" s="81"/>
      <c r="E135" s="81"/>
      <c r="F135" s="81"/>
      <c r="G135" s="81"/>
      <c r="H135" s="82"/>
      <c r="I135" s="35"/>
      <c r="J135" s="35"/>
      <c r="K135" s="35"/>
      <c r="L135" s="35"/>
      <c r="M135" s="35"/>
      <c r="N135" s="35"/>
      <c r="O135" s="35"/>
      <c r="P135" s="35"/>
      <c r="Q135" s="35"/>
      <c r="R135" s="35"/>
      <c r="S135" s="35"/>
      <c r="T135" s="35"/>
      <c r="U135" s="35"/>
      <c r="V135" s="35"/>
      <c r="W135" s="35"/>
      <c r="X135" s="35"/>
      <c r="Y135" s="35"/>
    </row>
    <row r="136">
      <c r="B136" s="88"/>
      <c r="C136" s="81"/>
      <c r="D136" s="81"/>
      <c r="E136" s="81"/>
      <c r="F136" s="81"/>
      <c r="G136" s="81"/>
      <c r="H136" s="82"/>
      <c r="I136" s="35"/>
      <c r="J136" s="35"/>
      <c r="K136" s="35"/>
      <c r="L136" s="35"/>
      <c r="M136" s="35"/>
      <c r="N136" s="35"/>
      <c r="O136" s="35"/>
      <c r="P136" s="35"/>
      <c r="Q136" s="35"/>
      <c r="R136" s="35"/>
      <c r="S136" s="35"/>
      <c r="T136" s="35"/>
      <c r="U136" s="35"/>
      <c r="V136" s="35"/>
      <c r="W136" s="35"/>
      <c r="X136" s="35"/>
      <c r="Y136" s="35"/>
    </row>
    <row r="137">
      <c r="B137" s="88"/>
      <c r="C137" s="81"/>
      <c r="D137" s="81"/>
      <c r="E137" s="81"/>
      <c r="F137" s="81"/>
      <c r="G137" s="81"/>
      <c r="H137" s="82"/>
      <c r="I137" s="35"/>
      <c r="J137" s="35"/>
      <c r="K137" s="35"/>
      <c r="L137" s="35"/>
      <c r="M137" s="35"/>
      <c r="N137" s="35"/>
      <c r="O137" s="35"/>
      <c r="P137" s="35"/>
      <c r="Q137" s="35"/>
      <c r="R137" s="35"/>
      <c r="S137" s="35"/>
      <c r="T137" s="35"/>
      <c r="U137" s="35"/>
      <c r="V137" s="35"/>
      <c r="W137" s="35"/>
      <c r="X137" s="35"/>
      <c r="Y137" s="35"/>
    </row>
    <row r="138">
      <c r="B138" s="88"/>
      <c r="C138" s="81"/>
      <c r="D138" s="81"/>
      <c r="E138" s="81"/>
      <c r="F138" s="81"/>
      <c r="G138" s="81"/>
      <c r="H138" s="82"/>
      <c r="I138" s="35"/>
      <c r="J138" s="35"/>
      <c r="K138" s="35"/>
      <c r="L138" s="35"/>
      <c r="M138" s="35"/>
      <c r="N138" s="35"/>
      <c r="O138" s="35"/>
      <c r="P138" s="35"/>
      <c r="Q138" s="35"/>
      <c r="R138" s="35"/>
      <c r="S138" s="35"/>
      <c r="T138" s="35"/>
      <c r="U138" s="35"/>
      <c r="V138" s="35"/>
      <c r="W138" s="35"/>
      <c r="X138" s="35"/>
      <c r="Y138" s="35"/>
    </row>
    <row r="139">
      <c r="B139" s="88"/>
      <c r="C139" s="81"/>
      <c r="D139" s="81"/>
      <c r="E139" s="81"/>
      <c r="F139" s="81"/>
      <c r="G139" s="81"/>
      <c r="H139" s="82"/>
      <c r="I139" s="35"/>
      <c r="J139" s="35"/>
      <c r="K139" s="35"/>
      <c r="L139" s="35"/>
      <c r="M139" s="35"/>
      <c r="N139" s="35"/>
      <c r="O139" s="35"/>
      <c r="P139" s="35"/>
      <c r="Q139" s="35"/>
      <c r="R139" s="35"/>
      <c r="S139" s="35"/>
      <c r="T139" s="35"/>
      <c r="U139" s="35"/>
      <c r="V139" s="35"/>
      <c r="W139" s="35"/>
      <c r="X139" s="35"/>
      <c r="Y139" s="35"/>
    </row>
    <row r="140">
      <c r="B140" s="88"/>
      <c r="C140" s="81"/>
      <c r="D140" s="81"/>
      <c r="E140" s="81"/>
      <c r="F140" s="81"/>
      <c r="G140" s="81"/>
      <c r="H140" s="82"/>
      <c r="I140" s="35"/>
      <c r="J140" s="35"/>
      <c r="K140" s="35"/>
      <c r="L140" s="35"/>
      <c r="M140" s="35"/>
      <c r="N140" s="35"/>
      <c r="O140" s="35"/>
      <c r="P140" s="35"/>
      <c r="Q140" s="35"/>
      <c r="R140" s="35"/>
      <c r="S140" s="35"/>
      <c r="T140" s="35"/>
      <c r="U140" s="35"/>
      <c r="V140" s="35"/>
      <c r="W140" s="35"/>
      <c r="X140" s="35"/>
      <c r="Y140" s="35"/>
    </row>
    <row r="141">
      <c r="B141" s="88"/>
      <c r="C141" s="81"/>
      <c r="D141" s="81"/>
      <c r="E141" s="81"/>
      <c r="F141" s="81"/>
      <c r="G141" s="81"/>
      <c r="H141" s="82"/>
      <c r="I141" s="35"/>
      <c r="J141" s="35"/>
      <c r="K141" s="35"/>
      <c r="L141" s="35"/>
      <c r="M141" s="35"/>
      <c r="N141" s="35"/>
      <c r="O141" s="35"/>
      <c r="P141" s="35"/>
      <c r="Q141" s="35"/>
      <c r="R141" s="35"/>
      <c r="S141" s="35"/>
      <c r="T141" s="35"/>
      <c r="U141" s="35"/>
      <c r="V141" s="35"/>
      <c r="W141" s="35"/>
      <c r="X141" s="35"/>
      <c r="Y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c r="A145" s="89" t="s">
        <v>166</v>
      </c>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c r="A146" s="93"/>
      <c r="B146" s="81"/>
      <c r="C146" s="81"/>
      <c r="D146" s="81"/>
      <c r="E146" s="81"/>
      <c r="F146" s="81"/>
      <c r="G146" s="81"/>
      <c r="H146" s="82"/>
      <c r="I146" s="35"/>
      <c r="J146" s="35"/>
      <c r="K146" s="35"/>
      <c r="L146" s="35"/>
      <c r="M146" s="35"/>
      <c r="N146" s="35"/>
      <c r="O146" s="35"/>
      <c r="P146" s="35"/>
      <c r="Q146" s="35"/>
      <c r="R146" s="35"/>
      <c r="S146" s="35"/>
      <c r="T146" s="35"/>
      <c r="U146" s="35"/>
      <c r="V146" s="35"/>
      <c r="W146" s="35"/>
      <c r="X146" s="35"/>
      <c r="Y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c r="A149" s="84" t="s">
        <v>182</v>
      </c>
      <c r="B149" s="84"/>
      <c r="C149" s="84"/>
      <c r="D149" s="84"/>
      <c r="E149" s="84"/>
      <c r="F149" s="84"/>
      <c r="G149" s="84"/>
      <c r="H149" s="84"/>
      <c r="I149" s="35"/>
      <c r="J149" s="35"/>
      <c r="K149" s="35"/>
      <c r="L149" s="35"/>
      <c r="M149" s="35"/>
      <c r="N149" s="35"/>
      <c r="O149" s="35"/>
      <c r="P149" s="35"/>
      <c r="Q149" s="35"/>
      <c r="R149" s="35"/>
      <c r="S149" s="35"/>
      <c r="T149" s="35"/>
      <c r="U149" s="35"/>
      <c r="V149" s="35"/>
      <c r="W149" s="35"/>
      <c r="X149" s="35"/>
      <c r="Y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c r="A151" s="38" t="s">
        <v>160</v>
      </c>
      <c r="B151" s="92"/>
      <c r="I151" s="35"/>
      <c r="J151" s="35"/>
      <c r="K151" s="35"/>
      <c r="L151" s="35"/>
      <c r="M151" s="35"/>
      <c r="N151" s="35"/>
      <c r="O151" s="35"/>
      <c r="P151" s="35"/>
      <c r="Q151" s="35"/>
      <c r="R151" s="35"/>
      <c r="S151" s="35"/>
      <c r="T151" s="35"/>
      <c r="U151" s="35"/>
      <c r="V151" s="35"/>
      <c r="W151" s="35"/>
      <c r="X151" s="35"/>
      <c r="Y151" s="35"/>
    </row>
    <row r="152">
      <c r="A152" s="35"/>
      <c r="B152" s="35"/>
      <c r="C152" s="35"/>
      <c r="D152" s="35"/>
      <c r="E152" s="35"/>
      <c r="F152" s="35"/>
      <c r="G152" s="35"/>
      <c r="H152" s="91"/>
      <c r="I152" s="35"/>
      <c r="J152" s="35"/>
      <c r="K152" s="35"/>
      <c r="L152" s="35"/>
      <c r="M152" s="35"/>
      <c r="N152" s="35"/>
      <c r="O152" s="35"/>
      <c r="P152" s="35"/>
      <c r="Q152" s="35"/>
      <c r="R152" s="35"/>
      <c r="S152" s="35"/>
      <c r="T152" s="35"/>
      <c r="U152" s="35"/>
      <c r="V152" s="35"/>
      <c r="W152" s="35"/>
      <c r="X152" s="35"/>
      <c r="Y152" s="35"/>
    </row>
    <row r="153">
      <c r="A153" s="38" t="s">
        <v>162</v>
      </c>
      <c r="C153" s="92"/>
      <c r="I153" s="35"/>
      <c r="J153" s="35"/>
      <c r="K153" s="35"/>
      <c r="L153" s="35"/>
      <c r="M153" s="35"/>
      <c r="N153" s="35"/>
      <c r="O153" s="35"/>
      <c r="P153" s="35"/>
      <c r="Q153" s="35"/>
      <c r="R153" s="35"/>
      <c r="S153" s="35"/>
      <c r="T153" s="35"/>
      <c r="U153" s="35"/>
      <c r="V153" s="35"/>
      <c r="W153" s="35"/>
      <c r="X153" s="35"/>
      <c r="Y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c r="A155" s="38" t="s">
        <v>163</v>
      </c>
      <c r="C155" s="92"/>
      <c r="I155" s="35"/>
      <c r="J155" s="35"/>
      <c r="K155" s="35"/>
      <c r="L155" s="35"/>
      <c r="M155" s="35"/>
      <c r="N155" s="35"/>
      <c r="O155" s="35"/>
      <c r="P155" s="35"/>
      <c r="Q155" s="35"/>
      <c r="R155" s="35"/>
      <c r="S155" s="35"/>
      <c r="T155" s="35"/>
      <c r="U155" s="35"/>
      <c r="V155" s="35"/>
      <c r="W155" s="35"/>
      <c r="X155" s="35"/>
      <c r="Y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c r="A157" s="38" t="s">
        <v>164</v>
      </c>
      <c r="C157" s="92"/>
      <c r="I157" s="35"/>
      <c r="K157" s="94"/>
      <c r="L157" s="94"/>
      <c r="M157" s="94"/>
      <c r="N157" s="94"/>
      <c r="O157" s="94"/>
      <c r="P157" s="94"/>
      <c r="Q157" s="38" t="s">
        <v>164</v>
      </c>
      <c r="S157" s="92"/>
      <c r="Y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c r="A159" s="86" t="s">
        <v>165</v>
      </c>
      <c r="B159" s="88"/>
      <c r="C159" s="81"/>
      <c r="D159" s="81"/>
      <c r="E159" s="81"/>
      <c r="F159" s="81"/>
      <c r="G159" s="81"/>
      <c r="H159" s="82"/>
      <c r="I159" s="35"/>
      <c r="J159" s="35"/>
      <c r="K159" s="35"/>
      <c r="L159" s="35"/>
      <c r="M159" s="35"/>
      <c r="N159" s="35"/>
      <c r="O159" s="35"/>
      <c r="P159" s="35"/>
      <c r="Q159" s="35"/>
      <c r="R159" s="35"/>
      <c r="S159" s="35"/>
      <c r="T159" s="35"/>
      <c r="U159" s="35"/>
      <c r="V159" s="35"/>
      <c r="W159" s="35"/>
      <c r="X159" s="35"/>
      <c r="Y159" s="35"/>
    </row>
    <row r="160">
      <c r="B160" s="88"/>
      <c r="C160" s="81"/>
      <c r="D160" s="81"/>
      <c r="E160" s="81"/>
      <c r="F160" s="81"/>
      <c r="G160" s="81"/>
      <c r="H160" s="82"/>
      <c r="I160" s="35"/>
      <c r="J160" s="35"/>
      <c r="K160" s="35"/>
      <c r="L160" s="35"/>
      <c r="M160" s="35"/>
      <c r="N160" s="35"/>
      <c r="O160" s="35"/>
      <c r="P160" s="35"/>
      <c r="Q160" s="35"/>
      <c r="R160" s="35"/>
      <c r="S160" s="35"/>
      <c r="T160" s="35"/>
      <c r="U160" s="35"/>
      <c r="V160" s="35"/>
      <c r="W160" s="35"/>
      <c r="X160" s="35"/>
      <c r="Y160" s="35"/>
    </row>
    <row r="161">
      <c r="B161" s="88"/>
      <c r="C161" s="81"/>
      <c r="D161" s="81"/>
      <c r="E161" s="81"/>
      <c r="F161" s="81"/>
      <c r="G161" s="81"/>
      <c r="H161" s="82"/>
      <c r="I161" s="35"/>
      <c r="J161" s="35"/>
      <c r="K161" s="35"/>
      <c r="L161" s="35"/>
      <c r="M161" s="35"/>
      <c r="N161" s="35"/>
      <c r="O161" s="35"/>
      <c r="P161" s="35"/>
      <c r="Q161" s="35"/>
      <c r="R161" s="35"/>
      <c r="S161" s="35"/>
      <c r="T161" s="35"/>
      <c r="U161" s="35"/>
      <c r="V161" s="35"/>
      <c r="W161" s="35"/>
      <c r="X161" s="35"/>
      <c r="Y161" s="35"/>
    </row>
    <row r="162">
      <c r="B162" s="88"/>
      <c r="C162" s="81"/>
      <c r="D162" s="81"/>
      <c r="E162" s="81"/>
      <c r="F162" s="81"/>
      <c r="G162" s="81"/>
      <c r="H162" s="82"/>
      <c r="I162" s="35"/>
      <c r="J162" s="35"/>
      <c r="K162" s="35"/>
      <c r="L162" s="35"/>
      <c r="M162" s="35"/>
      <c r="N162" s="35"/>
      <c r="O162" s="35"/>
      <c r="P162" s="35"/>
      <c r="Q162" s="35"/>
      <c r="R162" s="35"/>
      <c r="S162" s="35"/>
      <c r="T162" s="35"/>
      <c r="U162" s="35"/>
      <c r="V162" s="35"/>
      <c r="W162" s="35"/>
      <c r="X162" s="35"/>
      <c r="Y162" s="35"/>
    </row>
    <row r="163">
      <c r="B163" s="88"/>
      <c r="C163" s="81"/>
      <c r="D163" s="81"/>
      <c r="E163" s="81"/>
      <c r="F163" s="81"/>
      <c r="G163" s="81"/>
      <c r="H163" s="82"/>
      <c r="I163" s="35"/>
      <c r="J163" s="35"/>
      <c r="K163" s="35"/>
      <c r="L163" s="35"/>
      <c r="M163" s="35"/>
      <c r="N163" s="35"/>
      <c r="O163" s="35"/>
      <c r="P163" s="35"/>
      <c r="Q163" s="35"/>
      <c r="R163" s="35"/>
      <c r="S163" s="35"/>
      <c r="T163" s="35"/>
      <c r="U163" s="35"/>
      <c r="V163" s="35"/>
      <c r="W163" s="35"/>
      <c r="X163" s="35"/>
      <c r="Y163" s="35"/>
    </row>
    <row r="164">
      <c r="B164" s="88"/>
      <c r="C164" s="81"/>
      <c r="D164" s="81"/>
      <c r="E164" s="81"/>
      <c r="F164" s="81"/>
      <c r="G164" s="81"/>
      <c r="H164" s="82"/>
      <c r="I164" s="35"/>
      <c r="J164" s="35"/>
      <c r="K164" s="35"/>
      <c r="L164" s="35"/>
      <c r="M164" s="35"/>
      <c r="N164" s="35"/>
      <c r="O164" s="35"/>
      <c r="P164" s="35"/>
      <c r="Q164" s="35"/>
      <c r="R164" s="35"/>
      <c r="S164" s="35"/>
      <c r="T164" s="35"/>
      <c r="U164" s="35"/>
      <c r="V164" s="35"/>
      <c r="W164" s="35"/>
      <c r="X164" s="35"/>
      <c r="Y164" s="35"/>
    </row>
    <row r="165">
      <c r="B165" s="88"/>
      <c r="C165" s="81"/>
      <c r="D165" s="81"/>
      <c r="E165" s="81"/>
      <c r="F165" s="81"/>
      <c r="G165" s="81"/>
      <c r="H165" s="82"/>
      <c r="I165" s="35"/>
      <c r="J165" s="35"/>
      <c r="K165" s="35"/>
      <c r="L165" s="35"/>
      <c r="M165" s="35"/>
      <c r="N165" s="35"/>
      <c r="O165" s="35"/>
      <c r="P165" s="35"/>
      <c r="Q165" s="35"/>
      <c r="R165" s="35"/>
      <c r="S165" s="35"/>
      <c r="T165" s="35"/>
      <c r="U165" s="35"/>
      <c r="V165" s="35"/>
      <c r="W165" s="35"/>
      <c r="X165" s="35"/>
      <c r="Y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c r="A169" s="89" t="s">
        <v>166</v>
      </c>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c r="A170" s="93"/>
      <c r="B170" s="81"/>
      <c r="C170" s="81"/>
      <c r="D170" s="81"/>
      <c r="E170" s="81"/>
      <c r="F170" s="81"/>
      <c r="G170" s="81"/>
      <c r="H170" s="82"/>
      <c r="I170" s="35"/>
      <c r="J170" s="35"/>
      <c r="K170" s="35"/>
      <c r="L170" s="35"/>
      <c r="M170" s="35"/>
      <c r="N170" s="35"/>
      <c r="O170" s="35"/>
      <c r="P170" s="35"/>
      <c r="Q170" s="35"/>
      <c r="R170" s="35"/>
      <c r="S170" s="35"/>
      <c r="T170" s="35"/>
      <c r="U170" s="35"/>
      <c r="V170" s="35"/>
      <c r="W170" s="35"/>
      <c r="X170" s="35"/>
      <c r="Y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sheetData>
  <mergeCells count="125">
    <mergeCell ref="A61:B61"/>
    <mergeCell ref="C61:H61"/>
    <mergeCell ref="B63:H63"/>
    <mergeCell ref="B64:H64"/>
    <mergeCell ref="B65:H65"/>
    <mergeCell ref="B66:H66"/>
    <mergeCell ref="B67:H67"/>
    <mergeCell ref="I85:J85"/>
    <mergeCell ref="Q85:R85"/>
    <mergeCell ref="S85:X85"/>
    <mergeCell ref="B68:H68"/>
    <mergeCell ref="B69:H69"/>
    <mergeCell ref="A74:H74"/>
    <mergeCell ref="B79:H79"/>
    <mergeCell ref="A81:B81"/>
    <mergeCell ref="C81:H81"/>
    <mergeCell ref="C83:H83"/>
    <mergeCell ref="A83:B83"/>
    <mergeCell ref="A85:B85"/>
    <mergeCell ref="C85:H85"/>
    <mergeCell ref="B87:H87"/>
    <mergeCell ref="B88:H88"/>
    <mergeCell ref="B89:H89"/>
    <mergeCell ref="B90:H90"/>
    <mergeCell ref="I109:J109"/>
    <mergeCell ref="Q109:R109"/>
    <mergeCell ref="S109:X109"/>
    <mergeCell ref="B91:H91"/>
    <mergeCell ref="B92:H92"/>
    <mergeCell ref="B93:H93"/>
    <mergeCell ref="A98:H98"/>
    <mergeCell ref="B103:H103"/>
    <mergeCell ref="A105:B105"/>
    <mergeCell ref="C105:H105"/>
    <mergeCell ref="A107:B107"/>
    <mergeCell ref="C107:H107"/>
    <mergeCell ref="A109:B109"/>
    <mergeCell ref="C109:H109"/>
    <mergeCell ref="B111:H111"/>
    <mergeCell ref="B112:H112"/>
    <mergeCell ref="B113:H113"/>
    <mergeCell ref="I133:J133"/>
    <mergeCell ref="Q133:R133"/>
    <mergeCell ref="S133:X133"/>
    <mergeCell ref="B114:H114"/>
    <mergeCell ref="B115:H115"/>
    <mergeCell ref="B116:H116"/>
    <mergeCell ref="B117:H117"/>
    <mergeCell ref="A122:H122"/>
    <mergeCell ref="B127:H127"/>
    <mergeCell ref="C129:H129"/>
    <mergeCell ref="A129:B129"/>
    <mergeCell ref="A131:B131"/>
    <mergeCell ref="C131:H131"/>
    <mergeCell ref="A133:B133"/>
    <mergeCell ref="C133:H133"/>
    <mergeCell ref="B135:H135"/>
    <mergeCell ref="B136:H136"/>
    <mergeCell ref="I157:J157"/>
    <mergeCell ref="Q157:R157"/>
    <mergeCell ref="S157:X157"/>
    <mergeCell ref="B137:H137"/>
    <mergeCell ref="B138:H138"/>
    <mergeCell ref="B139:H139"/>
    <mergeCell ref="B140:H140"/>
    <mergeCell ref="B141:H141"/>
    <mergeCell ref="A146:H146"/>
    <mergeCell ref="B151:H151"/>
    <mergeCell ref="A13:B13"/>
    <mergeCell ref="A15:A21"/>
    <mergeCell ref="A39:A45"/>
    <mergeCell ref="A63:A69"/>
    <mergeCell ref="A87:A93"/>
    <mergeCell ref="A111:A117"/>
    <mergeCell ref="A135:A141"/>
    <mergeCell ref="A159:A165"/>
    <mergeCell ref="B1:H1"/>
    <mergeCell ref="A3:G3"/>
    <mergeCell ref="A9:B9"/>
    <mergeCell ref="C9:H9"/>
    <mergeCell ref="A11:B11"/>
    <mergeCell ref="C11:H11"/>
    <mergeCell ref="C13:H13"/>
    <mergeCell ref="B15:H15"/>
    <mergeCell ref="B16:H16"/>
    <mergeCell ref="B17:H17"/>
    <mergeCell ref="B18:H18"/>
    <mergeCell ref="B19:H19"/>
    <mergeCell ref="B20:H20"/>
    <mergeCell ref="B21:H21"/>
    <mergeCell ref="A26:H26"/>
    <mergeCell ref="B31:H31"/>
    <mergeCell ref="A33:B33"/>
    <mergeCell ref="C33:H33"/>
    <mergeCell ref="A35:B35"/>
    <mergeCell ref="C35:H35"/>
    <mergeCell ref="A37:B37"/>
    <mergeCell ref="C37:H37"/>
    <mergeCell ref="B39:H39"/>
    <mergeCell ref="B40:H40"/>
    <mergeCell ref="B41:H41"/>
    <mergeCell ref="B42:H42"/>
    <mergeCell ref="B43:H43"/>
    <mergeCell ref="B44:H44"/>
    <mergeCell ref="B45:H45"/>
    <mergeCell ref="A50:H50"/>
    <mergeCell ref="B55:H55"/>
    <mergeCell ref="A57:B57"/>
    <mergeCell ref="C57:H57"/>
    <mergeCell ref="A59:B59"/>
    <mergeCell ref="C59:H59"/>
    <mergeCell ref="B160:H160"/>
    <mergeCell ref="B161:H161"/>
    <mergeCell ref="B162:H162"/>
    <mergeCell ref="B163:H163"/>
    <mergeCell ref="B164:H164"/>
    <mergeCell ref="B165:H165"/>
    <mergeCell ref="A170:H170"/>
    <mergeCell ref="A153:B153"/>
    <mergeCell ref="C153:H153"/>
    <mergeCell ref="A155:B155"/>
    <mergeCell ref="C155:H155"/>
    <mergeCell ref="A157:B157"/>
    <mergeCell ref="C157:H157"/>
    <mergeCell ref="B159:H159"/>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0</v>
      </c>
      <c r="B1" s="34" t="str">
        <f>'Diseño Curricular'!B1</f>
        <v>90 - Programacion de Computadoras 1</v>
      </c>
      <c r="I1" s="35"/>
      <c r="J1" s="35"/>
    </row>
    <row r="2">
      <c r="A2" s="35"/>
      <c r="B2" s="35"/>
      <c r="C2" s="35"/>
      <c r="D2" s="35"/>
      <c r="E2" s="35"/>
      <c r="F2" s="35"/>
      <c r="G2" s="35"/>
      <c r="H2" s="35"/>
      <c r="I2" s="35"/>
      <c r="J2" s="35"/>
    </row>
    <row r="3">
      <c r="A3" s="38" t="s">
        <v>183</v>
      </c>
      <c r="H3" s="83">
        <f>SUM(C11,C35,C59,C83,C107,C131,C155)</f>
        <v>15</v>
      </c>
      <c r="I3" s="35"/>
      <c r="J3" s="35"/>
    </row>
    <row r="4">
      <c r="A4" s="35"/>
      <c r="B4" s="35"/>
      <c r="C4" s="35"/>
      <c r="D4" s="35"/>
      <c r="E4" s="35"/>
      <c r="F4" s="35"/>
      <c r="G4" s="35"/>
      <c r="H4" s="35"/>
      <c r="I4" s="35"/>
      <c r="J4" s="35"/>
    </row>
    <row r="5">
      <c r="A5" s="84" t="s">
        <v>184</v>
      </c>
      <c r="B5" s="84"/>
      <c r="C5" s="84"/>
      <c r="D5" s="84"/>
      <c r="E5" s="84"/>
      <c r="F5" s="84"/>
      <c r="G5" s="84"/>
      <c r="H5" s="84"/>
      <c r="I5" s="35"/>
      <c r="J5" s="35"/>
    </row>
    <row r="6">
      <c r="A6" s="35"/>
      <c r="B6" s="35"/>
      <c r="C6" s="35"/>
      <c r="D6" s="35"/>
      <c r="E6" s="35"/>
      <c r="F6" s="35"/>
      <c r="G6" s="35"/>
      <c r="H6" s="35"/>
      <c r="I6" s="35"/>
      <c r="J6" s="35"/>
    </row>
    <row r="7">
      <c r="A7" s="38" t="s">
        <v>160</v>
      </c>
      <c r="B7" s="85" t="s">
        <v>185</v>
      </c>
      <c r="I7" s="35"/>
      <c r="J7" s="35"/>
    </row>
    <row r="8">
      <c r="A8" s="35"/>
      <c r="B8" s="35"/>
      <c r="C8" s="35"/>
      <c r="D8" s="35"/>
      <c r="E8" s="35"/>
      <c r="F8" s="35"/>
      <c r="G8" s="35"/>
      <c r="H8" s="35"/>
      <c r="I8" s="35"/>
      <c r="J8" s="35"/>
    </row>
    <row r="9">
      <c r="A9" s="38" t="s">
        <v>162</v>
      </c>
      <c r="C9" s="85">
        <v>3.0</v>
      </c>
      <c r="I9" s="35"/>
      <c r="J9" s="35"/>
    </row>
    <row r="10">
      <c r="A10" s="35"/>
      <c r="B10" s="35"/>
      <c r="C10" s="35"/>
      <c r="D10" s="35"/>
      <c r="E10" s="35"/>
      <c r="F10" s="35"/>
      <c r="G10" s="35"/>
      <c r="H10" s="35"/>
      <c r="I10" s="35"/>
      <c r="J10" s="35"/>
    </row>
    <row r="11">
      <c r="A11" s="38" t="s">
        <v>163</v>
      </c>
      <c r="C11" s="85">
        <v>3.0</v>
      </c>
      <c r="I11" s="35"/>
      <c r="J11" s="35"/>
    </row>
    <row r="12">
      <c r="A12" s="35"/>
      <c r="B12" s="35"/>
      <c r="C12" s="35"/>
      <c r="D12" s="35"/>
      <c r="E12" s="35"/>
      <c r="F12" s="35"/>
      <c r="G12" s="35"/>
      <c r="H12" s="35"/>
      <c r="I12" s="35"/>
      <c r="J12" s="35"/>
    </row>
    <row r="13">
      <c r="A13" s="38" t="s">
        <v>186</v>
      </c>
      <c r="C13" s="85">
        <v>2.0</v>
      </c>
      <c r="I13" s="35"/>
      <c r="J13" s="35"/>
    </row>
    <row r="14">
      <c r="A14" s="35"/>
      <c r="B14" s="35"/>
      <c r="C14" s="35"/>
      <c r="D14" s="35"/>
      <c r="E14" s="35"/>
      <c r="F14" s="35"/>
      <c r="G14" s="35"/>
      <c r="H14" s="35"/>
      <c r="I14" s="35"/>
      <c r="J14" s="35"/>
    </row>
    <row r="15">
      <c r="A15" s="86" t="s">
        <v>165</v>
      </c>
      <c r="B15" s="87" t="s">
        <v>10</v>
      </c>
      <c r="C15" s="81"/>
      <c r="D15" s="81"/>
      <c r="E15" s="81"/>
      <c r="F15" s="81"/>
      <c r="G15" s="81"/>
      <c r="H15" s="82"/>
      <c r="I15" s="35"/>
      <c r="J15" s="35"/>
    </row>
    <row r="16">
      <c r="B16" s="87" t="s">
        <v>21</v>
      </c>
      <c r="C16" s="81"/>
      <c r="D16" s="81"/>
      <c r="E16" s="81"/>
      <c r="F16" s="81"/>
      <c r="G16" s="81"/>
      <c r="H16" s="82"/>
      <c r="I16" s="35"/>
      <c r="J16" s="35"/>
    </row>
    <row r="17">
      <c r="B17" s="88"/>
      <c r="C17" s="81"/>
      <c r="D17" s="81"/>
      <c r="E17" s="81"/>
      <c r="F17" s="81"/>
      <c r="G17" s="81"/>
      <c r="H17" s="82"/>
      <c r="I17" s="35"/>
      <c r="J17" s="35"/>
    </row>
    <row r="18">
      <c r="B18" s="88"/>
      <c r="C18" s="81"/>
      <c r="D18" s="81"/>
      <c r="E18" s="81"/>
      <c r="F18" s="81"/>
      <c r="G18" s="81"/>
      <c r="H18" s="82"/>
      <c r="I18" s="35"/>
      <c r="J18" s="35"/>
    </row>
    <row r="19">
      <c r="B19" s="88"/>
      <c r="C19" s="81"/>
      <c r="D19" s="81"/>
      <c r="E19" s="81"/>
      <c r="F19" s="81"/>
      <c r="G19" s="81"/>
      <c r="H19" s="82"/>
      <c r="I19" s="35"/>
      <c r="J19" s="35"/>
    </row>
    <row r="20">
      <c r="B20" s="88"/>
      <c r="C20" s="81"/>
      <c r="D20" s="81"/>
      <c r="E20" s="81"/>
      <c r="F20" s="81"/>
      <c r="G20" s="81"/>
      <c r="H20" s="82"/>
      <c r="I20" s="35"/>
      <c r="J20" s="35"/>
    </row>
    <row r="21">
      <c r="B21" s="88"/>
      <c r="C21" s="81"/>
      <c r="D21" s="81"/>
      <c r="E21" s="81"/>
      <c r="F21" s="81"/>
      <c r="G21" s="81"/>
      <c r="H21" s="82"/>
      <c r="I21" s="35"/>
      <c r="J21" s="35"/>
    </row>
    <row r="22">
      <c r="A22" s="35"/>
      <c r="B22" s="35"/>
      <c r="C22" s="35"/>
      <c r="D22" s="35"/>
      <c r="E22" s="35"/>
      <c r="F22" s="35"/>
      <c r="G22" s="35"/>
      <c r="H22" s="35"/>
      <c r="I22" s="35"/>
      <c r="J22" s="35"/>
    </row>
    <row r="23">
      <c r="A23" s="35"/>
      <c r="B23" s="35"/>
      <c r="C23" s="35"/>
      <c r="D23" s="35"/>
      <c r="E23" s="35"/>
      <c r="F23" s="35"/>
      <c r="G23" s="35"/>
      <c r="H23" s="35"/>
      <c r="I23" s="35"/>
      <c r="J23" s="35"/>
    </row>
    <row r="24">
      <c r="A24" s="35"/>
      <c r="B24" s="35"/>
      <c r="C24" s="35"/>
      <c r="D24" s="35"/>
      <c r="E24" s="35"/>
      <c r="F24" s="35"/>
      <c r="G24" s="35"/>
      <c r="H24" s="35"/>
      <c r="I24" s="35"/>
      <c r="J24" s="35"/>
    </row>
    <row r="25">
      <c r="A25" s="89" t="s">
        <v>166</v>
      </c>
      <c r="B25" s="35"/>
      <c r="C25" s="35"/>
      <c r="D25" s="35"/>
      <c r="E25" s="35"/>
      <c r="F25" s="35"/>
      <c r="G25" s="35"/>
      <c r="H25" s="35"/>
      <c r="I25" s="35"/>
      <c r="J25" s="35"/>
    </row>
    <row r="26">
      <c r="A26" s="95" t="s">
        <v>187</v>
      </c>
      <c r="B26" s="81"/>
      <c r="C26" s="81"/>
      <c r="D26" s="81"/>
      <c r="E26" s="81"/>
      <c r="F26" s="81"/>
      <c r="G26" s="81"/>
      <c r="H26" s="82"/>
      <c r="I26" s="35"/>
      <c r="J26" s="35"/>
    </row>
    <row r="27">
      <c r="A27" s="35"/>
      <c r="B27" s="35"/>
      <c r="C27" s="35"/>
      <c r="D27" s="35"/>
      <c r="E27" s="35"/>
      <c r="F27" s="35"/>
      <c r="G27" s="35"/>
      <c r="H27" s="35"/>
      <c r="I27" s="35"/>
      <c r="J27" s="35"/>
    </row>
    <row r="28">
      <c r="A28" s="35"/>
      <c r="B28" s="35"/>
      <c r="C28" s="35"/>
      <c r="D28" s="35"/>
      <c r="E28" s="35"/>
      <c r="F28" s="35"/>
      <c r="G28" s="35"/>
      <c r="H28" s="35"/>
      <c r="I28" s="35"/>
      <c r="J28" s="35"/>
    </row>
    <row r="29">
      <c r="A29" s="84" t="s">
        <v>188</v>
      </c>
      <c r="B29" s="84"/>
      <c r="C29" s="84"/>
      <c r="D29" s="84"/>
      <c r="E29" s="84"/>
      <c r="F29" s="84"/>
      <c r="G29" s="84"/>
      <c r="H29" s="84"/>
      <c r="I29" s="35"/>
      <c r="J29" s="35"/>
    </row>
    <row r="30">
      <c r="A30" s="35"/>
      <c r="B30" s="35"/>
      <c r="C30" s="35"/>
      <c r="D30" s="35"/>
      <c r="E30" s="35"/>
      <c r="F30" s="35"/>
      <c r="G30" s="35"/>
      <c r="H30" s="35"/>
      <c r="I30" s="35"/>
      <c r="J30" s="35"/>
    </row>
    <row r="31">
      <c r="A31" s="38" t="s">
        <v>160</v>
      </c>
      <c r="B31" s="85" t="s">
        <v>189</v>
      </c>
      <c r="I31" s="35"/>
      <c r="J31" s="35"/>
    </row>
    <row r="32">
      <c r="A32" s="35"/>
      <c r="B32" s="35"/>
      <c r="C32" s="35"/>
      <c r="D32" s="35"/>
      <c r="E32" s="35"/>
      <c r="F32" s="35"/>
      <c r="G32" s="35"/>
      <c r="H32" s="91"/>
      <c r="I32" s="35"/>
      <c r="J32" s="35"/>
    </row>
    <row r="33">
      <c r="A33" s="38" t="s">
        <v>162</v>
      </c>
      <c r="C33" s="85">
        <v>3.0</v>
      </c>
      <c r="I33" s="35"/>
      <c r="J33" s="35"/>
    </row>
    <row r="34">
      <c r="A34" s="35"/>
      <c r="B34" s="35"/>
      <c r="C34" s="35"/>
      <c r="D34" s="35"/>
      <c r="E34" s="35"/>
      <c r="F34" s="35"/>
      <c r="G34" s="35"/>
      <c r="H34" s="35"/>
      <c r="I34" s="35"/>
      <c r="J34" s="35"/>
    </row>
    <row r="35">
      <c r="A35" s="38" t="s">
        <v>163</v>
      </c>
      <c r="C35" s="85">
        <v>3.0</v>
      </c>
      <c r="I35" s="35"/>
      <c r="J35" s="35"/>
    </row>
    <row r="36">
      <c r="A36" s="35"/>
      <c r="B36" s="35"/>
      <c r="C36" s="35"/>
      <c r="D36" s="35"/>
      <c r="E36" s="35"/>
      <c r="F36" s="35"/>
      <c r="G36" s="35"/>
      <c r="H36" s="35"/>
      <c r="I36" s="35"/>
      <c r="J36" s="35"/>
    </row>
    <row r="37">
      <c r="A37" s="38" t="s">
        <v>186</v>
      </c>
      <c r="C37" s="85">
        <v>4.0</v>
      </c>
      <c r="I37" s="35"/>
      <c r="J37" s="35"/>
    </row>
    <row r="38">
      <c r="A38" s="35"/>
      <c r="B38" s="35"/>
      <c r="C38" s="35"/>
      <c r="D38" s="35"/>
      <c r="E38" s="35"/>
      <c r="F38" s="35"/>
      <c r="G38" s="35"/>
      <c r="H38" s="35"/>
      <c r="I38" s="35"/>
      <c r="J38" s="35"/>
    </row>
    <row r="39">
      <c r="A39" s="86" t="s">
        <v>165</v>
      </c>
      <c r="B39" s="87" t="s">
        <v>29</v>
      </c>
      <c r="C39" s="81"/>
      <c r="D39" s="81"/>
      <c r="E39" s="81"/>
      <c r="F39" s="81"/>
      <c r="G39" s="81"/>
      <c r="H39" s="82"/>
      <c r="I39" s="35"/>
      <c r="J39" s="35"/>
    </row>
    <row r="40">
      <c r="B40" s="87" t="s">
        <v>21</v>
      </c>
      <c r="C40" s="81"/>
      <c r="D40" s="81"/>
      <c r="E40" s="81"/>
      <c r="F40" s="81"/>
      <c r="G40" s="81"/>
      <c r="H40" s="82"/>
      <c r="I40" s="35"/>
      <c r="J40" s="35"/>
    </row>
    <row r="41">
      <c r="B41" s="87" t="s">
        <v>82</v>
      </c>
      <c r="C41" s="81"/>
      <c r="D41" s="81"/>
      <c r="E41" s="81"/>
      <c r="F41" s="81"/>
      <c r="G41" s="81"/>
      <c r="H41" s="82"/>
      <c r="I41" s="35"/>
      <c r="J41" s="35"/>
    </row>
    <row r="42">
      <c r="B42" s="88"/>
      <c r="C42" s="81"/>
      <c r="D42" s="81"/>
      <c r="E42" s="81"/>
      <c r="F42" s="81"/>
      <c r="G42" s="81"/>
      <c r="H42" s="82"/>
      <c r="I42" s="35"/>
      <c r="J42" s="35"/>
    </row>
    <row r="43">
      <c r="B43" s="88"/>
      <c r="C43" s="81"/>
      <c r="D43" s="81"/>
      <c r="E43" s="81"/>
      <c r="F43" s="81"/>
      <c r="G43" s="81"/>
      <c r="H43" s="82"/>
      <c r="I43" s="35"/>
      <c r="J43" s="35"/>
    </row>
    <row r="44">
      <c r="B44" s="88"/>
      <c r="C44" s="81"/>
      <c r="D44" s="81"/>
      <c r="E44" s="81"/>
      <c r="F44" s="81"/>
      <c r="G44" s="81"/>
      <c r="H44" s="82"/>
      <c r="I44" s="35"/>
      <c r="J44" s="35"/>
    </row>
    <row r="45">
      <c r="B45" s="88"/>
      <c r="C45" s="81"/>
      <c r="D45" s="81"/>
      <c r="E45" s="81"/>
      <c r="F45" s="81"/>
      <c r="G45" s="81"/>
      <c r="H45" s="82"/>
      <c r="I45" s="35"/>
      <c r="J45" s="35"/>
    </row>
    <row r="46">
      <c r="A46" s="35"/>
      <c r="B46" s="35"/>
      <c r="C46" s="35"/>
      <c r="D46" s="35"/>
      <c r="E46" s="35"/>
      <c r="F46" s="35"/>
      <c r="G46" s="35"/>
      <c r="H46" s="35"/>
      <c r="I46" s="35"/>
      <c r="J46" s="35"/>
    </row>
    <row r="47">
      <c r="A47" s="35"/>
      <c r="B47" s="35"/>
      <c r="C47" s="35"/>
      <c r="D47" s="35"/>
      <c r="E47" s="35"/>
      <c r="F47" s="35"/>
      <c r="G47" s="35"/>
      <c r="H47" s="35"/>
      <c r="I47" s="35"/>
      <c r="J47" s="35"/>
    </row>
    <row r="48">
      <c r="A48" s="35"/>
      <c r="B48" s="35"/>
      <c r="C48" s="35"/>
      <c r="D48" s="35"/>
      <c r="E48" s="35"/>
      <c r="F48" s="35"/>
      <c r="G48" s="35"/>
      <c r="H48" s="35"/>
      <c r="I48" s="35"/>
      <c r="J48" s="35"/>
    </row>
    <row r="49">
      <c r="A49" s="89" t="s">
        <v>166</v>
      </c>
      <c r="B49" s="35"/>
      <c r="C49" s="35"/>
      <c r="D49" s="35"/>
      <c r="E49" s="35"/>
      <c r="F49" s="35"/>
      <c r="G49" s="35"/>
      <c r="H49" s="35"/>
      <c r="I49" s="35"/>
      <c r="J49" s="35"/>
    </row>
    <row r="50">
      <c r="A50" s="90" t="s">
        <v>190</v>
      </c>
      <c r="B50" s="81"/>
      <c r="C50" s="81"/>
      <c r="D50" s="81"/>
      <c r="E50" s="81"/>
      <c r="F50" s="81"/>
      <c r="G50" s="81"/>
      <c r="H50" s="82"/>
      <c r="I50" s="35"/>
      <c r="J50" s="35"/>
    </row>
    <row r="51">
      <c r="A51" s="35"/>
      <c r="B51" s="35"/>
      <c r="C51" s="35"/>
      <c r="D51" s="35"/>
      <c r="E51" s="35"/>
      <c r="F51" s="35"/>
      <c r="G51" s="35"/>
      <c r="H51" s="35"/>
      <c r="I51" s="35"/>
      <c r="J51" s="35"/>
    </row>
    <row r="52">
      <c r="A52" s="35"/>
      <c r="B52" s="35"/>
      <c r="C52" s="35"/>
      <c r="D52" s="35"/>
      <c r="E52" s="35"/>
      <c r="F52" s="35"/>
      <c r="G52" s="35"/>
      <c r="H52" s="35"/>
      <c r="I52" s="35"/>
      <c r="J52" s="35"/>
    </row>
    <row r="53">
      <c r="A53" s="84" t="s">
        <v>191</v>
      </c>
      <c r="B53" s="84"/>
      <c r="C53" s="84"/>
      <c r="D53" s="84"/>
      <c r="E53" s="84"/>
      <c r="F53" s="84"/>
      <c r="G53" s="84"/>
      <c r="H53" s="84"/>
      <c r="I53" s="35"/>
      <c r="J53" s="35"/>
    </row>
    <row r="54">
      <c r="A54" s="35"/>
      <c r="B54" s="35"/>
      <c r="C54" s="35"/>
      <c r="D54" s="35"/>
      <c r="E54" s="35"/>
      <c r="F54" s="35"/>
      <c r="G54" s="35"/>
      <c r="H54" s="35"/>
      <c r="I54" s="35"/>
      <c r="J54" s="35"/>
    </row>
    <row r="55">
      <c r="A55" s="38" t="s">
        <v>160</v>
      </c>
      <c r="B55" s="85" t="s">
        <v>192</v>
      </c>
      <c r="I55" s="35"/>
      <c r="J55" s="35"/>
    </row>
    <row r="56">
      <c r="A56" s="35"/>
      <c r="B56" s="35"/>
      <c r="C56" s="35"/>
      <c r="D56" s="35"/>
      <c r="E56" s="35"/>
      <c r="F56" s="35"/>
      <c r="G56" s="35"/>
      <c r="H56" s="91"/>
      <c r="I56" s="35"/>
      <c r="J56" s="35"/>
    </row>
    <row r="57">
      <c r="A57" s="38" t="s">
        <v>162</v>
      </c>
      <c r="C57" s="85">
        <v>3.0</v>
      </c>
      <c r="I57" s="35"/>
      <c r="J57" s="35"/>
    </row>
    <row r="58">
      <c r="A58" s="35"/>
      <c r="B58" s="35"/>
      <c r="C58" s="35"/>
      <c r="D58" s="35"/>
      <c r="E58" s="35"/>
      <c r="F58" s="35"/>
      <c r="G58" s="35"/>
      <c r="H58" s="35"/>
      <c r="I58" s="35"/>
      <c r="J58" s="35"/>
    </row>
    <row r="59">
      <c r="A59" s="38" t="s">
        <v>163</v>
      </c>
      <c r="C59" s="85">
        <v>3.0</v>
      </c>
      <c r="I59" s="35"/>
      <c r="J59" s="35"/>
    </row>
    <row r="60">
      <c r="A60" s="35"/>
      <c r="B60" s="35"/>
      <c r="C60" s="35"/>
      <c r="D60" s="35"/>
      <c r="E60" s="35"/>
      <c r="F60" s="35"/>
      <c r="G60" s="35"/>
      <c r="H60" s="35"/>
      <c r="I60" s="35"/>
      <c r="J60" s="35"/>
    </row>
    <row r="61">
      <c r="A61" s="38" t="s">
        <v>186</v>
      </c>
      <c r="C61" s="85">
        <v>7.0</v>
      </c>
      <c r="I61" s="35"/>
      <c r="J61" s="35"/>
    </row>
    <row r="62">
      <c r="A62" s="35"/>
      <c r="B62" s="35"/>
      <c r="C62" s="35"/>
      <c r="D62" s="35"/>
      <c r="E62" s="35"/>
      <c r="F62" s="35"/>
      <c r="G62" s="35"/>
      <c r="H62" s="35"/>
      <c r="I62" s="35"/>
      <c r="J62" s="35"/>
    </row>
    <row r="63">
      <c r="A63" s="86" t="s">
        <v>165</v>
      </c>
      <c r="B63" s="87" t="s">
        <v>29</v>
      </c>
      <c r="C63" s="81"/>
      <c r="D63" s="81"/>
      <c r="E63" s="81"/>
      <c r="F63" s="81"/>
      <c r="G63" s="81"/>
      <c r="H63" s="82"/>
      <c r="I63" s="35"/>
      <c r="J63" s="35"/>
    </row>
    <row r="64">
      <c r="B64" s="87" t="s">
        <v>21</v>
      </c>
      <c r="C64" s="81"/>
      <c r="D64" s="81"/>
      <c r="E64" s="81"/>
      <c r="F64" s="81"/>
      <c r="G64" s="81"/>
      <c r="H64" s="82"/>
      <c r="I64" s="35"/>
      <c r="J64" s="35"/>
    </row>
    <row r="65">
      <c r="B65" s="87" t="s">
        <v>82</v>
      </c>
      <c r="C65" s="81"/>
      <c r="D65" s="81"/>
      <c r="E65" s="81"/>
      <c r="F65" s="81"/>
      <c r="G65" s="81"/>
      <c r="H65" s="82"/>
      <c r="I65" s="35"/>
      <c r="J65" s="35"/>
    </row>
    <row r="66">
      <c r="B66" s="87" t="s">
        <v>47</v>
      </c>
      <c r="C66" s="81"/>
      <c r="D66" s="81"/>
      <c r="E66" s="81"/>
      <c r="F66" s="81"/>
      <c r="G66" s="81"/>
      <c r="H66" s="82"/>
      <c r="I66" s="35"/>
      <c r="J66" s="35"/>
    </row>
    <row r="67">
      <c r="B67" s="88"/>
      <c r="C67" s="81"/>
      <c r="D67" s="81"/>
      <c r="E67" s="81"/>
      <c r="F67" s="81"/>
      <c r="G67" s="81"/>
      <c r="H67" s="82"/>
      <c r="I67" s="35"/>
      <c r="J67" s="35"/>
    </row>
    <row r="68">
      <c r="B68" s="88"/>
      <c r="C68" s="81"/>
      <c r="D68" s="81"/>
      <c r="E68" s="81"/>
      <c r="F68" s="81"/>
      <c r="G68" s="81"/>
      <c r="H68" s="82"/>
      <c r="I68" s="35"/>
      <c r="J68" s="35"/>
    </row>
    <row r="69">
      <c r="B69" s="88"/>
      <c r="C69" s="81"/>
      <c r="D69" s="81"/>
      <c r="E69" s="81"/>
      <c r="F69" s="81"/>
      <c r="G69" s="81"/>
      <c r="H69" s="82"/>
      <c r="I69" s="35"/>
      <c r="J69" s="35"/>
    </row>
    <row r="70">
      <c r="A70" s="35"/>
      <c r="B70" s="35"/>
      <c r="C70" s="35"/>
      <c r="D70" s="35"/>
      <c r="E70" s="35"/>
      <c r="F70" s="35"/>
      <c r="G70" s="35"/>
      <c r="H70" s="35"/>
      <c r="I70" s="35"/>
      <c r="J70" s="35"/>
    </row>
    <row r="71">
      <c r="A71" s="35"/>
      <c r="B71" s="35"/>
      <c r="C71" s="35"/>
      <c r="D71" s="35"/>
      <c r="E71" s="35"/>
      <c r="F71" s="35"/>
      <c r="G71" s="35"/>
      <c r="H71" s="35"/>
      <c r="I71" s="35"/>
      <c r="J71" s="35"/>
    </row>
    <row r="72">
      <c r="A72" s="35"/>
      <c r="B72" s="35"/>
      <c r="C72" s="35"/>
      <c r="D72" s="35"/>
      <c r="E72" s="35"/>
      <c r="F72" s="35"/>
      <c r="G72" s="35"/>
      <c r="H72" s="35"/>
      <c r="I72" s="35"/>
      <c r="J72" s="35"/>
    </row>
    <row r="73">
      <c r="A73" s="89" t="s">
        <v>166</v>
      </c>
      <c r="B73" s="35"/>
      <c r="C73" s="35"/>
      <c r="D73" s="35"/>
      <c r="E73" s="35"/>
      <c r="F73" s="35"/>
      <c r="G73" s="35"/>
      <c r="H73" s="35"/>
      <c r="I73" s="35"/>
      <c r="J73" s="35"/>
    </row>
    <row r="74">
      <c r="A74" s="90" t="s">
        <v>193</v>
      </c>
      <c r="B74" s="81"/>
      <c r="C74" s="81"/>
      <c r="D74" s="81"/>
      <c r="E74" s="81"/>
      <c r="F74" s="81"/>
      <c r="G74" s="81"/>
      <c r="H74" s="82"/>
      <c r="I74" s="35"/>
      <c r="J74" s="35"/>
    </row>
    <row r="75">
      <c r="A75" s="35"/>
      <c r="B75" s="35"/>
      <c r="C75" s="35"/>
      <c r="D75" s="35"/>
      <c r="E75" s="35"/>
      <c r="F75" s="35"/>
      <c r="G75" s="35"/>
      <c r="H75" s="35"/>
      <c r="I75" s="35"/>
      <c r="J75" s="35"/>
    </row>
    <row r="76">
      <c r="A76" s="35"/>
      <c r="B76" s="35"/>
      <c r="C76" s="35"/>
      <c r="D76" s="35"/>
      <c r="E76" s="35"/>
      <c r="F76" s="35"/>
      <c r="G76" s="35"/>
      <c r="H76" s="35"/>
      <c r="I76" s="35"/>
      <c r="J76" s="35"/>
    </row>
    <row r="77">
      <c r="A77" s="84" t="s">
        <v>194</v>
      </c>
      <c r="B77" s="84"/>
      <c r="C77" s="84"/>
      <c r="D77" s="84"/>
      <c r="E77" s="84"/>
      <c r="F77" s="84"/>
      <c r="G77" s="84"/>
      <c r="H77" s="84"/>
      <c r="I77" s="35"/>
      <c r="J77" s="35"/>
    </row>
    <row r="78">
      <c r="A78" s="35"/>
      <c r="B78" s="35"/>
      <c r="C78" s="35"/>
      <c r="D78" s="35"/>
      <c r="E78" s="35"/>
      <c r="F78" s="35"/>
      <c r="G78" s="35"/>
      <c r="H78" s="35"/>
      <c r="I78" s="35"/>
      <c r="J78" s="35"/>
    </row>
    <row r="79">
      <c r="A79" s="38" t="s">
        <v>160</v>
      </c>
      <c r="B79" s="85" t="s">
        <v>195</v>
      </c>
      <c r="I79" s="35"/>
      <c r="J79" s="35"/>
    </row>
    <row r="80">
      <c r="A80" s="35"/>
      <c r="B80" s="35"/>
      <c r="C80" s="35"/>
      <c r="D80" s="35"/>
      <c r="E80" s="35"/>
      <c r="F80" s="35"/>
      <c r="G80" s="35"/>
      <c r="H80" s="91"/>
      <c r="I80" s="35"/>
      <c r="J80" s="35"/>
    </row>
    <row r="81">
      <c r="A81" s="38" t="s">
        <v>162</v>
      </c>
      <c r="C81" s="85">
        <v>3.0</v>
      </c>
      <c r="I81" s="35"/>
      <c r="J81" s="35"/>
    </row>
    <row r="82">
      <c r="A82" s="35"/>
      <c r="B82" s="35"/>
      <c r="C82" s="35"/>
      <c r="D82" s="35"/>
      <c r="E82" s="35"/>
      <c r="F82" s="35"/>
      <c r="G82" s="35"/>
      <c r="H82" s="35"/>
      <c r="I82" s="35"/>
      <c r="J82" s="35"/>
    </row>
    <row r="83">
      <c r="A83" s="38" t="s">
        <v>163</v>
      </c>
      <c r="C83" s="85">
        <v>3.0</v>
      </c>
      <c r="I83" s="35"/>
      <c r="J83" s="35"/>
    </row>
    <row r="84">
      <c r="A84" s="35"/>
      <c r="B84" s="35"/>
      <c r="C84" s="35"/>
      <c r="D84" s="35"/>
      <c r="E84" s="35"/>
      <c r="F84" s="35"/>
      <c r="G84" s="35"/>
      <c r="H84" s="35"/>
      <c r="I84" s="35"/>
      <c r="J84" s="35"/>
    </row>
    <row r="85">
      <c r="A85" s="38" t="s">
        <v>186</v>
      </c>
      <c r="C85" s="85">
        <v>10.0</v>
      </c>
      <c r="I85" s="35"/>
    </row>
    <row r="86">
      <c r="A86" s="35"/>
      <c r="B86" s="35"/>
      <c r="C86" s="35"/>
      <c r="D86" s="35"/>
      <c r="E86" s="35"/>
      <c r="F86" s="35"/>
      <c r="G86" s="35"/>
      <c r="H86" s="35"/>
      <c r="I86" s="35"/>
      <c r="J86" s="35"/>
    </row>
    <row r="87">
      <c r="A87" s="86" t="s">
        <v>165</v>
      </c>
      <c r="B87" s="87" t="s">
        <v>10</v>
      </c>
      <c r="C87" s="81"/>
      <c r="D87" s="81"/>
      <c r="E87" s="81"/>
      <c r="F87" s="81"/>
      <c r="G87" s="81"/>
      <c r="H87" s="82"/>
      <c r="I87" s="35"/>
      <c r="J87" s="35"/>
    </row>
    <row r="88">
      <c r="B88" s="87" t="s">
        <v>29</v>
      </c>
      <c r="C88" s="81"/>
      <c r="D88" s="81"/>
      <c r="E88" s="81"/>
      <c r="F88" s="81"/>
      <c r="G88" s="81"/>
      <c r="H88" s="82"/>
      <c r="I88" s="35"/>
      <c r="J88" s="35"/>
    </row>
    <row r="89">
      <c r="B89" s="88"/>
      <c r="C89" s="81"/>
      <c r="D89" s="81"/>
      <c r="E89" s="81"/>
      <c r="F89" s="81"/>
      <c r="G89" s="81"/>
      <c r="H89" s="82"/>
      <c r="I89" s="35"/>
      <c r="J89" s="35"/>
    </row>
    <row r="90">
      <c r="B90" s="88"/>
      <c r="C90" s="81"/>
      <c r="D90" s="81"/>
      <c r="E90" s="81"/>
      <c r="F90" s="81"/>
      <c r="G90" s="81"/>
      <c r="H90" s="82"/>
      <c r="I90" s="35"/>
      <c r="J90" s="35"/>
    </row>
    <row r="91">
      <c r="B91" s="88"/>
      <c r="C91" s="81"/>
      <c r="D91" s="81"/>
      <c r="E91" s="81"/>
      <c r="F91" s="81"/>
      <c r="G91" s="81"/>
      <c r="H91" s="82"/>
      <c r="I91" s="35"/>
      <c r="J91" s="35"/>
    </row>
    <row r="92">
      <c r="B92" s="88"/>
      <c r="C92" s="81"/>
      <c r="D92" s="81"/>
      <c r="E92" s="81"/>
      <c r="F92" s="81"/>
      <c r="G92" s="81"/>
      <c r="H92" s="82"/>
      <c r="I92" s="35"/>
      <c r="J92" s="35"/>
    </row>
    <row r="93">
      <c r="B93" s="88"/>
      <c r="C93" s="81"/>
      <c r="D93" s="81"/>
      <c r="E93" s="81"/>
      <c r="F93" s="81"/>
      <c r="G93" s="81"/>
      <c r="H93" s="82"/>
      <c r="I93" s="35"/>
      <c r="J93" s="35"/>
    </row>
    <row r="94">
      <c r="A94" s="35"/>
      <c r="B94" s="35"/>
      <c r="C94" s="35"/>
      <c r="D94" s="35"/>
      <c r="E94" s="35"/>
      <c r="F94" s="35"/>
      <c r="G94" s="35"/>
      <c r="H94" s="35"/>
      <c r="I94" s="35"/>
      <c r="J94" s="35"/>
    </row>
    <row r="95">
      <c r="A95" s="35"/>
      <c r="B95" s="35"/>
      <c r="C95" s="35"/>
      <c r="D95" s="35"/>
      <c r="E95" s="35"/>
      <c r="F95" s="35"/>
      <c r="G95" s="35"/>
      <c r="H95" s="35"/>
      <c r="I95" s="35"/>
      <c r="J95" s="35"/>
    </row>
    <row r="96">
      <c r="A96" s="35"/>
      <c r="B96" s="35"/>
      <c r="C96" s="35"/>
      <c r="D96" s="35"/>
      <c r="E96" s="35"/>
      <c r="F96" s="35"/>
      <c r="G96" s="35"/>
      <c r="H96" s="35"/>
      <c r="I96" s="35"/>
      <c r="J96" s="35"/>
    </row>
    <row r="97">
      <c r="A97" s="89" t="s">
        <v>166</v>
      </c>
      <c r="B97" s="35"/>
      <c r="C97" s="35"/>
      <c r="D97" s="35"/>
      <c r="E97" s="35"/>
      <c r="F97" s="35"/>
      <c r="G97" s="35"/>
      <c r="H97" s="35"/>
      <c r="I97" s="35"/>
      <c r="J97" s="35"/>
    </row>
    <row r="98">
      <c r="A98" s="90" t="s">
        <v>196</v>
      </c>
      <c r="B98" s="81"/>
      <c r="C98" s="81"/>
      <c r="D98" s="81"/>
      <c r="E98" s="81"/>
      <c r="F98" s="81"/>
      <c r="G98" s="81"/>
      <c r="H98" s="82"/>
      <c r="I98" s="35"/>
      <c r="J98" s="35"/>
    </row>
    <row r="99">
      <c r="A99" s="35"/>
      <c r="B99" s="35"/>
      <c r="C99" s="35"/>
      <c r="D99" s="35"/>
      <c r="E99" s="35"/>
      <c r="F99" s="35"/>
      <c r="G99" s="35"/>
      <c r="H99" s="35"/>
      <c r="I99" s="35"/>
      <c r="J99" s="35"/>
    </row>
    <row r="100">
      <c r="A100" s="35"/>
      <c r="B100" s="35"/>
      <c r="C100" s="35"/>
      <c r="D100" s="35"/>
      <c r="E100" s="35"/>
      <c r="F100" s="35"/>
      <c r="G100" s="35"/>
      <c r="H100" s="35"/>
      <c r="I100" s="35"/>
      <c r="J100" s="35"/>
    </row>
    <row r="101">
      <c r="A101" s="84" t="s">
        <v>197</v>
      </c>
      <c r="B101" s="84"/>
      <c r="C101" s="84"/>
      <c r="D101" s="84"/>
      <c r="E101" s="84"/>
      <c r="F101" s="84"/>
      <c r="G101" s="84"/>
      <c r="H101" s="84"/>
      <c r="I101" s="35"/>
      <c r="J101" s="35"/>
    </row>
    <row r="102">
      <c r="A102" s="35"/>
      <c r="B102" s="35"/>
      <c r="C102" s="35"/>
      <c r="D102" s="35"/>
      <c r="E102" s="35"/>
      <c r="F102" s="35"/>
      <c r="G102" s="35"/>
      <c r="H102" s="35"/>
      <c r="I102" s="35"/>
      <c r="J102" s="35"/>
    </row>
    <row r="103">
      <c r="A103" s="38" t="s">
        <v>160</v>
      </c>
      <c r="B103" s="85" t="s">
        <v>198</v>
      </c>
      <c r="I103" s="35"/>
      <c r="J103" s="35"/>
    </row>
    <row r="104">
      <c r="A104" s="35"/>
      <c r="B104" s="35"/>
      <c r="C104" s="35"/>
      <c r="D104" s="35"/>
      <c r="E104" s="35"/>
      <c r="F104" s="35"/>
      <c r="G104" s="35"/>
      <c r="H104" s="91"/>
      <c r="I104" s="35"/>
      <c r="J104" s="35"/>
    </row>
    <row r="105">
      <c r="A105" s="38" t="s">
        <v>162</v>
      </c>
      <c r="C105" s="85">
        <v>3.0</v>
      </c>
      <c r="I105" s="35"/>
      <c r="J105" s="35"/>
    </row>
    <row r="106">
      <c r="A106" s="35"/>
      <c r="B106" s="35"/>
      <c r="C106" s="35"/>
      <c r="D106" s="35"/>
      <c r="E106" s="35"/>
      <c r="F106" s="35"/>
      <c r="G106" s="35"/>
      <c r="H106" s="35"/>
      <c r="I106" s="35"/>
      <c r="J106" s="35"/>
    </row>
    <row r="107">
      <c r="A107" s="38" t="s">
        <v>163</v>
      </c>
      <c r="C107" s="85">
        <v>3.0</v>
      </c>
      <c r="I107" s="35"/>
      <c r="J107" s="35"/>
    </row>
    <row r="108">
      <c r="A108" s="35"/>
      <c r="B108" s="35"/>
      <c r="C108" s="35"/>
      <c r="D108" s="35"/>
      <c r="E108" s="35"/>
      <c r="F108" s="35"/>
      <c r="G108" s="35"/>
      <c r="H108" s="35"/>
      <c r="I108" s="35"/>
      <c r="J108" s="35"/>
    </row>
    <row r="109">
      <c r="A109" s="38" t="s">
        <v>186</v>
      </c>
      <c r="C109" s="85">
        <v>13.0</v>
      </c>
      <c r="I109" s="35"/>
      <c r="J109" s="35"/>
    </row>
    <row r="110">
      <c r="A110" s="35"/>
      <c r="B110" s="35"/>
      <c r="C110" s="35"/>
      <c r="D110" s="35"/>
      <c r="E110" s="35"/>
      <c r="F110" s="35"/>
      <c r="G110" s="35"/>
      <c r="H110" s="35"/>
      <c r="I110" s="35"/>
      <c r="J110" s="35"/>
    </row>
    <row r="111">
      <c r="A111" s="86" t="s">
        <v>165</v>
      </c>
      <c r="B111" s="87" t="s">
        <v>10</v>
      </c>
      <c r="C111" s="81"/>
      <c r="D111" s="81"/>
      <c r="E111" s="81"/>
      <c r="F111" s="81"/>
      <c r="G111" s="81"/>
      <c r="H111" s="82"/>
      <c r="I111" s="35"/>
      <c r="J111" s="35"/>
    </row>
    <row r="112">
      <c r="B112" s="87" t="s">
        <v>29</v>
      </c>
      <c r="C112" s="81"/>
      <c r="D112" s="81"/>
      <c r="E112" s="81"/>
      <c r="F112" s="81"/>
      <c r="G112" s="81"/>
      <c r="H112" s="82"/>
      <c r="I112" s="35"/>
      <c r="J112" s="35"/>
    </row>
    <row r="113">
      <c r="B113" s="87" t="s">
        <v>56</v>
      </c>
      <c r="C113" s="81"/>
      <c r="D113" s="81"/>
      <c r="E113" s="81"/>
      <c r="F113" s="81"/>
      <c r="G113" s="81"/>
      <c r="H113" s="82"/>
      <c r="I113" s="35"/>
      <c r="J113" s="35"/>
    </row>
    <row r="114">
      <c r="B114" s="87" t="s">
        <v>21</v>
      </c>
      <c r="C114" s="81"/>
      <c r="D114" s="81"/>
      <c r="E114" s="81"/>
      <c r="F114" s="81"/>
      <c r="G114" s="81"/>
      <c r="H114" s="82"/>
      <c r="I114" s="35"/>
      <c r="J114" s="35"/>
    </row>
    <row r="115">
      <c r="B115" s="88"/>
      <c r="C115" s="81"/>
      <c r="D115" s="81"/>
      <c r="E115" s="81"/>
      <c r="F115" s="81"/>
      <c r="G115" s="81"/>
      <c r="H115" s="82"/>
      <c r="I115" s="35"/>
      <c r="J115" s="35"/>
    </row>
    <row r="116">
      <c r="B116" s="88"/>
      <c r="C116" s="81"/>
      <c r="D116" s="81"/>
      <c r="E116" s="81"/>
      <c r="F116" s="81"/>
      <c r="G116" s="81"/>
      <c r="H116" s="82"/>
      <c r="I116" s="35"/>
      <c r="J116" s="35"/>
    </row>
    <row r="117">
      <c r="B117" s="88"/>
      <c r="C117" s="81"/>
      <c r="D117" s="81"/>
      <c r="E117" s="81"/>
      <c r="F117" s="81"/>
      <c r="G117" s="81"/>
      <c r="H117" s="82"/>
      <c r="I117" s="35"/>
      <c r="J117" s="35"/>
    </row>
    <row r="118">
      <c r="A118" s="35"/>
      <c r="B118" s="35"/>
      <c r="C118" s="35"/>
      <c r="D118" s="35"/>
      <c r="E118" s="35"/>
      <c r="F118" s="35"/>
      <c r="G118" s="35"/>
      <c r="H118" s="35"/>
      <c r="I118" s="35"/>
      <c r="J118" s="35"/>
    </row>
    <row r="119">
      <c r="A119" s="35"/>
      <c r="B119" s="35"/>
      <c r="C119" s="35"/>
      <c r="D119" s="35"/>
      <c r="E119" s="35"/>
      <c r="F119" s="35"/>
      <c r="G119" s="35"/>
      <c r="H119" s="35"/>
      <c r="I119" s="35"/>
      <c r="J119" s="35"/>
    </row>
    <row r="120">
      <c r="A120" s="35"/>
      <c r="B120" s="35"/>
      <c r="C120" s="35"/>
      <c r="D120" s="35"/>
      <c r="E120" s="35"/>
      <c r="F120" s="35"/>
      <c r="G120" s="35"/>
      <c r="H120" s="35"/>
      <c r="I120" s="35"/>
      <c r="J120" s="35"/>
    </row>
    <row r="121">
      <c r="A121" s="89" t="s">
        <v>166</v>
      </c>
      <c r="B121" s="35"/>
      <c r="C121" s="35"/>
      <c r="D121" s="35"/>
      <c r="E121" s="35"/>
      <c r="F121" s="35"/>
      <c r="G121" s="35"/>
      <c r="H121" s="35"/>
      <c r="I121" s="35"/>
      <c r="J121" s="35"/>
    </row>
    <row r="122">
      <c r="A122" s="90" t="s">
        <v>199</v>
      </c>
      <c r="B122" s="81"/>
      <c r="C122" s="81"/>
      <c r="D122" s="81"/>
      <c r="E122" s="81"/>
      <c r="F122" s="81"/>
      <c r="G122" s="81"/>
      <c r="H122" s="82"/>
      <c r="I122" s="35"/>
      <c r="J122" s="35"/>
    </row>
    <row r="123">
      <c r="A123" s="35"/>
      <c r="B123" s="35"/>
      <c r="C123" s="35"/>
      <c r="D123" s="35"/>
      <c r="E123" s="35"/>
      <c r="F123" s="35"/>
      <c r="G123" s="35"/>
      <c r="H123" s="35"/>
      <c r="I123" s="35"/>
      <c r="J123" s="35"/>
    </row>
    <row r="124">
      <c r="A124" s="35"/>
      <c r="B124" s="35"/>
      <c r="C124" s="35"/>
      <c r="D124" s="35"/>
      <c r="E124" s="35"/>
      <c r="F124" s="35"/>
      <c r="G124" s="35"/>
      <c r="H124" s="35"/>
      <c r="I124" s="35"/>
      <c r="J124" s="35"/>
    </row>
    <row r="125">
      <c r="A125" s="84" t="s">
        <v>200</v>
      </c>
      <c r="B125" s="84"/>
      <c r="C125" s="84"/>
      <c r="D125" s="84"/>
      <c r="E125" s="84"/>
      <c r="F125" s="84"/>
      <c r="G125" s="84"/>
      <c r="H125" s="84"/>
      <c r="I125" s="35"/>
      <c r="J125" s="35"/>
    </row>
    <row r="126">
      <c r="A126" s="35"/>
      <c r="B126" s="35"/>
      <c r="C126" s="35"/>
      <c r="D126" s="35"/>
      <c r="E126" s="35"/>
      <c r="F126" s="35"/>
      <c r="G126" s="35"/>
      <c r="H126" s="35"/>
      <c r="I126" s="35"/>
      <c r="J126" s="35"/>
    </row>
    <row r="127">
      <c r="A127" s="38" t="s">
        <v>160</v>
      </c>
      <c r="B127" s="92"/>
      <c r="I127" s="35"/>
      <c r="J127" s="35"/>
    </row>
    <row r="128">
      <c r="A128" s="35"/>
      <c r="B128" s="35"/>
      <c r="C128" s="35"/>
      <c r="D128" s="35"/>
      <c r="E128" s="35"/>
      <c r="F128" s="35"/>
      <c r="G128" s="35"/>
      <c r="H128" s="91"/>
      <c r="I128" s="35"/>
      <c r="J128" s="35"/>
    </row>
    <row r="129">
      <c r="A129" s="38" t="s">
        <v>162</v>
      </c>
      <c r="C129" s="92"/>
      <c r="I129" s="35"/>
      <c r="J129" s="35"/>
    </row>
    <row r="130">
      <c r="A130" s="35"/>
      <c r="B130" s="35"/>
      <c r="C130" s="35"/>
      <c r="D130" s="35"/>
      <c r="E130" s="35"/>
      <c r="F130" s="35"/>
      <c r="G130" s="35"/>
      <c r="H130" s="35"/>
      <c r="I130" s="35"/>
      <c r="J130" s="35"/>
    </row>
    <row r="131">
      <c r="A131" s="38" t="s">
        <v>163</v>
      </c>
      <c r="C131" s="85">
        <v>0.0</v>
      </c>
      <c r="I131" s="35"/>
      <c r="J131" s="35"/>
    </row>
    <row r="132">
      <c r="A132" s="35"/>
      <c r="B132" s="35"/>
      <c r="C132" s="35"/>
      <c r="D132" s="35"/>
      <c r="E132" s="35"/>
      <c r="F132" s="35"/>
      <c r="G132" s="35"/>
      <c r="H132" s="35"/>
      <c r="I132" s="35"/>
      <c r="J132" s="35"/>
    </row>
    <row r="133">
      <c r="A133" s="38" t="s">
        <v>186</v>
      </c>
      <c r="C133" s="92"/>
      <c r="I133" s="35"/>
    </row>
    <row r="134">
      <c r="A134" s="35"/>
      <c r="B134" s="35"/>
      <c r="C134" s="35"/>
      <c r="D134" s="35"/>
      <c r="E134" s="35"/>
      <c r="F134" s="35"/>
      <c r="G134" s="35"/>
      <c r="H134" s="35"/>
      <c r="I134" s="35"/>
      <c r="J134" s="35"/>
    </row>
    <row r="135">
      <c r="A135" s="86" t="s">
        <v>165</v>
      </c>
      <c r="B135" s="88"/>
      <c r="C135" s="81"/>
      <c r="D135" s="81"/>
      <c r="E135" s="81"/>
      <c r="F135" s="81"/>
      <c r="G135" s="81"/>
      <c r="H135" s="82"/>
      <c r="I135" s="35"/>
      <c r="J135" s="35"/>
    </row>
    <row r="136">
      <c r="B136" s="88"/>
      <c r="C136" s="81"/>
      <c r="D136" s="81"/>
      <c r="E136" s="81"/>
      <c r="F136" s="81"/>
      <c r="G136" s="81"/>
      <c r="H136" s="82"/>
      <c r="I136" s="35"/>
      <c r="J136" s="35"/>
    </row>
    <row r="137">
      <c r="B137" s="88"/>
      <c r="C137" s="81"/>
      <c r="D137" s="81"/>
      <c r="E137" s="81"/>
      <c r="F137" s="81"/>
      <c r="G137" s="81"/>
      <c r="H137" s="82"/>
      <c r="I137" s="35"/>
      <c r="J137" s="35"/>
    </row>
    <row r="138">
      <c r="B138" s="88"/>
      <c r="C138" s="81"/>
      <c r="D138" s="81"/>
      <c r="E138" s="81"/>
      <c r="F138" s="81"/>
      <c r="G138" s="81"/>
      <c r="H138" s="82"/>
      <c r="I138" s="35"/>
      <c r="J138" s="35"/>
    </row>
    <row r="139">
      <c r="B139" s="88"/>
      <c r="C139" s="81"/>
      <c r="D139" s="81"/>
      <c r="E139" s="81"/>
      <c r="F139" s="81"/>
      <c r="G139" s="81"/>
      <c r="H139" s="82"/>
      <c r="I139" s="35"/>
      <c r="J139" s="35"/>
    </row>
    <row r="140">
      <c r="B140" s="88"/>
      <c r="C140" s="81"/>
      <c r="D140" s="81"/>
      <c r="E140" s="81"/>
      <c r="F140" s="81"/>
      <c r="G140" s="81"/>
      <c r="H140" s="82"/>
      <c r="I140" s="35"/>
      <c r="J140" s="35"/>
    </row>
    <row r="141">
      <c r="B141" s="88"/>
      <c r="C141" s="81"/>
      <c r="D141" s="81"/>
      <c r="E141" s="81"/>
      <c r="F141" s="81"/>
      <c r="G141" s="81"/>
      <c r="H141" s="82"/>
      <c r="I141" s="35"/>
      <c r="J141" s="35"/>
    </row>
    <row r="142">
      <c r="A142" s="35"/>
      <c r="B142" s="35"/>
      <c r="C142" s="35"/>
      <c r="D142" s="35"/>
      <c r="E142" s="35"/>
      <c r="F142" s="35"/>
      <c r="G142" s="35"/>
      <c r="H142" s="35"/>
      <c r="I142" s="35"/>
      <c r="J142" s="35"/>
    </row>
    <row r="143">
      <c r="A143" s="35"/>
      <c r="B143" s="35"/>
      <c r="C143" s="35"/>
      <c r="D143" s="35"/>
      <c r="E143" s="35"/>
      <c r="F143" s="35"/>
      <c r="G143" s="35"/>
      <c r="H143" s="35"/>
      <c r="I143" s="35"/>
      <c r="J143" s="35"/>
    </row>
    <row r="144">
      <c r="A144" s="35"/>
      <c r="B144" s="35"/>
      <c r="C144" s="35"/>
      <c r="D144" s="35"/>
      <c r="E144" s="35"/>
      <c r="F144" s="35"/>
      <c r="G144" s="35"/>
      <c r="H144" s="35"/>
      <c r="I144" s="35"/>
      <c r="J144" s="35"/>
    </row>
    <row r="145">
      <c r="A145" s="89" t="s">
        <v>166</v>
      </c>
      <c r="B145" s="35"/>
      <c r="C145" s="35"/>
      <c r="D145" s="35"/>
      <c r="E145" s="35"/>
      <c r="F145" s="35"/>
      <c r="G145" s="35"/>
      <c r="H145" s="35"/>
      <c r="I145" s="35"/>
      <c r="J145" s="35"/>
    </row>
    <row r="146">
      <c r="A146" s="93"/>
      <c r="B146" s="81"/>
      <c r="C146" s="81"/>
      <c r="D146" s="81"/>
      <c r="E146" s="81"/>
      <c r="F146" s="81"/>
      <c r="G146" s="81"/>
      <c r="H146" s="82"/>
      <c r="I146" s="35"/>
      <c r="J146" s="35"/>
    </row>
    <row r="147">
      <c r="A147" s="35"/>
      <c r="B147" s="35"/>
      <c r="C147" s="35"/>
      <c r="D147" s="35"/>
      <c r="E147" s="35"/>
      <c r="F147" s="35"/>
      <c r="G147" s="35"/>
      <c r="H147" s="35"/>
      <c r="I147" s="35"/>
      <c r="J147" s="35"/>
    </row>
    <row r="148">
      <c r="A148" s="35"/>
      <c r="B148" s="35"/>
      <c r="C148" s="35"/>
      <c r="D148" s="35"/>
      <c r="E148" s="35"/>
      <c r="F148" s="35"/>
      <c r="G148" s="35"/>
      <c r="H148" s="35"/>
      <c r="I148" s="35"/>
      <c r="J148" s="35"/>
    </row>
    <row r="149">
      <c r="A149" s="84" t="s">
        <v>201</v>
      </c>
      <c r="B149" s="84"/>
      <c r="C149" s="84"/>
      <c r="D149" s="84"/>
      <c r="E149" s="84"/>
      <c r="F149" s="84"/>
      <c r="G149" s="84"/>
      <c r="H149" s="84"/>
      <c r="I149" s="35"/>
      <c r="J149" s="35"/>
    </row>
    <row r="150">
      <c r="A150" s="35"/>
      <c r="B150" s="35"/>
      <c r="C150" s="35"/>
      <c r="D150" s="35"/>
      <c r="E150" s="35"/>
      <c r="F150" s="35"/>
      <c r="G150" s="35"/>
      <c r="H150" s="35"/>
      <c r="I150" s="35"/>
      <c r="J150" s="35"/>
    </row>
    <row r="151">
      <c r="A151" s="38" t="s">
        <v>160</v>
      </c>
      <c r="B151" s="92"/>
      <c r="I151" s="35"/>
      <c r="J151" s="35"/>
    </row>
    <row r="152">
      <c r="A152" s="35"/>
      <c r="B152" s="35"/>
      <c r="C152" s="35"/>
      <c r="D152" s="35"/>
      <c r="E152" s="35"/>
      <c r="F152" s="35"/>
      <c r="G152" s="35"/>
      <c r="H152" s="91"/>
      <c r="I152" s="35"/>
      <c r="J152" s="35"/>
    </row>
    <row r="153">
      <c r="A153" s="38" t="s">
        <v>162</v>
      </c>
      <c r="C153" s="92"/>
      <c r="I153" s="35"/>
      <c r="J153" s="35"/>
    </row>
    <row r="154">
      <c r="A154" s="35"/>
      <c r="B154" s="35"/>
      <c r="C154" s="35"/>
      <c r="D154" s="35"/>
      <c r="E154" s="35"/>
      <c r="F154" s="35"/>
      <c r="G154" s="35"/>
      <c r="H154" s="35"/>
      <c r="I154" s="35"/>
      <c r="J154" s="35"/>
    </row>
    <row r="155">
      <c r="A155" s="38" t="s">
        <v>163</v>
      </c>
      <c r="C155" s="85">
        <v>0.0</v>
      </c>
      <c r="I155" s="35"/>
      <c r="J155" s="35"/>
    </row>
    <row r="156">
      <c r="A156" s="35"/>
      <c r="B156" s="35"/>
      <c r="C156" s="35"/>
      <c r="D156" s="35"/>
      <c r="E156" s="35"/>
      <c r="F156" s="35"/>
      <c r="G156" s="35"/>
      <c r="H156" s="35"/>
      <c r="I156" s="35"/>
      <c r="J156" s="35"/>
    </row>
    <row r="157">
      <c r="A157" s="38" t="s">
        <v>186</v>
      </c>
      <c r="C157" s="92"/>
      <c r="I157" s="35"/>
    </row>
    <row r="158">
      <c r="A158" s="35"/>
      <c r="B158" s="35"/>
      <c r="C158" s="35"/>
      <c r="D158" s="35"/>
      <c r="E158" s="35"/>
      <c r="F158" s="35"/>
      <c r="G158" s="35"/>
      <c r="H158" s="35"/>
      <c r="I158" s="35"/>
      <c r="J158" s="35"/>
    </row>
    <row r="159">
      <c r="A159" s="86" t="s">
        <v>165</v>
      </c>
      <c r="B159" s="88"/>
      <c r="C159" s="81"/>
      <c r="D159" s="81"/>
      <c r="E159" s="81"/>
      <c r="F159" s="81"/>
      <c r="G159" s="81"/>
      <c r="H159" s="82"/>
      <c r="I159" s="35"/>
      <c r="J159" s="35"/>
    </row>
    <row r="160">
      <c r="B160" s="88"/>
      <c r="C160" s="81"/>
      <c r="D160" s="81"/>
      <c r="E160" s="81"/>
      <c r="F160" s="81"/>
      <c r="G160" s="81"/>
      <c r="H160" s="82"/>
      <c r="I160" s="35"/>
      <c r="J160" s="35"/>
    </row>
    <row r="161">
      <c r="B161" s="88"/>
      <c r="C161" s="81"/>
      <c r="D161" s="81"/>
      <c r="E161" s="81"/>
      <c r="F161" s="81"/>
      <c r="G161" s="81"/>
      <c r="H161" s="82"/>
      <c r="I161" s="35"/>
      <c r="J161" s="35"/>
    </row>
    <row r="162">
      <c r="B162" s="88"/>
      <c r="C162" s="81"/>
      <c r="D162" s="81"/>
      <c r="E162" s="81"/>
      <c r="F162" s="81"/>
      <c r="G162" s="81"/>
      <c r="H162" s="82"/>
      <c r="I162" s="35"/>
      <c r="J162" s="35"/>
    </row>
    <row r="163">
      <c r="B163" s="88"/>
      <c r="C163" s="81"/>
      <c r="D163" s="81"/>
      <c r="E163" s="81"/>
      <c r="F163" s="81"/>
      <c r="G163" s="81"/>
      <c r="H163" s="82"/>
      <c r="I163" s="35"/>
      <c r="J163" s="35"/>
    </row>
    <row r="164">
      <c r="B164" s="88"/>
      <c r="C164" s="81"/>
      <c r="D164" s="81"/>
      <c r="E164" s="81"/>
      <c r="F164" s="81"/>
      <c r="G164" s="81"/>
      <c r="H164" s="82"/>
      <c r="I164" s="35"/>
      <c r="J164" s="35"/>
    </row>
    <row r="165">
      <c r="B165" s="88"/>
      <c r="C165" s="81"/>
      <c r="D165" s="81"/>
      <c r="E165" s="81"/>
      <c r="F165" s="81"/>
      <c r="G165" s="81"/>
      <c r="H165" s="82"/>
      <c r="I165" s="35"/>
      <c r="J165" s="35"/>
    </row>
    <row r="166">
      <c r="A166" s="35"/>
      <c r="B166" s="35"/>
      <c r="C166" s="35"/>
      <c r="D166" s="35"/>
      <c r="E166" s="35"/>
      <c r="F166" s="35"/>
      <c r="G166" s="35"/>
      <c r="H166" s="35"/>
      <c r="I166" s="35"/>
      <c r="J166" s="35"/>
    </row>
    <row r="167">
      <c r="A167" s="35"/>
      <c r="B167" s="35"/>
      <c r="C167" s="35"/>
      <c r="D167" s="35"/>
      <c r="E167" s="35"/>
      <c r="F167" s="35"/>
      <c r="G167" s="35"/>
      <c r="H167" s="35"/>
      <c r="I167" s="35"/>
      <c r="J167" s="35"/>
    </row>
    <row r="168">
      <c r="A168" s="35"/>
      <c r="B168" s="35"/>
      <c r="C168" s="35"/>
      <c r="D168" s="35"/>
      <c r="E168" s="35"/>
      <c r="F168" s="35"/>
      <c r="G168" s="35"/>
      <c r="H168" s="35"/>
      <c r="I168" s="35"/>
      <c r="J168" s="35"/>
    </row>
    <row r="169">
      <c r="A169" s="89" t="s">
        <v>166</v>
      </c>
      <c r="B169" s="35"/>
      <c r="C169" s="35"/>
      <c r="D169" s="35"/>
      <c r="E169" s="35"/>
      <c r="F169" s="35"/>
      <c r="G169" s="35"/>
      <c r="H169" s="35"/>
      <c r="I169" s="35"/>
      <c r="J169" s="35"/>
    </row>
    <row r="170">
      <c r="A170" s="93"/>
      <c r="B170" s="81"/>
      <c r="C170" s="81"/>
      <c r="D170" s="81"/>
      <c r="E170" s="81"/>
      <c r="F170" s="81"/>
      <c r="G170" s="81"/>
      <c r="H170" s="82"/>
      <c r="I170" s="35"/>
      <c r="J170" s="35"/>
    </row>
    <row r="171">
      <c r="A171" s="35"/>
      <c r="B171" s="35"/>
      <c r="C171" s="35"/>
      <c r="D171" s="35"/>
      <c r="E171" s="35"/>
      <c r="F171" s="35"/>
      <c r="G171" s="35"/>
      <c r="H171" s="35"/>
      <c r="I171" s="35"/>
      <c r="J171" s="35"/>
    </row>
    <row r="172">
      <c r="A172" s="35"/>
      <c r="B172" s="35"/>
      <c r="C172" s="35"/>
      <c r="D172" s="35"/>
      <c r="E172" s="35"/>
      <c r="F172" s="35"/>
      <c r="G172" s="35"/>
      <c r="H172" s="35"/>
      <c r="I172" s="35"/>
      <c r="J172" s="35"/>
    </row>
    <row r="173">
      <c r="A173" s="35"/>
      <c r="B173" s="35"/>
      <c r="C173" s="35"/>
      <c r="D173" s="35"/>
      <c r="E173" s="35"/>
      <c r="F173" s="35"/>
      <c r="G173" s="35"/>
      <c r="H173" s="35"/>
      <c r="I173" s="35"/>
      <c r="J173" s="35"/>
    </row>
    <row r="174">
      <c r="A174" s="35"/>
      <c r="B174" s="35"/>
      <c r="C174" s="35"/>
      <c r="D174" s="35"/>
      <c r="E174" s="35"/>
      <c r="F174" s="35"/>
      <c r="G174" s="35"/>
      <c r="H174" s="35"/>
      <c r="I174" s="35"/>
      <c r="J174" s="35"/>
    </row>
  </sheetData>
  <mergeCells count="117">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s>
  <sheetData>
    <row r="1">
      <c r="A1" s="33" t="s">
        <v>0</v>
      </c>
      <c r="B1" s="96" t="str">
        <f>'Diseño Curricular'!B1</f>
        <v>90 - Programacion de Computadoras 1</v>
      </c>
      <c r="I1" s="35"/>
      <c r="J1" s="35"/>
      <c r="K1" s="35"/>
      <c r="L1" s="35"/>
      <c r="M1" s="35"/>
      <c r="N1" s="35"/>
      <c r="O1" s="35"/>
      <c r="P1" s="35"/>
    </row>
    <row r="2">
      <c r="A2" s="97" t="s">
        <v>134</v>
      </c>
      <c r="B2" s="98"/>
      <c r="C2" s="98"/>
      <c r="D2" s="98"/>
      <c r="E2" s="98"/>
      <c r="F2" s="98"/>
      <c r="G2" s="98"/>
      <c r="H2" s="98"/>
      <c r="I2" s="98"/>
      <c r="J2" s="98"/>
      <c r="K2" s="98"/>
      <c r="L2" s="98"/>
      <c r="M2" s="98"/>
      <c r="N2" s="35"/>
      <c r="O2" s="35"/>
      <c r="P2" s="35"/>
    </row>
    <row r="3">
      <c r="A3" s="38" t="s">
        <v>202</v>
      </c>
      <c r="B3" s="38" t="s">
        <v>203</v>
      </c>
      <c r="C3" s="38" t="s">
        <v>204</v>
      </c>
      <c r="D3" s="38" t="s">
        <v>205</v>
      </c>
      <c r="E3" s="38" t="s">
        <v>206</v>
      </c>
      <c r="F3" s="38" t="s">
        <v>207</v>
      </c>
      <c r="G3" s="38" t="s">
        <v>208</v>
      </c>
      <c r="H3" s="38" t="s">
        <v>209</v>
      </c>
      <c r="I3" s="38" t="s">
        <v>210</v>
      </c>
      <c r="J3" s="38" t="s">
        <v>211</v>
      </c>
      <c r="K3" s="38" t="s">
        <v>212</v>
      </c>
      <c r="L3" s="38" t="s">
        <v>213</v>
      </c>
      <c r="M3" s="38" t="s">
        <v>214</v>
      </c>
      <c r="N3" s="35"/>
      <c r="O3" s="35"/>
      <c r="P3" s="35"/>
    </row>
    <row r="4">
      <c r="A4" s="35"/>
      <c r="B4" s="36">
        <f>S.1!$B$11</f>
        <v>0</v>
      </c>
      <c r="C4" s="36">
        <f>S.2!$B$11</f>
        <v>0</v>
      </c>
      <c r="D4" s="36">
        <f>S.3!$B$11</f>
        <v>0</v>
      </c>
      <c r="E4" s="36">
        <f>S.4!$B$11</f>
        <v>5</v>
      </c>
      <c r="F4" s="36">
        <f>S.5!$B$11</f>
        <v>0</v>
      </c>
      <c r="G4" s="36">
        <f>S.6!$B$11</f>
        <v>0</v>
      </c>
      <c r="H4" s="36">
        <f>S.7!$B$11</f>
        <v>0</v>
      </c>
      <c r="I4" s="36">
        <f>S.8!$B$11</f>
        <v>5</v>
      </c>
      <c r="J4" s="36">
        <f>S.9!$B$11</f>
        <v>0</v>
      </c>
      <c r="K4" s="36">
        <f>S.10!$B$11</f>
        <v>5</v>
      </c>
      <c r="L4" s="99">
        <v>0.0</v>
      </c>
      <c r="M4" s="100">
        <f>SUM(B4:L4)</f>
        <v>15</v>
      </c>
      <c r="N4" s="35"/>
      <c r="O4" s="35"/>
      <c r="P4" s="35"/>
    </row>
    <row r="5">
      <c r="A5" s="38" t="s">
        <v>215</v>
      </c>
      <c r="B5" s="35"/>
      <c r="C5" s="35"/>
      <c r="D5" s="35"/>
      <c r="E5" s="35"/>
      <c r="F5" s="35"/>
      <c r="G5" s="35"/>
      <c r="H5" s="35"/>
      <c r="I5" s="35"/>
      <c r="J5" s="41">
        <v>40.0</v>
      </c>
      <c r="K5" s="35"/>
      <c r="L5" s="35"/>
      <c r="M5" s="100">
        <f>Proyectos!H3</f>
        <v>40</v>
      </c>
      <c r="N5" s="35"/>
      <c r="O5" s="35"/>
      <c r="P5" s="35"/>
    </row>
    <row r="6">
      <c r="A6" s="38" t="s">
        <v>216</v>
      </c>
      <c r="B6" s="35"/>
      <c r="C6" s="35"/>
      <c r="D6" s="41">
        <v>20.0</v>
      </c>
      <c r="E6" s="35"/>
      <c r="G6" s="35"/>
      <c r="H6" s="35"/>
      <c r="I6" s="35"/>
      <c r="J6" s="35"/>
      <c r="K6" s="35"/>
      <c r="L6" s="35"/>
      <c r="M6" s="100">
        <f>Practicas!H3</f>
        <v>20</v>
      </c>
      <c r="N6" s="35"/>
      <c r="O6" s="35"/>
      <c r="P6" s="35"/>
    </row>
    <row r="7">
      <c r="A7" s="38" t="s">
        <v>217</v>
      </c>
      <c r="B7" s="35"/>
      <c r="C7" s="35"/>
      <c r="D7" s="35"/>
      <c r="E7" s="35"/>
      <c r="F7" s="35"/>
      <c r="G7" s="35"/>
      <c r="H7" s="35"/>
      <c r="I7" s="35"/>
      <c r="J7" s="35"/>
      <c r="K7" s="35"/>
      <c r="L7" s="35"/>
      <c r="M7" s="100">
        <f>Tareas!H3</f>
        <v>15</v>
      </c>
      <c r="N7" s="35"/>
      <c r="O7" s="35"/>
      <c r="P7" s="35"/>
    </row>
    <row r="8">
      <c r="A8" s="38" t="s">
        <v>218</v>
      </c>
      <c r="B8" s="35"/>
      <c r="C8" s="35"/>
      <c r="D8" s="35"/>
      <c r="E8" s="35"/>
      <c r="F8" s="35"/>
      <c r="G8" s="35"/>
      <c r="H8" s="35"/>
      <c r="I8" s="35"/>
      <c r="J8" s="35"/>
      <c r="K8" s="35"/>
      <c r="L8" s="35"/>
      <c r="M8" s="101">
        <v>10.0</v>
      </c>
      <c r="N8" s="35"/>
      <c r="O8" s="35"/>
      <c r="P8" s="35"/>
    </row>
    <row r="9">
      <c r="A9" s="102" t="s">
        <v>214</v>
      </c>
      <c r="M9" s="103">
        <f>SUM(M4:M8)</f>
        <v>100</v>
      </c>
      <c r="N9" s="35"/>
      <c r="O9" s="35"/>
      <c r="P9" s="35"/>
    </row>
    <row r="10">
      <c r="A10" s="35"/>
      <c r="B10" s="35"/>
      <c r="C10" s="35"/>
      <c r="D10" s="35"/>
      <c r="E10" s="35"/>
      <c r="F10" s="35"/>
      <c r="G10" s="35"/>
      <c r="H10" s="35"/>
      <c r="I10" s="35"/>
      <c r="J10" s="35"/>
      <c r="K10" s="35"/>
      <c r="L10" s="35"/>
      <c r="M10" s="35"/>
      <c r="N10" s="35"/>
      <c r="O10" s="35"/>
      <c r="P10" s="35"/>
    </row>
    <row r="11">
      <c r="A11" s="35"/>
      <c r="B11" s="35"/>
      <c r="C11" s="35"/>
      <c r="D11" s="35"/>
      <c r="E11" s="35"/>
      <c r="F11" s="35"/>
      <c r="G11" s="35"/>
      <c r="H11" s="35"/>
      <c r="I11" s="35"/>
      <c r="J11" s="35"/>
      <c r="K11" s="35"/>
      <c r="L11" s="35"/>
      <c r="M11" s="35"/>
      <c r="N11" s="35"/>
      <c r="O11" s="35"/>
      <c r="P11" s="35"/>
    </row>
    <row r="12">
      <c r="A12" s="97" t="s">
        <v>219</v>
      </c>
      <c r="B12" s="98"/>
      <c r="C12" s="98"/>
      <c r="D12" s="98"/>
      <c r="E12" s="98"/>
      <c r="F12" s="98"/>
      <c r="G12" s="98"/>
      <c r="H12" s="98"/>
      <c r="I12" s="98"/>
      <c r="J12" s="98"/>
      <c r="K12" s="98"/>
      <c r="L12" s="98"/>
      <c r="M12" s="98"/>
      <c r="N12" s="35"/>
      <c r="O12" s="35"/>
      <c r="P12" s="35"/>
    </row>
    <row r="13">
      <c r="A13" s="35"/>
      <c r="B13" s="35"/>
      <c r="C13" s="35"/>
      <c r="D13" s="35"/>
      <c r="E13" s="35"/>
      <c r="F13" s="35"/>
      <c r="G13" s="35"/>
      <c r="H13" s="35"/>
      <c r="I13" s="35"/>
      <c r="J13" s="35"/>
      <c r="K13" s="35"/>
      <c r="L13" s="35"/>
      <c r="M13" s="35"/>
      <c r="N13" s="35"/>
      <c r="O13" s="35"/>
      <c r="P13" s="35"/>
    </row>
    <row r="14">
      <c r="A14" s="38" t="s">
        <v>215</v>
      </c>
      <c r="B14" s="35"/>
      <c r="C14" s="35"/>
      <c r="D14" s="35"/>
      <c r="E14" s="35"/>
      <c r="F14" s="35"/>
      <c r="G14" s="35"/>
      <c r="H14" s="35"/>
      <c r="I14" s="35"/>
      <c r="J14" s="35"/>
      <c r="K14" s="35"/>
      <c r="L14" s="35"/>
      <c r="M14" s="36">
        <f>Proyectos!C9+Proyectos!C33+Proyectos!C57</f>
        <v>40</v>
      </c>
      <c r="N14" s="35"/>
      <c r="O14" s="35"/>
      <c r="P14" s="35"/>
    </row>
    <row r="15">
      <c r="A15" s="38" t="s">
        <v>216</v>
      </c>
      <c r="B15" s="35"/>
      <c r="C15" s="35"/>
      <c r="D15" s="35"/>
      <c r="E15" s="35"/>
      <c r="F15" s="35"/>
      <c r="G15" s="35"/>
      <c r="H15" s="35"/>
      <c r="I15" s="35"/>
      <c r="J15" s="35"/>
      <c r="K15" s="35"/>
      <c r="L15" s="35"/>
      <c r="M15" s="36">
        <f>Practicas!C9+Practicas!C33+Practicas!C57+Practicas!C81+Practicas!C105+Practicas!C129+Practicas!C153</f>
        <v>12</v>
      </c>
      <c r="N15" s="35"/>
    </row>
    <row r="16">
      <c r="A16" s="38" t="s">
        <v>217</v>
      </c>
      <c r="B16" s="35"/>
      <c r="C16" s="35"/>
      <c r="D16" s="35"/>
      <c r="E16" s="35"/>
      <c r="F16" s="35"/>
      <c r="G16" s="35"/>
      <c r="H16" s="35"/>
      <c r="I16" s="35"/>
      <c r="J16" s="35"/>
      <c r="K16" s="35"/>
      <c r="L16" s="35"/>
      <c r="M16" s="36">
        <f>Tareas!C9+Tareas!C33+Tareas!C57+Tareas!C81+Tareas!C105+Tareas!C153</f>
        <v>15</v>
      </c>
      <c r="N16" s="35"/>
    </row>
    <row r="17">
      <c r="A17" s="102" t="s">
        <v>214</v>
      </c>
      <c r="M17" s="104">
        <f>SUM(M14:M16)</f>
        <v>67</v>
      </c>
      <c r="N17" s="35"/>
    </row>
    <row r="18">
      <c r="A18" s="35"/>
      <c r="B18" s="35"/>
      <c r="C18" s="35"/>
      <c r="D18" s="35"/>
      <c r="E18" s="35"/>
      <c r="F18" s="35"/>
      <c r="G18" s="35"/>
      <c r="H18" s="35"/>
      <c r="I18" s="35"/>
      <c r="J18" s="35"/>
      <c r="K18" s="35"/>
      <c r="L18" s="35"/>
      <c r="M18" s="35"/>
      <c r="N18" s="35"/>
    </row>
    <row r="19">
      <c r="A19" s="35"/>
      <c r="B19" s="35"/>
      <c r="C19" s="35"/>
      <c r="D19" s="35"/>
      <c r="E19" s="35"/>
      <c r="F19" s="35"/>
      <c r="G19" s="35"/>
      <c r="H19" s="35"/>
      <c r="I19" s="35"/>
      <c r="J19" s="35"/>
      <c r="K19" s="35"/>
      <c r="L19" s="35"/>
      <c r="M19" s="35"/>
      <c r="N19" s="35"/>
    </row>
    <row r="20">
      <c r="A20" s="35"/>
      <c r="B20" s="35"/>
      <c r="C20" s="35"/>
      <c r="D20" s="35"/>
      <c r="E20" s="35"/>
      <c r="F20" s="35"/>
      <c r="G20" s="35"/>
      <c r="H20" s="35"/>
      <c r="I20" s="35"/>
      <c r="J20" s="35"/>
      <c r="K20" s="35"/>
      <c r="L20" s="35"/>
      <c r="M20" s="35"/>
      <c r="N20" s="35"/>
    </row>
    <row r="21">
      <c r="A21" s="35"/>
      <c r="B21" s="35"/>
      <c r="C21" s="35"/>
      <c r="D21" s="35"/>
      <c r="E21" s="35"/>
      <c r="F21" s="35"/>
      <c r="G21" s="35"/>
      <c r="H21" s="35"/>
      <c r="I21" s="35"/>
      <c r="J21" s="35"/>
      <c r="K21" s="35"/>
      <c r="L21" s="35"/>
      <c r="M21" s="35"/>
      <c r="N21" s="35"/>
    </row>
    <row r="22">
      <c r="A22" s="35"/>
      <c r="B22" s="35"/>
      <c r="C22" s="35"/>
      <c r="D22" s="35"/>
      <c r="E22" s="35"/>
      <c r="F22" s="35"/>
      <c r="G22" s="35"/>
      <c r="H22" s="35"/>
      <c r="I22" s="35"/>
      <c r="J22" s="35"/>
      <c r="K22" s="35"/>
      <c r="L22" s="35"/>
      <c r="M22" s="35"/>
      <c r="N22" s="35"/>
    </row>
    <row r="23">
      <c r="A23" s="35"/>
      <c r="B23" s="35"/>
      <c r="C23" s="35"/>
      <c r="D23" s="35"/>
      <c r="E23" s="35"/>
      <c r="F23" s="35"/>
      <c r="G23" s="35"/>
      <c r="H23" s="35"/>
      <c r="I23" s="35"/>
      <c r="J23" s="35"/>
      <c r="K23" s="35"/>
      <c r="L23" s="35"/>
      <c r="M23" s="35"/>
      <c r="N23" s="35"/>
    </row>
    <row r="24">
      <c r="A24" s="35"/>
      <c r="B24" s="35"/>
      <c r="C24" s="35"/>
      <c r="D24" s="35"/>
      <c r="E24" s="35"/>
      <c r="F24" s="35"/>
      <c r="G24" s="35"/>
      <c r="H24" s="35"/>
      <c r="I24" s="35"/>
      <c r="J24" s="35"/>
      <c r="K24" s="35"/>
      <c r="L24" s="35"/>
      <c r="M24" s="35"/>
      <c r="N24" s="35"/>
    </row>
    <row r="25">
      <c r="A25" s="35"/>
      <c r="B25" s="35"/>
      <c r="C25" s="35"/>
      <c r="D25" s="35"/>
      <c r="E25" s="35"/>
      <c r="F25" s="35"/>
      <c r="G25" s="35"/>
      <c r="H25" s="35"/>
      <c r="I25" s="35"/>
      <c r="J25" s="35"/>
      <c r="K25" s="35"/>
      <c r="L25" s="35"/>
      <c r="M25" s="35"/>
      <c r="N25" s="35"/>
    </row>
    <row r="26">
      <c r="A26" s="35"/>
      <c r="B26" s="35"/>
      <c r="C26" s="35"/>
      <c r="D26" s="35"/>
      <c r="E26" s="35"/>
      <c r="F26" s="35"/>
      <c r="G26" s="35"/>
      <c r="H26" s="35"/>
      <c r="I26" s="35"/>
      <c r="J26" s="35"/>
      <c r="K26" s="35"/>
      <c r="L26" s="35"/>
      <c r="M26" s="35"/>
      <c r="N26" s="35"/>
    </row>
    <row r="27">
      <c r="A27" s="35"/>
      <c r="B27" s="35"/>
      <c r="C27" s="35"/>
      <c r="D27" s="35"/>
      <c r="E27" s="35"/>
      <c r="F27" s="35"/>
      <c r="G27" s="35"/>
      <c r="H27" s="35"/>
      <c r="I27" s="35"/>
      <c r="J27" s="35"/>
      <c r="K27" s="35"/>
      <c r="L27" s="35"/>
      <c r="M27" s="35"/>
      <c r="N27" s="35"/>
    </row>
    <row r="28">
      <c r="A28" s="35"/>
      <c r="B28" s="35"/>
      <c r="C28" s="35"/>
      <c r="D28" s="35"/>
      <c r="E28" s="35"/>
      <c r="F28" s="35"/>
      <c r="G28" s="35"/>
      <c r="H28" s="35"/>
      <c r="I28" s="35"/>
      <c r="J28" s="35"/>
      <c r="K28" s="35"/>
      <c r="L28" s="35"/>
      <c r="M28" s="35"/>
      <c r="N28" s="35"/>
    </row>
    <row r="29">
      <c r="A29" s="35"/>
      <c r="B29" s="35"/>
      <c r="C29" s="35"/>
      <c r="D29" s="35"/>
      <c r="E29" s="35"/>
      <c r="F29" s="35"/>
      <c r="G29" s="35"/>
      <c r="H29" s="35"/>
      <c r="I29" s="35"/>
      <c r="J29" s="35"/>
      <c r="K29" s="35"/>
      <c r="L29" s="35"/>
      <c r="M29" s="35"/>
      <c r="N29" s="35"/>
    </row>
    <row r="30">
      <c r="A30" s="35"/>
      <c r="B30" s="35"/>
      <c r="C30" s="35"/>
      <c r="D30" s="35"/>
      <c r="E30" s="35"/>
      <c r="F30" s="35"/>
      <c r="G30" s="35"/>
      <c r="H30" s="35"/>
      <c r="I30" s="35"/>
      <c r="J30" s="35"/>
      <c r="K30" s="35"/>
      <c r="L30" s="35"/>
      <c r="M30" s="35"/>
      <c r="N30" s="35"/>
    </row>
    <row r="31">
      <c r="A31" s="35"/>
      <c r="B31" s="35"/>
      <c r="C31" s="35"/>
      <c r="D31" s="35"/>
      <c r="E31" s="35"/>
      <c r="F31" s="35"/>
      <c r="G31" s="35"/>
      <c r="H31" s="35"/>
      <c r="I31" s="35"/>
      <c r="J31" s="35"/>
      <c r="K31" s="35"/>
      <c r="L31" s="35"/>
      <c r="M31" s="35"/>
      <c r="N31" s="35"/>
    </row>
    <row r="32">
      <c r="A32" s="35"/>
      <c r="B32" s="35"/>
      <c r="C32" s="35"/>
      <c r="D32" s="35"/>
      <c r="E32" s="35"/>
      <c r="F32" s="35"/>
      <c r="G32" s="35"/>
      <c r="H32" s="35"/>
      <c r="I32" s="35"/>
      <c r="J32" s="35"/>
      <c r="K32" s="35"/>
      <c r="L32" s="35"/>
      <c r="M32" s="35"/>
      <c r="N32" s="35"/>
    </row>
    <row r="33">
      <c r="A33" s="35"/>
      <c r="B33" s="35"/>
      <c r="C33" s="35"/>
      <c r="D33" s="35"/>
      <c r="E33" s="35"/>
      <c r="F33" s="35"/>
      <c r="G33" s="35"/>
      <c r="H33" s="35"/>
      <c r="I33" s="35"/>
      <c r="J33" s="35"/>
      <c r="K33" s="35"/>
      <c r="L33" s="35"/>
      <c r="M33" s="35"/>
      <c r="N33" s="35"/>
    </row>
    <row r="34">
      <c r="A34" s="35"/>
      <c r="B34" s="35"/>
      <c r="C34" s="35"/>
      <c r="D34" s="35"/>
      <c r="E34" s="35"/>
      <c r="F34" s="35"/>
      <c r="G34" s="35"/>
      <c r="H34" s="35"/>
      <c r="I34" s="35"/>
      <c r="J34" s="35"/>
      <c r="K34" s="35"/>
      <c r="L34" s="35"/>
      <c r="M34" s="35"/>
      <c r="N34" s="35"/>
    </row>
    <row r="35">
      <c r="A35" s="35"/>
      <c r="B35" s="35"/>
      <c r="C35" s="35"/>
      <c r="D35" s="35"/>
      <c r="E35" s="35"/>
      <c r="F35" s="35"/>
      <c r="G35" s="35"/>
      <c r="H35" s="35"/>
      <c r="I35" s="35"/>
      <c r="J35" s="35"/>
      <c r="K35" s="35"/>
      <c r="L35" s="35"/>
      <c r="M35" s="35"/>
      <c r="N35" s="35"/>
    </row>
    <row r="36">
      <c r="A36" s="35"/>
      <c r="B36" s="35"/>
      <c r="C36" s="35"/>
      <c r="D36" s="35"/>
      <c r="E36" s="35"/>
      <c r="F36" s="35"/>
      <c r="G36" s="35"/>
      <c r="H36" s="35"/>
      <c r="I36" s="35"/>
      <c r="J36" s="35"/>
      <c r="K36" s="35"/>
      <c r="L36" s="35"/>
      <c r="M36" s="35"/>
      <c r="N36" s="35"/>
    </row>
    <row r="37">
      <c r="A37" s="35"/>
      <c r="B37" s="35"/>
      <c r="C37" s="35"/>
      <c r="D37" s="35"/>
      <c r="E37" s="35"/>
      <c r="F37" s="35"/>
      <c r="G37" s="35"/>
      <c r="H37" s="35"/>
      <c r="I37" s="35"/>
      <c r="J37" s="35"/>
      <c r="K37" s="35"/>
      <c r="L37" s="35"/>
      <c r="M37" s="35"/>
      <c r="N37" s="35"/>
    </row>
    <row r="38">
      <c r="A38" s="35"/>
      <c r="B38" s="35"/>
      <c r="C38" s="35"/>
      <c r="D38" s="35"/>
      <c r="E38" s="35"/>
      <c r="F38" s="35"/>
      <c r="G38" s="35"/>
      <c r="H38" s="35"/>
      <c r="I38" s="35"/>
      <c r="J38" s="35"/>
      <c r="K38" s="35"/>
      <c r="L38" s="35"/>
      <c r="M38" s="35"/>
      <c r="N38" s="35"/>
    </row>
    <row r="39">
      <c r="A39" s="35"/>
      <c r="B39" s="35"/>
      <c r="C39" s="35"/>
      <c r="D39" s="35"/>
      <c r="E39" s="35"/>
      <c r="F39" s="35"/>
      <c r="G39" s="35"/>
      <c r="H39" s="35"/>
      <c r="I39" s="35"/>
      <c r="J39" s="35"/>
      <c r="K39" s="35"/>
      <c r="L39" s="35"/>
      <c r="M39" s="35"/>
      <c r="N39" s="35"/>
    </row>
    <row r="40">
      <c r="A40" s="35"/>
      <c r="B40" s="35"/>
      <c r="C40" s="35"/>
      <c r="D40" s="35"/>
      <c r="E40" s="35"/>
      <c r="F40" s="35"/>
      <c r="G40" s="35"/>
      <c r="H40" s="35"/>
      <c r="I40" s="35"/>
      <c r="J40" s="35"/>
      <c r="K40" s="35"/>
      <c r="L40" s="35"/>
      <c r="M40" s="35"/>
      <c r="N40" s="35"/>
    </row>
    <row r="41">
      <c r="A41" s="35"/>
      <c r="B41" s="35"/>
      <c r="C41" s="35"/>
      <c r="D41" s="35"/>
      <c r="E41" s="35"/>
      <c r="F41" s="35"/>
      <c r="G41" s="35"/>
      <c r="H41" s="35"/>
      <c r="I41" s="35"/>
      <c r="J41" s="35"/>
      <c r="K41" s="35"/>
      <c r="L41" s="35"/>
      <c r="M41" s="35"/>
      <c r="N41" s="35"/>
    </row>
    <row r="42">
      <c r="A42" s="35"/>
      <c r="B42" s="35"/>
      <c r="C42" s="35"/>
      <c r="D42" s="35"/>
      <c r="E42" s="35"/>
      <c r="F42" s="35"/>
      <c r="G42" s="35"/>
      <c r="H42" s="35"/>
      <c r="I42" s="35"/>
      <c r="J42" s="35"/>
      <c r="K42" s="35"/>
      <c r="L42" s="35"/>
      <c r="M42" s="35"/>
      <c r="N42" s="35"/>
    </row>
    <row r="43">
      <c r="A43" s="35"/>
      <c r="B43" s="35"/>
      <c r="C43" s="35"/>
      <c r="D43" s="35"/>
      <c r="E43" s="35"/>
      <c r="F43" s="35"/>
      <c r="G43" s="35"/>
      <c r="H43" s="35"/>
      <c r="I43" s="35"/>
      <c r="J43" s="35"/>
      <c r="K43" s="35"/>
      <c r="L43" s="35"/>
      <c r="M43" s="35"/>
      <c r="N43" s="35"/>
    </row>
    <row r="44">
      <c r="A44" s="35"/>
      <c r="B44" s="35"/>
      <c r="C44" s="35"/>
      <c r="D44" s="35"/>
      <c r="E44" s="35"/>
      <c r="F44" s="35"/>
      <c r="G44" s="35"/>
      <c r="H44" s="35"/>
      <c r="I44" s="35"/>
      <c r="J44" s="35"/>
      <c r="K44" s="35"/>
      <c r="L44" s="35"/>
      <c r="M44" s="35"/>
      <c r="N44" s="35"/>
    </row>
    <row r="45">
      <c r="A45" s="35"/>
      <c r="B45" s="35"/>
      <c r="C45" s="35"/>
      <c r="D45" s="35"/>
      <c r="E45" s="35"/>
      <c r="F45" s="35"/>
      <c r="G45" s="35"/>
      <c r="H45" s="35"/>
      <c r="I45" s="35"/>
      <c r="J45" s="35"/>
      <c r="K45" s="35"/>
      <c r="L45" s="35"/>
      <c r="M45" s="35"/>
      <c r="N45" s="35"/>
    </row>
    <row r="46">
      <c r="A46" s="35"/>
      <c r="B46" s="35"/>
      <c r="C46" s="35"/>
      <c r="D46" s="35"/>
      <c r="E46" s="35"/>
      <c r="F46" s="35"/>
      <c r="G46" s="35"/>
      <c r="H46" s="35"/>
      <c r="I46" s="35"/>
      <c r="J46" s="35"/>
      <c r="K46" s="35"/>
      <c r="L46" s="35"/>
      <c r="M46" s="35"/>
      <c r="N46" s="35"/>
    </row>
  </sheetData>
  <mergeCells count="3">
    <mergeCell ref="B1:H1"/>
    <mergeCell ref="A9:L9"/>
    <mergeCell ref="A17:L17"/>
  </mergeCells>
  <drawing r:id="rId1"/>
</worksheet>
</file>