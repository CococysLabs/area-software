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HACSS7LeMJRyvRZfvMvsl5+fu8ukmKl4nFRIYr78U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<sst xmlns="http://schemas.openxmlformats.org/spreadsheetml/2006/main" count="1475" uniqueCount="430">
  <si>
    <t xml:space="preserve">Resumen de Ponderacion y Horas </t>
  </si>
  <si>
    <t>Curso</t>
  </si>
  <si>
    <t>90 - Programacion de Computadoras 1</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</si>
  <si>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</si>
  <si>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</si>
  <si>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</si>
  <si>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</si>
  <si>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</si>
  <si>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</si>
  <si>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</si>
  <si>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</si>
  <si>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</si>
  <si>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</si>
  <si>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</si>
  <si>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</si>
  <si>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</si>
  <si>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</si>
  <si>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</si>
  <si>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</si>
  <si>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</si>
  <si>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</si>
  <si>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</si>
  <si>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</si>
  <si>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</si>
  <si>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Toma decisiones profesionales con base en fundamentos teóricos, datos e
 información pertinente, válida y confiable.</t>
  </si>
  <si>
    <t>Aplica conocimientos tecnológicos con ética profesional y respetando y
 cuidando los recursos naturales, humanos y financieros.</t>
  </si>
  <si>
    <t>Identifica oportunidades y riesgos para la innovación y adaptación de
 conocimientos y tecnologías para resolver problemas.</t>
  </si>
  <si>
    <t>Maneja e Interpreta adecuadamente datos masivos, sean estos
 estructurados o no estructurados, facilitando su visualización e interpretación
 de forma eficaz en apoyo a la toma de decisiones.</t>
  </si>
  <si>
    <t>No</t>
  </si>
  <si>
    <t>Tipo</t>
  </si>
  <si>
    <t>Verbo en Presente</t>
  </si>
  <si>
    <t>Objeto de la acción</t>
  </si>
  <si>
    <t>[Palabras conectoreas] Herramientas o metodología</t>
  </si>
  <si>
    <t>[Palabras conectoreas] Condiciones específicas</t>
  </si>
  <si>
    <t>Nivel</t>
  </si>
  <si>
    <t>Especifica</t>
  </si>
  <si>
    <t>Aplica</t>
  </si>
  <si>
    <t>conceptos fundamentales de programación</t>
  </si>
  <si>
    <t>mediante ejercicios prácticos y análisis de código, en entornos virtuales de laboratorio</t>
  </si>
  <si>
    <t>para la toma de decisiones basada en información cuantitativa</t>
  </si>
  <si>
    <t>Crear</t>
  </si>
  <si>
    <t>General</t>
  </si>
  <si>
    <t>Integra</t>
  </si>
  <si>
    <t xml:space="preserve">herramientas de ofimática </t>
  </si>
  <si>
    <t>como Word, Excel, PowerPoint y Access</t>
  </si>
  <si>
    <t>en la resolución de tareas y proyectos con base en situaciones académicas y laborales comunes</t>
  </si>
  <si>
    <t>Analizar</t>
  </si>
  <si>
    <t>Evalúa</t>
  </si>
  <si>
    <t>resultados obtenidos en procesos de programación y ofimática</t>
  </si>
  <si>
    <t>utilizando pruebas de funcionamiento, revisión crítica de errores y optimización de recursos</t>
  </si>
  <si>
    <t>bajo criterios de funcionalidad y eficiencia</t>
  </si>
  <si>
    <t>Evaluar</t>
  </si>
  <si>
    <t>Crea</t>
  </si>
  <si>
    <t>soluciones digitales</t>
  </si>
  <si>
    <t>utilizando entornos de programación visual y aplicaciones de ofimática</t>
  </si>
  <si>
    <t>con estrategias de automatización básica y diseño de bases de datos para resolver problemas reales de forma efectiva</t>
  </si>
  <si>
    <t>Diseña</t>
  </si>
  <si>
    <t>macros automatizadas en hojas de cálculo</t>
  </si>
  <si>
    <t>utilizando Visual Basic para Aplicaciones (VBA)</t>
  </si>
  <si>
    <t>mediante la implementación de funciones y ciclos condicionales con conexión a bases de datos para optimizar tareas repetitivas</t>
  </si>
  <si>
    <t>Formula</t>
  </si>
  <si>
    <t>consultas en bases de datos relacionales</t>
  </si>
  <si>
    <t>empleando herramientas de Access y modelos entidad-relación</t>
  </si>
  <si>
    <t>bajo criterios de integridad y relaciones correctas para organizar y extraer información relevante</t>
  </si>
  <si>
    <t>Aplicar</t>
  </si>
  <si>
    <t>Analiza</t>
  </si>
  <si>
    <t>funcionamiento y utilidad de máquinas virtuales</t>
  </si>
  <si>
    <t>elaborando entregables</t>
  </si>
  <si>
    <t>que integren conceptos sobre virtualización y gestión de información para las necesitdades concretas</t>
  </si>
  <si>
    <t>Si las competencias son las misma que el semetre anterior compartenos tu opinion de porque no se cambiaron</t>
  </si>
  <si>
    <t>El laboratorio se encuentra bien estructura, así mismo las competencias cumplen con lo esperado y se desea lograr, no se ve necesario cambiarlas.</t>
  </si>
  <si>
    <t>Diseño de Contenido Curricular</t>
  </si>
  <si>
    <t>semestre que aplica</t>
  </si>
  <si>
    <t>No.</t>
  </si>
  <si>
    <t>Competencia</t>
  </si>
  <si>
    <t>Nombre de la Unidad</t>
  </si>
  <si>
    <t>Tema</t>
  </si>
  <si>
    <t>Subtema</t>
  </si>
  <si>
    <t>Mes</t>
  </si>
  <si>
    <t>Semana</t>
  </si>
  <si>
    <t xml:space="preserve">Analiza funcionamiento y utilidad de máquinas virtuales elaborando entregables que integren conceptos sobre virtualización y gestión de información para las necesitdades concretas </t>
  </si>
  <si>
    <t>Inicio y Diagnóstico</t>
  </si>
  <si>
    <t>Introducción a las máquinas virtuales</t>
  </si>
  <si>
    <t>Julio</t>
  </si>
  <si>
    <t>Instalación de VirtualBox</t>
  </si>
  <si>
    <t>Configuración de la VM</t>
  </si>
  <si>
    <t>Agosto</t>
  </si>
  <si>
    <t>Requisitos mínimos para la VM</t>
  </si>
  <si>
    <t xml:space="preserve">Aplica conceptos fundamentales de programación mediante ejercicios prácticos y análisis de código, en entornos virtuales de laboratorio para la toma de decisiones basada en información cuantitativa </t>
  </si>
  <si>
    <t>Uso del DTT en el entorno de desarrollo</t>
  </si>
  <si>
    <t>Práctica en pareja con VM</t>
  </si>
  <si>
    <t xml:space="preserve">Evalúa resultados obtenidos en procesos de programación y ofimática utilizando pruebas de funcionamiento, revisión crítica de errores y optimización de recursos bajo criterios de funcionalidad y eficiencia </t>
  </si>
  <si>
    <t>Resolución de dudas en foros</t>
  </si>
  <si>
    <t xml:space="preserve">Integra herramientas de ofimática  como Word, Excel, PowerPoint y Access en la resolución de tareas y proyectos con base en situaciones académicas y laborales comunes </t>
  </si>
  <si>
    <t>Introducción al Paquete Microsoft Office</t>
  </si>
  <si>
    <t>Lectura General Microsoft Office</t>
  </si>
  <si>
    <t>Lectura General Microsoft Word</t>
  </si>
  <si>
    <t>Lectura General Microsoft Excel</t>
  </si>
  <si>
    <t>Lectura General Microsoft Power Point</t>
  </si>
  <si>
    <t>Lectura General Microsoft Access</t>
  </si>
  <si>
    <t>Lectura de la práctica única</t>
  </si>
  <si>
    <t>Preguntas y dudas</t>
  </si>
  <si>
    <t>Herramientas de Excel</t>
  </si>
  <si>
    <t>Manipulación de celdas</t>
  </si>
  <si>
    <t>Fórmulas</t>
  </si>
  <si>
    <t>Funciones</t>
  </si>
  <si>
    <t>Creación de gráficos</t>
  </si>
  <si>
    <t>Análisis de datos en Excel</t>
  </si>
  <si>
    <t>Uso de tablas dinámicas</t>
  </si>
  <si>
    <t>Ejemplos prácticos</t>
  </si>
  <si>
    <t xml:space="preserve">Diseña macros automatizadas en hojas de cálculo utilizando Visual Basic para Aplicaciones (VBA) mediante la implementación de funciones y ciclos condicionales con conexión a bases de datos para optimizar tareas repetitivas </t>
  </si>
  <si>
    <t>Integración de formularios y tablas en VBA</t>
  </si>
  <si>
    <t>Importar y Exportar Excel con macros</t>
  </si>
  <si>
    <t>Función de programador en Excel</t>
  </si>
  <si>
    <t>Formularios en Excel con VBA</t>
  </si>
  <si>
    <t>Creación de macros en Excel</t>
  </si>
  <si>
    <t>Automatización con macros</t>
  </si>
  <si>
    <t>Asignar macros a controles en Excel</t>
  </si>
  <si>
    <t>Septiembre</t>
  </si>
  <si>
    <t>Ejemplos prácticos de formularios</t>
  </si>
  <si>
    <t xml:space="preserve">Formula consultas en bases de datos relacionales empleando herramientas de Access y modelos entidad-relación bajo criterios de integridad y relaciones correctas para organizar y extraer información relevante </t>
  </si>
  <si>
    <t>Diseño de Bases de Datos</t>
  </si>
  <si>
    <t>¿Qué es un diagrama ER?</t>
  </si>
  <si>
    <t>Propósito de los diagramas ER</t>
  </si>
  <si>
    <t>Entidades y atributos</t>
  </si>
  <si>
    <t>Relaciones entre entidades</t>
  </si>
  <si>
    <t>Cardinalidad de las relaciones</t>
  </si>
  <si>
    <t>Tipos de relaciones (uno a uno, uno a muchos, etc.)</t>
  </si>
  <si>
    <t>Ejemplo práctico de un diagrama ER</t>
  </si>
  <si>
    <t>Introducción a SQL</t>
  </si>
  <si>
    <t>Qué es una sentencia de SQL</t>
  </si>
  <si>
    <t>Cuáles categorías se divide las sentencias</t>
  </si>
  <si>
    <t>Lectura de SQL General</t>
  </si>
  <si>
    <t>Ejemplos de sentencias DDL</t>
  </si>
  <si>
    <t>Ejemplos de sentencias DML</t>
  </si>
  <si>
    <t>Estructuras de las sentencias</t>
  </si>
  <si>
    <t>Ejemplo práctico de una base de datos basado en el ER</t>
  </si>
  <si>
    <t>Implementación en Access</t>
  </si>
  <si>
    <t>Importancia de diagramas ER</t>
  </si>
  <si>
    <t>Creación de tablas</t>
  </si>
  <si>
    <t>Definición de campos y tipos de datos</t>
  </si>
  <si>
    <t>Relaciones entre tablas</t>
  </si>
  <si>
    <t>Definición de consultas en Access</t>
  </si>
  <si>
    <t>Formularios en Access</t>
  </si>
  <si>
    <t>Lectura del proyecto único</t>
  </si>
  <si>
    <t xml:space="preserve">Crea soluciones digitales utilizando entornos de programación visual y aplicaciones de ofimática con estrategias de automatización básica y diseño de bases de datos para resolver problemas reales de forma efectiva </t>
  </si>
  <si>
    <t>Introducción a programación en Visual Basic App</t>
  </si>
  <si>
    <t>¿Qué es Visual Basic Application?</t>
  </si>
  <si>
    <t>¿Para qué Visual Basic Application?</t>
  </si>
  <si>
    <t>Variables y tipos de variables</t>
  </si>
  <si>
    <t>Qué es la lógica booleana</t>
  </si>
  <si>
    <t>Condicionales y estructuras de control</t>
  </si>
  <si>
    <t>Definición de funciones, métodos y sus ámbitos</t>
  </si>
  <si>
    <t>Ejemplo práctico</t>
  </si>
  <si>
    <t>Integración de Access con Excel por VBA</t>
  </si>
  <si>
    <t>Comunicación aplicaciones de Microsoft</t>
  </si>
  <si>
    <t>Arq. Cliente Servidor</t>
  </si>
  <si>
    <t>Lectura conexión Excel y Access</t>
  </si>
  <si>
    <t>Gestión de librerías</t>
  </si>
  <si>
    <t>Octubre</t>
  </si>
  <si>
    <t>Ejemplo práctico de conexión</t>
  </si>
  <si>
    <t>Conferencia del Curso</t>
  </si>
  <si>
    <t>Cuestionario sobre conferencia</t>
  </si>
  <si>
    <t>Herramienta de Power BI</t>
  </si>
  <si>
    <t>¿Qué es Power BI?</t>
  </si>
  <si>
    <t>Conexión con orígenes de datos (Excel/Access)</t>
  </si>
  <si>
    <t>Visualizaciones básicas</t>
  </si>
  <si>
    <t>Creación de informes interactivos</t>
  </si>
  <si>
    <t>Conexión con Access</t>
  </si>
  <si>
    <t>Creación de reportes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</si>
  <si>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</si>
  <si>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</si>
  <si>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</si>
  <si>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</si>
  <si>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</si>
  <si>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</si>
  <si>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Nombre y Formación Académica:
Mi nombre es [tu nombre]
[Grado/título académico] en [especialidad]
[Universidad/institución] - [año de graduación]</t>
  </si>
  <si>
    <t xml:space="preserve">Experiencia docente y profecional </t>
  </si>
  <si>
    <t xml:space="preserve"> años de experiencia en [área específica]
He trabajado en [tipo de instituciones/empresas]
Especializado en [áreas clave relacionadas con el tema]</t>
  </si>
  <si>
    <t>Rol del auxiliar dentro del curso (funciones, actividades y apoyo a los estudiantes).</t>
  </si>
  <si>
    <t>Facilitar el aprendizaje complementario
Resolver dudas y brindar apoyo personalizado
Guiar ejercicios prácticos y actividades
Servir como enlace entre estudiantes y profesor titular</t>
  </si>
  <si>
    <t>Expectativas sobre la dinámica del curso</t>
  </si>
  <si>
    <t>Crear un ambiente de aprendizaje colaborativo
Fomentar la participación activa de todos
Desarrollar pensamiento crítico sobre [tema del curso]
Lograr que apliquen los conocimientos en situaciones reales</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</si>
  <si>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</si>
  <si>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</si>
  <si>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</si>
  <si>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</si>
  <si>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</si>
  <si>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No hay laboratorio previo</t>
  </si>
  <si>
    <t>Redactaras una parte practica para realizar la evaluacion de conocimientos previos</t>
  </si>
  <si>
    <t xml:space="preserve">3. Presentación de los Estudiantes                                </t>
  </si>
  <si>
    <t xml:space="preserve">No puedes excederte mas de 30 minutos </t>
  </si>
  <si>
    <t>Seleccion al Azar de 5 Estudiantes</t>
  </si>
  <si>
    <t>Selección al Azar de 5 Estudiantes:
Utilizar una lista numerada o aplicación aleatoria
Cada estudiante seleccionado tendrá 3 minutos para presentarse
Rotar la selección para incluir diferentes estudiantes en futuras clases
Crear un ambiente cómodo y sin presión para fomentar participación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</si>
  <si>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</si>
  <si>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</si>
  <si>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Nombre completo y presentación personal básica
Intereses y expectativas sobre el curso:
¿Qué esperas aprender en esta materia?
¿Qué temas te interesan más?
¿Cómo crees que te ayudará en tu formación profesional?
Experiencia previa relacionada con el curso (si aplica):
¿Has tenido contacto anterior con estos temas?
¿Has tomado cursos relacionados?
¿Tienes experiencia práctica en el área?
Un dato curioso sobre sí mismo:
Hobby, talento especial, o experiencia interesante
Algo que los compañeros no sepan de ti
¿Qué tan cómodo te sientes con la materia?
Nivel de confianza del 1 al 10
¿Qué aspectos consideras más desafiantes?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</si>
  <si>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</si>
  <si>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</si>
  <si>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</si>
  <si>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</si>
  <si>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Link de google forms donde está el cuestionario:
Crear un Google Form con preguntas sobre disponibilidad horaria
Incluir opciones de días de la semana y franjas horarias
Agregar campo para comentarios adicionales sobre preferencias
Link sugerido: forms.gle/[código-personalizado] o bit.ly/horarios-[curso]</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</si>
  <si>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</si>
  <si>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</si>
  <si>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Lunes a Viernes (días hábiles)
Sábados (si es necesario para recuperaciones)</t>
  </si>
  <si>
    <t xml:space="preserve">5.  Mostrar Programa del Curso                 </t>
  </si>
  <si>
    <t>No puedes excederte mas de 30 minutos</t>
  </si>
  <si>
    <t xml:space="preserve">6. Evaluación de Conocimientos del Curso Actual                                  </t>
  </si>
  <si>
    <t xml:space="preserve">Redactaras 20 preguntas con sus respectivas respuestas </t>
  </si>
  <si>
    <t>Preguntas Verdadero/Falso
La programación es el proceso de crear instrucciones para que una computadora ejecute tareas específicas.
Verdadero ✓
Falso
En programación, una variable puede cambiar su valor durante la ejecución del programa.
Verdadero ✓
Falso
Microsoft Excel solo puede trabajar con números, no con texto.
Verdadero
Falso ✓
Una máquina virtual es un hardware físico independiente.
Verdadero
Falso ✓
En un diagrama ER, una entidad representa un objeto del mundo real.
Verdadero ✓
Falso
SQL significa Standard Query Language.
Verdadero ✓
Falso
VBA (Visual Basic for Applications) solo funciona en Excel.
Verdadero
Falso ✓
Power BI es exclusivamente para crear presentaciones.
Verdadero
Falso ✓
Preguntas de Opción Múltiple
¿Cuál de los siguientes NO es un tipo de variable común en programación?
a) Entero (int)
b) Texto (string)
c) Decimal (float)
d) Circular ✓
¿Cuál es la estructura de control que permite ejecutar código repetidamente?
a) If-else
b) Switch
c) For/While ✓
d) Try-catch
¿Cuál es la extensión de archivo de Excel?
a) .doc
b) .xlsx ✓
c) .ppt
d) .pdf
¿Qué función de Excel suma un rango de celdas?
a) =COUNT()
b) =AVERAGE()
c) =SUM() ✓
d) =MAX()
En un diagrama ER, ¿qué representa la cardinalidad?
a) El color de las entidades
b) El número de relaciones entre entidades ✓
c) El tamaño de la base de datos
d) El tipo de atributo
¿Cuál de estas es una sentencia DDL en SQL?
a) SELECT
b) INSERT
c) CREATE TABLE ✓
d) UPDATE
¿Para qué sirve principalmente Microsoft Access?
a) Crear presentaciones
b) Editar imágenes
c) Gestionar bases de datos ✓
d) Navegar en internet
¿Qué permite hacer una macro en Excel?
a) Cambiar el color del programa
b) Automatizar tareas repetitivas ✓
c) Conectarse a internet
d) Crear gráficos únicamente
¿Cuál es el propósito principal de VirtualBox?
a) Editar videos
b) Crear máquinas virtuales ✓
c) Diseñar páginas web
d) Comprimir archivos
¿Qué tipo de relación existe cuando una entidad se relaciona con muchas de otra entidad?
a) Uno a uno
b) Uno a muchos ✓
c) Muchos a ninguno
d) Circular
¿Cuál es la principal ventaja de Power BI?
a) Escribir código
b) Crear visualizaciones interactivas de datos ✓
c) Editar documentos de texto
d) Enviar correos electrónicos
¿Qué significa WWW en el contexto de internet?
a) World Wide Web ✓
b) World Wide Work
c) Web Wide World
d) Wide World Web</t>
  </si>
  <si>
    <t>Diseño de la Sesión de Laboratorio</t>
  </si>
  <si>
    <t>Ponderación</t>
  </si>
  <si>
    <t>Validación de Tiempo</t>
  </si>
  <si>
    <t>1. Área Actitudinal (Saber Ser)</t>
  </si>
  <si>
    <t>Tiene que estar en un rango de 3 a 5 minutos</t>
  </si>
  <si>
    <t>Nombre del Valor</t>
  </si>
  <si>
    <t>Respeto</t>
  </si>
  <si>
    <t>Descripcion</t>
  </si>
  <si>
    <t>El respeto consiste en reconocer, aceptar y valorar a las demás personas, sus opiniones, ideas y formas de trabajo, manteniendo una convivencia armónica y constructiva.</t>
  </si>
  <si>
    <t>Como se relaciona con los conocimientos de la sesion y se aplicaria</t>
  </si>
  <si>
    <t>Se fomenta un ambiente de colaboración respetando los ritmos de aprendizaje de cada persona.</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</si>
  <si>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</si>
  <si>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</si>
  <si>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</si>
  <si>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</si>
  <si>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</si>
  <si>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</si>
  <si>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</si>
  <si>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</si>
  <si>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</si>
  <si>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</si>
  <si>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</si>
  <si>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</si>
  <si>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</si>
  <si>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</si>
  <si>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</si>
  <si>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</si>
  <si>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</si>
  <si>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</si>
  <si>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</si>
  <si>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</si>
  <si>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</si>
  <si>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</si>
  <si>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</si>
  <si>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</si>
  <si>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Realización de Cuestionario sobre los temas vistos en clase</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</si>
  <si>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</si>
  <si>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</si>
  <si>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</si>
  <si>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</si>
  <si>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</si>
  <si>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 aclaraciones pendientes y anuncios importantes.</t>
  </si>
  <si>
    <t>Resuelve alguna duda, asigna las actividades que deben realizar, dudas de proyectos, etc</t>
  </si>
  <si>
    <t>Responsabilidad</t>
  </si>
  <si>
    <t>La responsabilidad es el valor que impulsa a cumplir con las obligaciones y compromisos asumidos, reconociendo las consecuencias de los actos propios.</t>
  </si>
  <si>
    <t>Al trabajar con proyectos de ofimática, la responsabilidad garantiza que las soluciones digitales se realicen con orden, precisión y dentro de los plazos establecidos.</t>
  </si>
  <si>
    <t>Cuestionario</t>
  </si>
  <si>
    <t>Cooperación</t>
  </si>
  <si>
    <t>La cooperación es la capacidad de trabajar junto a otros para alcanzar un objetivo común, aportando esfuerzo, conocimientos y habilidades en beneficio del grupo.</t>
  </si>
  <si>
    <t>Al manipular celdas, fórmulas y funciones, los estudiantes pueden compartir estrategias y ayudarse mutuamente para resolver dudas.</t>
  </si>
  <si>
    <t>Perseverancia</t>
  </si>
  <si>
    <t>La perseverancia es la capacidad de mantener el esfuerzo constante y la motivación para superar dificultades y alcanzar un objetivo, sin rendirse ante los obstáculos.</t>
  </si>
  <si>
    <t>Aplicar perseverancia asegura que, aunque el diseño de bases de datos pueda parecer difícil al inicio, los estudiantes logren consolidar su aprendizaje y desarrollar modelos correctos y funcionales.</t>
  </si>
  <si>
    <t>El ejercicio consiste en desarrollar el sistema básico de una Tienda en Línea, partiendo de un Diagrama Entidad-Relación (ER) que vincula "Categorías" y "Productos". A partir de este diseño, se utilizarán sentencias DDL para crear la estructura de las tablas en la base de datos. Posteriormente, se aplicarán comandos DML para la operación práctica, insertando y actualizando registros (como crear categorías y agregarles productos). Finalmente, se analizará la estructura general de SQL mediante sentencias de lectura (SELECT) para consultar y cruzar la información almacenada, ilustrando de forma rápida y práctica el ciclo completo desde el diseño conceptual hasta la manipulación y extracción de datos.</t>
  </si>
  <si>
    <t xml:space="preserve"> La responsabilidad es el compromiso de cumplir con las tareas, obligaciones y deberes asignados, asumiendo las consecuencias de las propias 
acciones y tomando decisiones de manera consciente y correcta.</t>
  </si>
  <si>
    <t>Organizar el tiempo para desarrollar correctamente las actividades en Word, Excel, PowerPoint y Access.</t>
  </si>
  <si>
    <t>Disciplina</t>
  </si>
  <si>
    <t>Trabajar diligentemente</t>
  </si>
  <si>
    <t>Completar las tareas asignadas</t>
  </si>
  <si>
    <t xml:space="preserve">El ejercicio consiste en desarrollar una Macro de Control de Inventario en Excel, comenzando por explicar brevemente qué es y para qué sirve VBA en la automatización de tareas cotidianas. En la práctica, se declararán variables con sus respectivos tipos de datos para leer las cantidades de los productos, aplicando lógica booleana y estructuras condicionales (IF/THEN) para evaluar si el stock disponible es menor al mínimo requerido. </t>
  </si>
  <si>
    <t>Ejercicio Practico</t>
  </si>
  <si>
    <t>Colaboración</t>
  </si>
  <si>
    <t>Trabajar en equipo y ayudar a otros.</t>
  </si>
  <si>
    <t>Trabajo en conjunto entre diferentes herramientas.</t>
  </si>
  <si>
    <t xml:space="preserve">Realización de Cuestionario sobre los temas vistos en clase
							</t>
  </si>
  <si>
    <t xml:space="preserve">Realización de ejercicio práctico en clase, conexión entre Access y Excel </t>
  </si>
  <si>
    <t>Creatividad</t>
  </si>
  <si>
    <t>Buscar soluciones originales y prácticas.</t>
  </si>
  <si>
    <t>Exploración de creatividad para el diseño de tablero y solución de problemas.</t>
  </si>
  <si>
    <t>En la práctica, se realizará la conexión e importación de datos combinando registros desde un archivo de Excel y una base de datos en Access para unificar la información. Con estos datos cargados, se diseñarán visualizaciones básicas, como gráficos de barras y de pastel, que luego se ensamblarán durante la creación del reporte.</t>
  </si>
  <si>
    <t>Análisis</t>
  </si>
  <si>
    <t>Repaso de consultas de base de datos que pueden ser de utilidad en Power BI</t>
  </si>
  <si>
    <t>La sumatoria de los puntos de los proyectos debe superar el  60% del total de la nota, no puede ser un 100%</t>
  </si>
  <si>
    <t>1. Primer Proyecto</t>
  </si>
  <si>
    <t>Horas para realizarlo</t>
  </si>
  <si>
    <t>Titulo</t>
  </si>
  <si>
    <t>Transfer APP F1</t>
  </si>
  <si>
    <t>Qué tecnologías, lenguajes de programación, plataformas, hardware o software se utilizaran</t>
  </si>
  <si>
    <t>SQL Server Express
SQL Server Management Studio (SSMS)
Microsoft Excel (VBA)</t>
  </si>
  <si>
    <t>Descripción de lo que se realizara</t>
  </si>
  <si>
    <t>La fase 1 está orientada a la solución de los requerimientos que describen cómo diseñar e implementar un modelo entidad-relación y su
 correspondiente base de datos relacional en SQL Server para una biblioteca municipal, además de formularios básicos en Excel con
 VBA para el registro
 de roles y usuarios</t>
  </si>
  <si>
    <t>2. Segundo Proyecto</t>
  </si>
  <si>
    <t>Transfer APP F2</t>
  </si>
  <si>
    <t>SQL Server Express
Microsoft Excel (VBA / Macros)
ADO (ActiveX Data Objects)</t>
  </si>
  <si>
    <t>La fase 2 está orientada al desarrollo de la aplicación completa en Microsoft Excel con VBA, conectada a la base de datos creada en la fase anterior. 
Se implementarán 7 pestañas funcionales con control de acceso por roles (Bibliotecario y Lector), formularios para registro de usuarios y 
préstamos, validación de stock disponible y consulta del historial de operaciones.</t>
  </si>
  <si>
    <t>3. Tercer Proyecto</t>
  </si>
  <si>
    <t>Optativa</t>
  </si>
  <si>
    <t>Practicas</t>
  </si>
  <si>
    <t>La sumatoria de los puntos de los practicas debe no debe super el  20%</t>
  </si>
  <si>
    <t>1. Primera Practica</t>
  </si>
  <si>
    <t>Obligatoria</t>
  </si>
  <si>
    <t>Configuración de Máquina Virtual con Windows e Instalación de Hypervisor</t>
  </si>
  <si>
    <t>- Hypervisor (VirtualBox recomendado)
- Sistema Operativo Windows (versión a discreción del estudiante)
- Dispositivo USB para instalación de software
- Navegador web Chrome
- ISO de instalación de Windows
- Equipo físico host con recursos suficientes (RAM, almacenamiento)</t>
  </si>
  <si>
    <t>Se desarrollará un manual técnico completo que documente:
1. Instalación y configuración de un hypervisor en la máquina host
2. Creación de una máquina virtual con asignación de recursos (memoria RAM, disco duro, tipo de SO)
3. Instalación del sistema operativo Windows mediante archivo ISO
4. Configuración de lectura de dispositivo USB desde la máquina virtual
5. Configuración de acceso a internet en la máquina virtual
6. Instalación de navegador web Chrome desde dispositivo USB
7. Verificación de conectividad a internet desde el navegador instalado
El manual incluirá capturas de pantalla detalladas de cada paso y estará orientado a servir como recurso de consulta para futuras instalaciones.</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</si>
  <si>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</si>
  <si>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</si>
  <si>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</si>
  <si>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</si>
  <si>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</si>
  <si>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</si>
  <si>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</si>
  <si>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</si>
  <si>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</si>
  <si>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Investigación sobre la programación</t>
  </si>
  <si>
    <t>Navegador Web 
Microsoft Word</t>
  </si>
  <si>
    <t>Que conocimientos base y competencias esenciales se deben reforzar que permitan al estudiante afrontar con mayor solidez los contenidos del curso</t>
  </si>
  <si>
    <t>Lenguajes de Programación
Algoritmos 
Programación básica</t>
  </si>
  <si>
    <t>1. Primera Tarea</t>
  </si>
  <si>
    <t>Instalación de un Hipervisor</t>
  </si>
  <si>
    <t xml:space="preserve">Oracle VirtualBox
Microsoft Windows </t>
  </si>
  <si>
    <t>Familiarizarse con la instalación y configuración de un software de virtualización.</t>
  </si>
  <si>
    <t>2. Segunda Tarea</t>
  </si>
  <si>
    <t>Microsoft Excel y Analisis de Datos</t>
  </si>
  <si>
    <t xml:space="preserve">Microsoft Excel
Microsoft Windows </t>
  </si>
  <si>
    <t>El objetivo de esta tarea es que desarrolles habilidades avanzadas en el uso de Microsoft Excel, incluyendo la gestión de datos, la aplicación de funciones y fórmulas avanzadas, el análisis mediante tablas dinámicas y la creación de visualizaciones gráficas para interpretar la información de manera efectiva.</t>
  </si>
  <si>
    <t>3. Tercera Tarea</t>
  </si>
  <si>
    <t>Microsoft Excel y VBA (Macros)</t>
  </si>
  <si>
    <t>Microsoft Excel
Visual Basic for App</t>
  </si>
  <si>
    <t>Desarrollar un formulario interactivo en Microsoft Excel utilizando macros programados en VBA (Visual Basic for Applications). El formulario permitirá ingresar los datos de un usuario y reflejar la información capturada en una tabla dentro de la hoja de cálculo.</t>
  </si>
  <si>
    <t>4. Cuarta Tarea</t>
  </si>
  <si>
    <t>Presentación sobre tema del Curso</t>
  </si>
  <si>
    <t xml:space="preserve">Microsoft Power Point
Microsoft Windows </t>
  </si>
  <si>
    <t xml:space="preserve">
Desarrollar una presentación utilizando PowerPoint o Canva que aborde un tema de interés relacionado con la materia de Programación de Computadoras. La presentación debe ser clara, coherente y visualmente atractiva, incorporando los elementos y técnicas estudiados en la clase
</t>
  </si>
  <si>
    <t>5. Quinta Tarea</t>
  </si>
  <si>
    <t>Investigacion sobre Visual Basic</t>
  </si>
  <si>
    <t>Microsoft Word</t>
  </si>
  <si>
    <t>Cada estudiante deberá realizar una investigación sobre los componentes que se pueden utilizar en Visual Basic para desarrollar aplicaciones, describiendo específicamente su funcionalidad y cómo pueden conectarse a una base de datos. Además, deben incluir ejemplos visuales (imágenes) de los componentes.</t>
  </si>
  <si>
    <t>6. Sexta Tarea</t>
  </si>
  <si>
    <t>7. Septima Tarea</t>
  </si>
  <si>
    <t>Codigo-Nombre</t>
  </si>
  <si>
    <t>Competencias</t>
  </si>
  <si>
    <t>17 - Área Social Humanística 1</t>
  </si>
  <si>
    <t>101 - Área Matemática Básica 1</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</si>
  <si>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</si>
  <si>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</si>
  <si>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</si>
  <si>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39 - Deportes 1</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</si>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</sst>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b/>
      <color rgb="FFFFFFFF"/>
      <name val="Arial"/>
    </font>
    <font>
      <sz val="11.0"/>
      <color theme="1"/>
      <name val="Arial"/>
    </font>
    <font>
      <color rgb="FFFFFFFF"/>
      <name val="Arial"/>
    </font>
    <font>
      <b/>
      <sz val="12.0"/>
      <color theme="8"/>
      <name val="Arial"/>
    </font>
    <font>
      <color rgb="FFB7B7B7"/>
      <name val="Arial"/>
    </font>
    <font>
      <b/>
      <sz val="13.0"/>
      <color theme="4"/>
      <name val="Arial"/>
    </font>
    <font>
      <b/>
      <sz val="12.0"/>
      <color theme="4"/>
      <name val="Arial"/>
    </font>
    <font>
      <color rgb="FF999999"/>
      <name val="Arial"/>
    </font>
    <font>
      <b/>
      <sz val="13.0"/>
      <color rgb="FF4285F4"/>
      <name val="Arial"/>
    </font>
    <font>
      <b/>
      <sz val="12.0"/>
      <color rgb="FF4285F4"/>
      <name val="Arial"/>
    </font>
    <font>
      <b/>
      <sz val="12.0"/>
      <color rgb="FFFFFFFF"/>
      <name val="Arial"/>
    </font>
    <font>
      <color rgb="FFCCCCCC"/>
      <name val="Arial"/>
    </font>
    <font>
      <color rgb="FFD9D9D9"/>
      <name val="Arial"/>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2" fillId="0" fontId="1" numFmtId="0" xfId="0" applyAlignment="1" applyBorder="1" applyFont="1">
      <alignment vertical="bottom"/>
    </xf>
    <xf borderId="0" fillId="3" fontId="1" numFmtId="0" xfId="0" applyAlignment="1" applyFont="1">
      <alignment horizontal="right" vertical="bottom"/>
    </xf>
    <xf borderId="1" fillId="0" fontId="7"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shrinkToFit="0" vertical="bottom" wrapText="1"/>
    </xf>
    <xf borderId="9" fillId="9" fontId="1" numFmtId="0" xfId="0" applyAlignment="1" applyBorder="1" applyFill="1" applyFont="1">
      <alignment shrinkToFit="0" vertical="bottom" wrapText="1"/>
    </xf>
    <xf borderId="14" fillId="10" fontId="11" numFmtId="0" xfId="0" applyAlignment="1" applyBorder="1" applyFill="1" applyFont="1">
      <alignment horizontal="center" shrinkToFit="0" vertical="bottom" wrapText="1"/>
    </xf>
    <xf borderId="9" fillId="11" fontId="11" numFmtId="0" xfId="0" applyAlignment="1" applyBorder="1" applyFill="1" applyFont="1">
      <alignment horizontal="center" shrinkToFit="0" wrapText="1"/>
    </xf>
    <xf borderId="14" fillId="12" fontId="3" numFmtId="0" xfId="0" applyAlignment="1" applyBorder="1" applyFill="1" applyFont="1">
      <alignment horizontal="center" shrinkToFit="0" vertical="bottom" wrapText="1"/>
    </xf>
    <xf borderId="9" fillId="13" fontId="1" numFmtId="0" xfId="0" applyAlignment="1" applyBorder="1" applyFill="1" applyFont="1">
      <alignment readingOrder="0" vertical="bottom"/>
    </xf>
    <xf borderId="9" fillId="7" fontId="1" numFmtId="0" xfId="0" applyAlignment="1" applyBorder="1" applyFont="1">
      <alignment vertical="bottom"/>
    </xf>
    <xf borderId="14" fillId="14" fontId="12" numFmtId="0" xfId="0" applyAlignment="1" applyBorder="1" applyFill="1" applyFont="1">
      <alignment horizontal="center" shrinkToFit="0" vertical="bottom" wrapText="1"/>
    </xf>
    <xf borderId="9" fillId="13" fontId="1" numFmtId="0" xfId="0" applyAlignment="1" applyBorder="1" applyFont="1">
      <alignment shrinkToFit="0" vertical="bottom" wrapText="1"/>
    </xf>
    <xf borderId="14" fillId="10" fontId="11" numFmtId="0" xfId="0" applyAlignment="1" applyBorder="1" applyFont="1">
      <alignment horizontal="center" vertical="bottom"/>
    </xf>
    <xf borderId="14" fillId="12" fontId="1" numFmtId="0" xfId="0" applyAlignment="1" applyBorder="1" applyFont="1">
      <alignment horizontal="center" shrinkToFit="0" vertical="bottom" wrapText="1"/>
    </xf>
    <xf borderId="14" fillId="3" fontId="1" numFmtId="0" xfId="0" applyAlignment="1" applyBorder="1" applyFont="1">
      <alignment vertical="bottom"/>
    </xf>
    <xf borderId="17" fillId="0" fontId="1" numFmtId="0" xfId="0" applyAlignment="1" applyBorder="1" applyFont="1">
      <alignment readingOrder="0"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3" numFmtId="0" xfId="0" applyFont="1"/>
    <xf borderId="0" fillId="0" fontId="14" numFmtId="0" xfId="0" applyFont="1"/>
    <xf borderId="0" fillId="0" fontId="15" numFmtId="0" xfId="0" applyFont="1"/>
    <xf borderId="0" fillId="0" fontId="10" numFmtId="0" xfId="0" applyAlignment="1" applyFont="1">
      <alignment vertical="bottom"/>
    </xf>
    <xf borderId="9" fillId="0" fontId="10" numFmtId="0" xfId="0" applyAlignment="1" applyBorder="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9" fillId="0" fontId="1" numFmtId="0" xfId="0" applyAlignment="1" applyBorder="1" applyFont="1">
      <alignment readingOrder="0" vertical="bottom"/>
    </xf>
    <xf borderId="0" fillId="0" fontId="1" numFmtId="0" xfId="0" applyAlignment="1" applyFont="1">
      <alignment horizontal="right" vertical="bottom"/>
    </xf>
    <xf borderId="0" fillId="0" fontId="1" numFmtId="0" xfId="0" applyAlignment="1" applyFont="1">
      <alignment vertical="bottom"/>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6" numFmtId="0" xfId="0" applyFont="1"/>
    <xf borderId="0" fillId="0" fontId="17" numFmtId="0" xfId="0" applyAlignment="1" applyFont="1">
      <alignment shrinkToFit="0" wrapText="1"/>
    </xf>
    <xf borderId="0" fillId="15" fontId="13" numFmtId="0" xfId="0" applyFill="1" applyFont="1"/>
    <xf borderId="0" fillId="0" fontId="18" numFmtId="0" xfId="0" applyFont="1"/>
    <xf borderId="9" fillId="4" fontId="1" numFmtId="0" xfId="0" applyAlignment="1" applyBorder="1" applyFont="1">
      <alignment shrinkToFit="0" vertical="bottom" wrapText="1"/>
    </xf>
    <xf borderId="14" fillId="0" fontId="1" numFmtId="0" xfId="0" applyAlignment="1" applyBorder="1" applyFont="1">
      <alignment vertical="bottom"/>
    </xf>
    <xf borderId="9" fillId="4" fontId="1" numFmtId="0" xfId="0" applyAlignment="1" applyBorder="1" applyFont="1">
      <alignment shrinkToFit="0" wrapText="1"/>
    </xf>
    <xf borderId="9" fillId="4" fontId="1" numFmtId="0" xfId="0" applyBorder="1" applyFont="1"/>
    <xf borderId="14" fillId="0" fontId="1" numFmtId="0" xfId="0" applyAlignment="1" applyBorder="1" applyFont="1">
      <alignment readingOrder="0"/>
    </xf>
    <xf borderId="0" fillId="0" fontId="19" numFmtId="0" xfId="0" applyFont="1"/>
    <xf borderId="0" fillId="0" fontId="20" numFmtId="0" xfId="0" applyAlignment="1" applyFont="1">
      <alignment shrinkToFit="0" wrapText="1"/>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0" numFmtId="0" xfId="0" applyFont="1"/>
    <xf borderId="0" fillId="16" fontId="21" numFmtId="0" xfId="0" applyFill="1" applyFont="1"/>
    <xf borderId="14" fillId="0" fontId="1" numFmtId="0" xfId="0" applyAlignment="1" applyBorder="1" applyFont="1">
      <alignment horizontal="right" vertical="bottom"/>
    </xf>
    <xf borderId="14" fillId="4" fontId="1" numFmtId="0" xfId="0" applyBorder="1" applyFont="1"/>
    <xf borderId="17" fillId="0" fontId="1" numFmtId="0" xfId="0" applyAlignment="1" applyBorder="1" applyFont="1">
      <alignment vertical="bottom"/>
    </xf>
    <xf borderId="0" fillId="0" fontId="17" numFmtId="0" xfId="0" applyFont="1"/>
    <xf borderId="9" fillId="17" fontId="1" numFmtId="0" xfId="0" applyBorder="1" applyFill="1" applyFont="1"/>
    <xf borderId="14" fillId="17" fontId="1" numFmtId="0" xfId="0" applyBorder="1" applyFont="1"/>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2" numFmtId="0" xfId="0" applyBorder="1" applyFont="1"/>
    <xf borderId="0" fillId="0" fontId="22" numFmtId="0" xfId="0" applyFont="1"/>
    <xf borderId="17" fillId="0" fontId="1" numFmtId="0" xfId="0" applyAlignment="1" applyBorder="1" applyFont="1">
      <alignment readingOrder="0"/>
    </xf>
    <xf borderId="23" fillId="0" fontId="6" numFmtId="0" xfId="0" applyBorder="1" applyFont="1"/>
    <xf borderId="24" fillId="0" fontId="6" numFmtId="0" xfId="0" applyBorder="1" applyFont="1"/>
    <xf borderId="0" fillId="0" fontId="23" numFmtId="0" xfId="0" applyFont="1"/>
    <xf borderId="17" fillId="0" fontId="1" numFmtId="0" xfId="0" applyBorder="1" applyFont="1"/>
    <xf borderId="14" fillId="0" fontId="22" numFmtId="0" xfId="0" applyAlignment="1" applyBorder="1" applyFont="1">
      <alignment readingOrder="0"/>
    </xf>
    <xf borderId="15" fillId="0" fontId="1" numFmtId="0" xfId="0" applyAlignment="1" applyBorder="1" applyFont="1">
      <alignment vertical="bottom"/>
    </xf>
    <xf borderId="9" fillId="4" fontId="1" numFmtId="0" xfId="0" applyAlignment="1" applyBorder="1" applyFont="1">
      <alignment vertical="bottom"/>
    </xf>
    <xf borderId="14" fillId="4" fontId="1" numFmtId="0" xfId="0" applyAlignment="1" applyBorder="1" applyFont="1">
      <alignment vertical="bottom"/>
    </xf>
    <xf borderId="14" fillId="0" fontId="22" numFmtId="0" xfId="0" applyAlignment="1" applyBorder="1" applyFont="1">
      <alignment horizontal="right" vertical="bottom"/>
    </xf>
    <xf borderId="0" fillId="16" fontId="21" numFmtId="0" xfId="0" applyAlignment="1" applyFont="1">
      <alignment readingOrder="0"/>
    </xf>
    <xf borderId="20" fillId="0" fontId="1" numFmtId="0" xfId="0" applyAlignment="1" applyBorder="1" applyFont="1">
      <alignment vertical="bottom"/>
    </xf>
    <xf borderId="21" fillId="0" fontId="1" numFmtId="0" xfId="0" applyAlignment="1" applyBorder="1" applyFont="1">
      <alignment vertical="bottom"/>
    </xf>
    <xf borderId="22" fillId="0" fontId="1" numFmtId="0" xfId="0" applyAlignment="1" applyBorder="1" applyFont="1">
      <alignment vertical="bottom"/>
    </xf>
    <xf borderId="0" fillId="0" fontId="2" numFmtId="0" xfId="0" applyAlignment="1" applyFont="1">
      <alignment horizontal="center"/>
    </xf>
    <xf borderId="17" fillId="0" fontId="1" numFmtId="0" xfId="0" applyAlignment="1" applyBorder="1" applyFont="1">
      <alignment readingOrder="0" vertical="top"/>
    </xf>
    <xf borderId="9" fillId="17" fontId="1" numFmtId="0" xfId="0" applyAlignment="1" applyBorder="1" applyFont="1">
      <alignment vertical="bottom"/>
    </xf>
    <xf borderId="0" fillId="0" fontId="1" numFmtId="0" xfId="0" applyAlignment="1" applyFont="1">
      <alignment readingOrder="0" vertical="bottom"/>
    </xf>
    <xf borderId="16" fillId="0" fontId="1" numFmtId="0" xfId="0" applyAlignment="1" applyBorder="1" applyFont="1">
      <alignment vertical="bottom"/>
    </xf>
    <xf borderId="17" fillId="0" fontId="24" numFmtId="0" xfId="0" applyAlignment="1" applyBorder="1" applyFont="1">
      <alignment readingOrder="0"/>
    </xf>
    <xf borderId="0" fillId="0" fontId="21" numFmtId="0" xfId="0" applyFont="1"/>
    <xf borderId="17" fillId="0" fontId="1" numFmtId="0" xfId="0" applyAlignment="1" applyBorder="1" applyFont="1">
      <alignment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f>S.2!C7+S.3!C7+S.4!C7+S.5!C7+S.6!C7+S.7!C7+S.8!C7+S.9!C7+S.10!C7+S.11!C7</f>
        <v>0</v>
      </c>
      <c r="C11" s="15">
        <f>S.2!C6+S.3!C6+S.4!C6+S.5!C6+S.6!C6+S.7!C6+S.8!C6+S.9!C6+S.10!C6+S.11!C6</f>
        <v>1090</v>
      </c>
      <c r="D11" s="16"/>
      <c r="E11" s="10"/>
      <c r="F11" s="11"/>
      <c r="G11" s="17">
        <v>10.0</v>
      </c>
    </row>
    <row r="12" ht="15.75" customHeight="1">
      <c r="A12" s="18" t="s">
        <v>14</v>
      </c>
      <c r="B12" s="14">
        <f>Proyectos!C6</f>
        <v>40</v>
      </c>
      <c r="C12" s="15">
        <f>Proyectos!C5</f>
        <v>40</v>
      </c>
      <c r="D12" s="16"/>
      <c r="E12" s="10"/>
      <c r="F12" s="11"/>
      <c r="G12" s="17">
        <v>60.0</v>
      </c>
    </row>
    <row r="13" ht="15.75" customHeight="1">
      <c r="A13" s="18" t="s">
        <v>15</v>
      </c>
      <c r="B13" s="14">
        <f>Practicas!C6</f>
        <v>20</v>
      </c>
      <c r="C13" s="15">
        <f>Practicas!C5</f>
        <v>12</v>
      </c>
      <c r="D13" s="16"/>
      <c r="E13" s="10"/>
      <c r="F13" s="11"/>
      <c r="G13" s="17">
        <v>20.0</v>
      </c>
    </row>
    <row r="14" ht="15.75" customHeight="1">
      <c r="A14" s="19" t="s">
        <v>16</v>
      </c>
      <c r="B14" s="20">
        <f>Tareas!C6</f>
        <v>15</v>
      </c>
      <c r="C14" s="15">
        <f>Tareas!C5</f>
        <v>18</v>
      </c>
      <c r="D14" s="21"/>
      <c r="E14" s="22"/>
      <c r="F14" s="23"/>
      <c r="G14" s="17">
        <v>10.0</v>
      </c>
    </row>
    <row r="15" ht="15.75" customHeight="1">
      <c r="A15" s="24" t="s">
        <v>17</v>
      </c>
      <c r="B15" s="25">
        <f t="shared" ref="B15:C15" si="1">SUM(B11:B14)</f>
        <v>75</v>
      </c>
      <c r="C15" s="25">
        <f t="shared" si="1"/>
        <v>1160</v>
      </c>
      <c r="D15" s="26" t="s">
        <v>18</v>
      </c>
      <c r="E15" s="27"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Total ≠ 100 (actual 75) | Exceden: Tareas (15&gt;10)")</f>
        <v>❌ Revisar: Total ≠ 100 (actual 75) | Exceden: Tareas (15&gt;10)</v>
      </c>
      <c r="F15" s="28"/>
      <c r="G15" s="29"/>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 customWidth="1" min="7" max="7" width="22.88"/>
  </cols>
  <sheetData>
    <row r="1">
      <c r="A1" s="30"/>
      <c r="B1" s="31" t="s">
        <v>19</v>
      </c>
      <c r="Q1" s="30"/>
      <c r="R1" s="30"/>
      <c r="S1" s="30"/>
      <c r="T1" s="30"/>
      <c r="U1" s="30"/>
      <c r="V1" s="30"/>
      <c r="W1" s="30"/>
      <c r="X1" s="30"/>
      <c r="Y1" s="30"/>
      <c r="Z1" s="30"/>
    </row>
    <row r="2">
      <c r="A2" s="30"/>
      <c r="B2" s="3" t="s">
        <v>1</v>
      </c>
      <c r="C2" s="4" t="s">
        <v>2</v>
      </c>
      <c r="I2" s="30"/>
      <c r="J2" s="30"/>
      <c r="K2" s="30"/>
      <c r="L2" s="30"/>
      <c r="M2" s="30"/>
      <c r="N2" s="30"/>
      <c r="O2" s="30"/>
      <c r="P2" s="30"/>
      <c r="Q2" s="30"/>
      <c r="R2" s="30"/>
      <c r="S2" s="30"/>
      <c r="T2" s="30"/>
      <c r="U2" s="30"/>
      <c r="V2" s="30"/>
      <c r="W2" s="30"/>
      <c r="X2" s="30"/>
      <c r="Y2" s="30"/>
      <c r="Z2" s="30"/>
    </row>
    <row r="3">
      <c r="A3" s="30"/>
      <c r="B3" s="3" t="s">
        <v>3</v>
      </c>
      <c r="C3" s="6" t="s">
        <v>4</v>
      </c>
      <c r="I3" s="30"/>
      <c r="J3" s="30"/>
      <c r="K3" s="30"/>
      <c r="L3" s="30"/>
      <c r="M3" s="30"/>
      <c r="N3" s="30"/>
      <c r="O3" s="30"/>
      <c r="P3" s="30"/>
      <c r="Q3" s="30"/>
      <c r="R3" s="30"/>
      <c r="S3" s="30"/>
      <c r="T3" s="30"/>
      <c r="U3" s="30"/>
      <c r="V3" s="30"/>
      <c r="W3" s="30"/>
      <c r="X3" s="30"/>
      <c r="Y3" s="30"/>
      <c r="Z3" s="30"/>
    </row>
    <row r="4">
      <c r="A4" s="30"/>
      <c r="B4" s="30"/>
      <c r="C4" s="30"/>
      <c r="D4" s="30"/>
      <c r="E4" s="30"/>
      <c r="F4" s="30"/>
      <c r="G4" s="30"/>
      <c r="H4" s="30"/>
      <c r="I4" s="30"/>
      <c r="J4" s="30"/>
      <c r="K4" s="30"/>
      <c r="L4" s="30"/>
      <c r="M4" s="30"/>
      <c r="N4" s="30"/>
      <c r="O4" s="30"/>
      <c r="P4" s="30"/>
      <c r="Q4" s="30"/>
      <c r="R4" s="30"/>
      <c r="S4" s="30"/>
      <c r="T4" s="30"/>
      <c r="U4" s="30"/>
      <c r="V4" s="30"/>
      <c r="W4" s="30"/>
      <c r="X4" s="30"/>
      <c r="Y4" s="30"/>
      <c r="Z4" s="30"/>
    </row>
    <row r="5">
      <c r="A5" s="30"/>
      <c r="B5" s="32" t="s">
        <v>20</v>
      </c>
      <c r="C5" s="33"/>
      <c r="D5" s="33"/>
      <c r="E5" s="33"/>
      <c r="F5" s="33"/>
      <c r="G5" s="34"/>
      <c r="H5" s="30"/>
      <c r="I5" s="32" t="s">
        <v>21</v>
      </c>
      <c r="J5" s="33"/>
      <c r="K5" s="33"/>
      <c r="L5" s="33"/>
      <c r="M5" s="33"/>
      <c r="N5" s="33"/>
      <c r="O5" s="33"/>
      <c r="P5" s="34"/>
      <c r="Q5" s="30"/>
      <c r="R5" s="30"/>
      <c r="S5" s="30"/>
      <c r="T5" s="30"/>
      <c r="U5" s="30"/>
      <c r="V5" s="30"/>
      <c r="W5" s="30"/>
      <c r="X5" s="30"/>
      <c r="Y5" s="30"/>
      <c r="Z5" s="30"/>
    </row>
    <row r="6">
      <c r="A6" s="30"/>
      <c r="B6" s="35">
        <v>1.0</v>
      </c>
      <c r="C6" s="36" t="s">
        <v>22</v>
      </c>
      <c r="D6" s="33"/>
      <c r="E6" s="33"/>
      <c r="F6" s="33"/>
      <c r="G6" s="34"/>
      <c r="H6" s="37"/>
      <c r="I6" s="35">
        <v>1.0</v>
      </c>
      <c r="J6" s="36" t="s">
        <v>23</v>
      </c>
      <c r="K6" s="33"/>
      <c r="L6" s="33"/>
      <c r="M6" s="33"/>
      <c r="N6" s="33"/>
      <c r="O6" s="33"/>
      <c r="P6" s="34"/>
      <c r="Q6" s="30"/>
      <c r="R6" s="30"/>
      <c r="S6" s="30"/>
      <c r="T6" s="30"/>
      <c r="U6" s="30"/>
      <c r="V6" s="30"/>
      <c r="W6" s="30"/>
      <c r="X6" s="30"/>
      <c r="Y6" s="30"/>
      <c r="Z6" s="30"/>
    </row>
    <row r="7">
      <c r="A7" s="30"/>
      <c r="B7" s="38">
        <v>2.0</v>
      </c>
      <c r="C7" s="36" t="s">
        <v>24</v>
      </c>
      <c r="D7" s="33"/>
      <c r="E7" s="33"/>
      <c r="F7" s="33"/>
      <c r="G7" s="34"/>
      <c r="H7" s="30"/>
      <c r="I7" s="39">
        <v>2.0</v>
      </c>
      <c r="J7" s="36" t="s">
        <v>25</v>
      </c>
      <c r="K7" s="33"/>
      <c r="L7" s="33"/>
      <c r="M7" s="33"/>
      <c r="N7" s="33"/>
      <c r="O7" s="33"/>
      <c r="P7" s="34"/>
      <c r="Q7" s="30"/>
      <c r="R7" s="30"/>
      <c r="S7" s="30"/>
      <c r="T7" s="30"/>
      <c r="U7" s="30"/>
      <c r="V7" s="30"/>
      <c r="W7" s="30"/>
      <c r="X7" s="30"/>
      <c r="Y7" s="30"/>
      <c r="Z7" s="30"/>
    </row>
    <row r="8">
      <c r="A8" s="30"/>
      <c r="B8" s="38">
        <v>3.0</v>
      </c>
      <c r="C8" s="36" t="s">
        <v>26</v>
      </c>
      <c r="D8" s="33"/>
      <c r="E8" s="33"/>
      <c r="F8" s="33"/>
      <c r="G8" s="34"/>
      <c r="H8" s="30"/>
      <c r="I8" s="39">
        <v>3.0</v>
      </c>
      <c r="J8" s="36" t="s">
        <v>27</v>
      </c>
      <c r="K8" s="33"/>
      <c r="L8" s="33"/>
      <c r="M8" s="33"/>
      <c r="N8" s="33"/>
      <c r="O8" s="33"/>
      <c r="P8" s="34"/>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40" t="s">
        <v>28</v>
      </c>
      <c r="C11" s="40" t="s">
        <v>29</v>
      </c>
      <c r="D11" s="40" t="s">
        <v>30</v>
      </c>
      <c r="E11" s="41" t="s">
        <v>31</v>
      </c>
      <c r="F11" s="34"/>
      <c r="G11" s="42" t="s">
        <v>32</v>
      </c>
      <c r="H11" s="43" t="s">
        <v>33</v>
      </c>
      <c r="I11" s="34"/>
      <c r="J11" s="40" t="s">
        <v>34</v>
      </c>
      <c r="K11" s="30"/>
      <c r="L11" s="30"/>
      <c r="M11" s="30"/>
      <c r="N11" s="30"/>
      <c r="O11" s="30"/>
      <c r="P11" s="30"/>
      <c r="Q11" s="30"/>
      <c r="R11" s="30"/>
      <c r="S11" s="30"/>
      <c r="T11" s="30"/>
      <c r="U11" s="30"/>
      <c r="V11" s="30"/>
      <c r="W11" s="30"/>
      <c r="X11" s="30"/>
      <c r="Y11" s="30"/>
      <c r="Z11" s="30"/>
    </row>
    <row r="12">
      <c r="A12" s="30"/>
      <c r="B12" s="44">
        <v>1.0</v>
      </c>
      <c r="C12" s="45" t="s">
        <v>35</v>
      </c>
      <c r="D12" s="46" t="s">
        <v>36</v>
      </c>
      <c r="E12" s="47" t="s">
        <v>37</v>
      </c>
      <c r="F12" s="34"/>
      <c r="G12" s="48" t="s">
        <v>38</v>
      </c>
      <c r="H12" s="49" t="s">
        <v>39</v>
      </c>
      <c r="I12" s="34"/>
      <c r="J12" s="50" t="s">
        <v>40</v>
      </c>
      <c r="K12" s="30"/>
      <c r="L12" s="30"/>
      <c r="M12" s="30"/>
      <c r="N12" s="30"/>
      <c r="O12" s="30"/>
      <c r="P12" s="30"/>
      <c r="Q12" s="30"/>
      <c r="R12" s="30"/>
      <c r="S12" s="30"/>
      <c r="T12" s="30"/>
      <c r="U12" s="30"/>
      <c r="V12" s="30"/>
      <c r="W12" s="30"/>
      <c r="X12" s="30"/>
      <c r="Y12" s="30"/>
      <c r="Z12" s="30"/>
    </row>
    <row r="13">
      <c r="A13" s="30"/>
      <c r="B13" s="51"/>
      <c r="C13" s="52" t="str">
        <f>D12 &amp; " " &amp; E12 &amp; " " &amp;G12&amp; " " &amp;H12&amp; " " </f>
        <v>Aplica conceptos fundamentales de programación mediante ejercicios prácticos y análisis de código, en entornos virtuales de laboratorio para la toma de decisiones basada en información cuantitativa </v>
      </c>
      <c r="D13" s="33"/>
      <c r="E13" s="33"/>
      <c r="F13" s="33"/>
      <c r="G13" s="33"/>
      <c r="H13" s="33"/>
      <c r="I13" s="33"/>
      <c r="J13" s="34"/>
      <c r="K13" s="30"/>
      <c r="L13" s="30"/>
      <c r="M13" s="30"/>
      <c r="N13" s="30"/>
      <c r="O13" s="30"/>
      <c r="P13" s="30"/>
      <c r="Q13" s="30"/>
      <c r="R13" s="30"/>
      <c r="S13" s="30"/>
      <c r="T13" s="30"/>
      <c r="U13" s="30"/>
      <c r="V13" s="30"/>
      <c r="W13" s="30"/>
      <c r="X13" s="30"/>
      <c r="Y13" s="30"/>
      <c r="Z13" s="30"/>
    </row>
    <row r="14">
      <c r="A14" s="30"/>
      <c r="B14" s="44">
        <v>2.0</v>
      </c>
      <c r="C14" s="45" t="s">
        <v>41</v>
      </c>
      <c r="D14" s="46" t="s">
        <v>42</v>
      </c>
      <c r="E14" s="47" t="s">
        <v>43</v>
      </c>
      <c r="F14" s="34"/>
      <c r="G14" s="48" t="s">
        <v>44</v>
      </c>
      <c r="H14" s="49" t="s">
        <v>45</v>
      </c>
      <c r="I14" s="34"/>
      <c r="J14" s="53" t="s">
        <v>46</v>
      </c>
      <c r="K14" s="30"/>
      <c r="L14" s="30"/>
      <c r="M14" s="30"/>
      <c r="N14" s="30"/>
      <c r="O14" s="30"/>
      <c r="P14" s="30"/>
      <c r="Q14" s="30"/>
      <c r="R14" s="30"/>
      <c r="S14" s="30"/>
      <c r="T14" s="30"/>
      <c r="U14" s="30"/>
      <c r="V14" s="30"/>
      <c r="W14" s="30"/>
      <c r="X14" s="30"/>
      <c r="Y14" s="30"/>
      <c r="Z14" s="30"/>
    </row>
    <row r="15">
      <c r="A15" s="30"/>
      <c r="B15" s="51"/>
      <c r="C15" s="52" t="str">
        <f>D14 &amp; " " &amp; E14 &amp; " " &amp;G14&amp; " " &amp;H14&amp; " " </f>
        <v>Integra herramientas de ofimática  como Word, Excel, PowerPoint y Access en la resolución de tareas y proyectos con base en situaciones académicas y laborales comunes </v>
      </c>
      <c r="D15" s="33"/>
      <c r="E15" s="33"/>
      <c r="F15" s="33"/>
      <c r="G15" s="33"/>
      <c r="H15" s="33"/>
      <c r="I15" s="33"/>
      <c r="J15" s="34"/>
      <c r="K15" s="30"/>
      <c r="L15" s="30"/>
      <c r="M15" s="30"/>
      <c r="N15" s="30"/>
      <c r="O15" s="30"/>
      <c r="P15" s="30"/>
      <c r="Q15" s="30"/>
      <c r="R15" s="30"/>
      <c r="S15" s="30"/>
      <c r="T15" s="30"/>
      <c r="U15" s="30"/>
      <c r="V15" s="30"/>
      <c r="W15" s="30"/>
      <c r="X15" s="30"/>
      <c r="Y15" s="30"/>
      <c r="Z15" s="30"/>
    </row>
    <row r="16">
      <c r="A16" s="30"/>
      <c r="B16" s="44">
        <v>3.0</v>
      </c>
      <c r="C16" s="45" t="s">
        <v>41</v>
      </c>
      <c r="D16" s="46" t="s">
        <v>47</v>
      </c>
      <c r="E16" s="47" t="s">
        <v>48</v>
      </c>
      <c r="F16" s="34"/>
      <c r="G16" s="48" t="s">
        <v>49</v>
      </c>
      <c r="H16" s="49" t="s">
        <v>50</v>
      </c>
      <c r="I16" s="34"/>
      <c r="J16" s="53" t="s">
        <v>51</v>
      </c>
      <c r="K16" s="30"/>
      <c r="L16" s="30"/>
      <c r="M16" s="30"/>
      <c r="N16" s="30"/>
      <c r="O16" s="30"/>
      <c r="P16" s="30"/>
      <c r="Q16" s="30"/>
      <c r="R16" s="30"/>
      <c r="S16" s="30"/>
      <c r="T16" s="30"/>
      <c r="U16" s="30"/>
      <c r="V16" s="30"/>
      <c r="W16" s="30"/>
      <c r="X16" s="30"/>
      <c r="Y16" s="30"/>
      <c r="Z16" s="30"/>
    </row>
    <row r="17">
      <c r="A17" s="30"/>
      <c r="B17" s="51"/>
      <c r="C17" s="52" t="str">
        <f>D16 &amp; " " &amp; E16 &amp; " " &amp;G16&amp; " " &amp;H16&amp; " " </f>
        <v>Evalúa resultados obtenidos en procesos de programación y ofimática utilizando pruebas de funcionamiento, revisión crítica de errores y optimización de recursos bajo criterios de funcionalidad y eficiencia </v>
      </c>
      <c r="D17" s="33"/>
      <c r="E17" s="33"/>
      <c r="F17" s="33"/>
      <c r="G17" s="33"/>
      <c r="H17" s="33"/>
      <c r="I17" s="33"/>
      <c r="J17" s="34"/>
      <c r="K17" s="30"/>
      <c r="L17" s="30"/>
      <c r="M17" s="30"/>
      <c r="N17" s="30"/>
      <c r="O17" s="30"/>
      <c r="P17" s="30"/>
      <c r="Q17" s="30"/>
      <c r="R17" s="30"/>
      <c r="S17" s="30"/>
      <c r="T17" s="30"/>
      <c r="U17" s="30"/>
      <c r="V17" s="30"/>
      <c r="W17" s="30"/>
      <c r="X17" s="30"/>
      <c r="Y17" s="30"/>
      <c r="Z17" s="30"/>
    </row>
    <row r="18">
      <c r="A18" s="30"/>
      <c r="B18" s="44">
        <v>4.0</v>
      </c>
      <c r="C18" s="45" t="s">
        <v>41</v>
      </c>
      <c r="D18" s="46" t="s">
        <v>52</v>
      </c>
      <c r="E18" s="54" t="s">
        <v>53</v>
      </c>
      <c r="F18" s="34"/>
      <c r="G18" s="48" t="s">
        <v>54</v>
      </c>
      <c r="H18" s="49" t="s">
        <v>55</v>
      </c>
      <c r="I18" s="34"/>
      <c r="J18" s="53" t="s">
        <v>40</v>
      </c>
      <c r="K18" s="30"/>
      <c r="L18" s="30"/>
      <c r="M18" s="30"/>
      <c r="N18" s="30"/>
      <c r="O18" s="30"/>
      <c r="P18" s="30"/>
      <c r="Q18" s="30"/>
      <c r="R18" s="30"/>
      <c r="S18" s="30"/>
      <c r="T18" s="30"/>
      <c r="U18" s="30"/>
      <c r="V18" s="30"/>
      <c r="W18" s="30"/>
      <c r="X18" s="30"/>
      <c r="Y18" s="30"/>
      <c r="Z18" s="30"/>
    </row>
    <row r="19">
      <c r="A19" s="30"/>
      <c r="B19" s="51"/>
      <c r="C19" s="52" t="str">
        <f>D18 &amp; " " &amp; E18 &amp; " " &amp;G18&amp; " " &amp;H18&amp; " " </f>
        <v>Crea soluciones digitales utilizando entornos de programación visual y aplicaciones de ofimática con estrategias de automatización básica y diseño de bases de datos para resolver problemas reales de forma efectiva </v>
      </c>
      <c r="D19" s="33"/>
      <c r="E19" s="33"/>
      <c r="F19" s="33"/>
      <c r="G19" s="33"/>
      <c r="H19" s="33"/>
      <c r="I19" s="33"/>
      <c r="J19" s="34"/>
      <c r="K19" s="30"/>
      <c r="L19" s="30"/>
      <c r="M19" s="30"/>
      <c r="N19" s="30"/>
      <c r="O19" s="30"/>
      <c r="P19" s="30"/>
      <c r="Q19" s="30"/>
      <c r="R19" s="30"/>
      <c r="S19" s="30"/>
      <c r="T19" s="30"/>
      <c r="U19" s="30"/>
      <c r="V19" s="30"/>
      <c r="W19" s="30"/>
      <c r="X19" s="30"/>
      <c r="Y19" s="30"/>
      <c r="Z19" s="30"/>
    </row>
    <row r="20">
      <c r="A20" s="30"/>
      <c r="B20" s="44">
        <v>5.0</v>
      </c>
      <c r="C20" s="45" t="s">
        <v>35</v>
      </c>
      <c r="D20" s="46" t="s">
        <v>56</v>
      </c>
      <c r="E20" s="47" t="s">
        <v>57</v>
      </c>
      <c r="F20" s="34"/>
      <c r="G20" s="48" t="s">
        <v>58</v>
      </c>
      <c r="H20" s="49" t="s">
        <v>59</v>
      </c>
      <c r="I20" s="34"/>
      <c r="J20" s="53" t="s">
        <v>40</v>
      </c>
      <c r="K20" s="30"/>
      <c r="L20" s="30"/>
      <c r="M20" s="30"/>
      <c r="N20" s="30"/>
      <c r="O20" s="30"/>
      <c r="P20" s="30"/>
      <c r="Q20" s="30"/>
      <c r="R20" s="30"/>
      <c r="S20" s="30"/>
      <c r="T20" s="30"/>
      <c r="U20" s="30"/>
      <c r="V20" s="30"/>
      <c r="W20" s="30"/>
      <c r="X20" s="30"/>
      <c r="Y20" s="30"/>
      <c r="Z20" s="30"/>
    </row>
    <row r="21">
      <c r="A21" s="30"/>
      <c r="B21" s="51"/>
      <c r="C21" s="52" t="str">
        <f>D20 &amp; " " &amp; E20 &amp; " " &amp;G20&amp; " " &amp;H20&amp; " " </f>
        <v>Diseña macros automatizadas en hojas de cálculo utilizando Visual Basic para Aplicaciones (VBA) mediante la implementación de funciones y ciclos condicionales con conexión a bases de datos para optimizar tareas repetitivas </v>
      </c>
      <c r="D21" s="33"/>
      <c r="E21" s="33"/>
      <c r="F21" s="33"/>
      <c r="G21" s="33"/>
      <c r="H21" s="33"/>
      <c r="I21" s="33"/>
      <c r="J21" s="34"/>
      <c r="K21" s="30"/>
      <c r="L21" s="30"/>
      <c r="M21" s="30"/>
      <c r="N21" s="30"/>
      <c r="O21" s="30"/>
      <c r="P21" s="30"/>
      <c r="Q21" s="30"/>
      <c r="R21" s="30"/>
      <c r="S21" s="30"/>
      <c r="T21" s="30"/>
      <c r="U21" s="30"/>
      <c r="V21" s="30"/>
      <c r="W21" s="30"/>
      <c r="X21" s="30"/>
      <c r="Y21" s="30"/>
      <c r="Z21" s="30"/>
    </row>
    <row r="22">
      <c r="A22" s="30"/>
      <c r="B22" s="44">
        <v>6.0</v>
      </c>
      <c r="C22" s="45" t="s">
        <v>35</v>
      </c>
      <c r="D22" s="46" t="s">
        <v>60</v>
      </c>
      <c r="E22" s="47" t="s">
        <v>61</v>
      </c>
      <c r="F22" s="34"/>
      <c r="G22" s="48" t="s">
        <v>62</v>
      </c>
      <c r="H22" s="55" t="s">
        <v>63</v>
      </c>
      <c r="I22" s="34"/>
      <c r="J22" s="53" t="s">
        <v>64</v>
      </c>
      <c r="K22" s="30"/>
      <c r="L22" s="30"/>
      <c r="M22" s="30"/>
      <c r="N22" s="30"/>
      <c r="O22" s="30"/>
      <c r="P22" s="30"/>
      <c r="Q22" s="30"/>
      <c r="R22" s="30"/>
      <c r="S22" s="30"/>
      <c r="T22" s="30"/>
      <c r="U22" s="30"/>
      <c r="V22" s="30"/>
      <c r="W22" s="30"/>
      <c r="X22" s="30"/>
      <c r="Y22" s="30"/>
      <c r="Z22" s="30"/>
    </row>
    <row r="23">
      <c r="A23" s="30"/>
      <c r="B23" s="51"/>
      <c r="C23" s="52" t="str">
        <f>D22 &amp; " " &amp; E22 &amp; " " &amp;G22&amp; " " &amp;H22&amp; " " </f>
        <v>Formula consultas en bases de datos relacionales empleando herramientas de Access y modelos entidad-relación bajo criterios de integridad y relaciones correctas para organizar y extraer información relevante </v>
      </c>
      <c r="D23" s="33"/>
      <c r="E23" s="33"/>
      <c r="F23" s="33"/>
      <c r="G23" s="33"/>
      <c r="H23" s="33"/>
      <c r="I23" s="33"/>
      <c r="J23" s="34"/>
      <c r="K23" s="30"/>
      <c r="L23" s="30"/>
      <c r="M23" s="30"/>
      <c r="N23" s="30"/>
      <c r="O23" s="30"/>
      <c r="P23" s="30"/>
      <c r="Q23" s="30"/>
      <c r="R23" s="30"/>
      <c r="S23" s="30"/>
      <c r="T23" s="30"/>
      <c r="U23" s="30"/>
      <c r="V23" s="30"/>
      <c r="W23" s="30"/>
      <c r="X23" s="30"/>
      <c r="Y23" s="30"/>
      <c r="Z23" s="30"/>
    </row>
    <row r="24">
      <c r="A24" s="30"/>
      <c r="B24" s="44">
        <v>7.0</v>
      </c>
      <c r="C24" s="45" t="s">
        <v>35</v>
      </c>
      <c r="D24" s="46" t="s">
        <v>65</v>
      </c>
      <c r="E24" s="47" t="s">
        <v>66</v>
      </c>
      <c r="F24" s="34"/>
      <c r="G24" s="48" t="s">
        <v>67</v>
      </c>
      <c r="H24" s="55" t="s">
        <v>68</v>
      </c>
      <c r="I24" s="34"/>
      <c r="J24" s="53" t="s">
        <v>46</v>
      </c>
      <c r="K24" s="30"/>
      <c r="L24" s="30"/>
      <c r="M24" s="30"/>
      <c r="N24" s="30"/>
      <c r="O24" s="30"/>
      <c r="P24" s="30"/>
      <c r="Q24" s="30"/>
      <c r="R24" s="30"/>
      <c r="S24" s="30"/>
      <c r="T24" s="30"/>
      <c r="U24" s="30"/>
      <c r="V24" s="30"/>
      <c r="W24" s="30"/>
      <c r="X24" s="30"/>
      <c r="Y24" s="30"/>
      <c r="Z24" s="30"/>
    </row>
    <row r="25">
      <c r="A25" s="30"/>
      <c r="B25" s="51"/>
      <c r="C25" s="52" t="str">
        <f>D24 &amp; " " &amp; E24 &amp; " " &amp;G24&amp; " " &amp;H24&amp; " " </f>
        <v>Analiza funcionamiento y utilidad de máquinas virtuales elaborando entregables que integren conceptos sobre virtualización y gestión de información para las necesitdades concretas </v>
      </c>
      <c r="D25" s="33"/>
      <c r="E25" s="33"/>
      <c r="F25" s="33"/>
      <c r="G25" s="33"/>
      <c r="H25" s="33"/>
      <c r="I25" s="33"/>
      <c r="J25" s="34"/>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56" t="s">
        <v>69</v>
      </c>
      <c r="C28" s="33"/>
      <c r="D28" s="33"/>
      <c r="E28" s="33"/>
      <c r="F28" s="33"/>
      <c r="G28" s="33"/>
      <c r="H28" s="33"/>
      <c r="I28" s="33"/>
      <c r="J28" s="34"/>
      <c r="K28" s="30"/>
      <c r="L28" s="30"/>
      <c r="M28" s="30"/>
      <c r="N28" s="30"/>
      <c r="O28" s="30"/>
      <c r="P28" s="30"/>
      <c r="Q28" s="30"/>
      <c r="R28" s="30"/>
      <c r="S28" s="30"/>
      <c r="T28" s="30"/>
      <c r="U28" s="30"/>
      <c r="V28" s="30"/>
      <c r="W28" s="30"/>
      <c r="X28" s="30"/>
      <c r="Y28" s="30"/>
      <c r="Z28" s="30"/>
    </row>
    <row r="29">
      <c r="A29" s="30"/>
      <c r="B29" s="57" t="s">
        <v>70</v>
      </c>
      <c r="C29" s="58"/>
      <c r="D29" s="58"/>
      <c r="E29" s="58"/>
      <c r="F29" s="58"/>
      <c r="G29" s="58"/>
      <c r="H29" s="58"/>
      <c r="I29" s="58"/>
      <c r="J29" s="59"/>
      <c r="K29" s="30"/>
      <c r="L29" s="30"/>
      <c r="M29" s="30"/>
      <c r="N29" s="30"/>
      <c r="O29" s="30"/>
      <c r="P29" s="30"/>
      <c r="Q29" s="30"/>
      <c r="R29" s="30"/>
      <c r="S29" s="30"/>
      <c r="T29" s="30"/>
      <c r="U29" s="30"/>
      <c r="V29" s="30"/>
      <c r="W29" s="30"/>
      <c r="X29" s="30"/>
      <c r="Y29" s="30"/>
      <c r="Z29" s="30"/>
    </row>
    <row r="30">
      <c r="A30" s="30"/>
      <c r="B30" s="60"/>
      <c r="C30" s="61"/>
      <c r="D30" s="61"/>
      <c r="E30" s="61"/>
      <c r="F30" s="61"/>
      <c r="G30" s="61"/>
      <c r="H30" s="61"/>
      <c r="I30" s="61"/>
      <c r="J30" s="62"/>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s>
  <sheetData>
    <row r="1" ht="15.75" customHeight="1"/>
    <row r="2" ht="15.75" customHeight="1">
      <c r="A2" s="63"/>
      <c r="B2" s="64" t="s">
        <v>71</v>
      </c>
    </row>
    <row r="3" ht="15.75" customHeight="1"/>
    <row r="4" ht="15.75" customHeight="1">
      <c r="B4" s="3" t="s">
        <v>1</v>
      </c>
      <c r="C4" s="4" t="s">
        <v>2</v>
      </c>
    </row>
    <row r="5" ht="15.75" customHeight="1">
      <c r="B5" s="3" t="s">
        <v>72</v>
      </c>
      <c r="C5" s="6" t="s">
        <v>4</v>
      </c>
    </row>
    <row r="6" ht="15.75" customHeight="1">
      <c r="H6" s="65"/>
    </row>
    <row r="7" ht="15.75" customHeight="1">
      <c r="H7" s="65"/>
    </row>
    <row r="8" ht="15.75" customHeight="1">
      <c r="A8" s="66"/>
      <c r="B8" s="67" t="s">
        <v>73</v>
      </c>
      <c r="C8" s="45" t="s">
        <v>74</v>
      </c>
      <c r="D8" s="67" t="s">
        <v>75</v>
      </c>
      <c r="E8" s="67" t="s">
        <v>76</v>
      </c>
      <c r="F8" s="67" t="s">
        <v>77</v>
      </c>
      <c r="G8" s="67" t="s">
        <v>78</v>
      </c>
      <c r="H8" s="67" t="s">
        <v>79</v>
      </c>
    </row>
    <row r="9" ht="15.75" customHeight="1">
      <c r="B9" s="6">
        <v>1.0</v>
      </c>
      <c r="C9" s="68" t="s">
        <v>80</v>
      </c>
      <c r="D9" s="69">
        <v>2.0</v>
      </c>
      <c r="E9" s="30" t="s">
        <v>81</v>
      </c>
      <c r="F9" s="30" t="s">
        <v>82</v>
      </c>
      <c r="G9" s="70" t="s">
        <v>83</v>
      </c>
      <c r="H9" s="69">
        <v>2.0</v>
      </c>
    </row>
    <row r="10" ht="15.75" customHeight="1">
      <c r="B10" s="6">
        <v>2.0</v>
      </c>
      <c r="C10" s="68" t="s">
        <v>80</v>
      </c>
      <c r="D10" s="71">
        <v>2.0</v>
      </c>
      <c r="E10" s="72" t="s">
        <v>81</v>
      </c>
      <c r="F10" s="72" t="s">
        <v>84</v>
      </c>
      <c r="G10" s="70" t="s">
        <v>83</v>
      </c>
      <c r="H10" s="69">
        <v>2.0</v>
      </c>
    </row>
    <row r="11" ht="15.75" customHeight="1">
      <c r="B11" s="6">
        <v>3.0</v>
      </c>
      <c r="C11" s="68" t="s">
        <v>80</v>
      </c>
      <c r="D11" s="71">
        <v>2.0</v>
      </c>
      <c r="E11" s="72" t="s">
        <v>81</v>
      </c>
      <c r="F11" s="72" t="s">
        <v>85</v>
      </c>
      <c r="G11" s="70" t="s">
        <v>86</v>
      </c>
      <c r="H11" s="69">
        <v>2.0</v>
      </c>
    </row>
    <row r="12" ht="15.75" customHeight="1">
      <c r="B12" s="6">
        <v>4.0</v>
      </c>
      <c r="C12" s="68" t="s">
        <v>80</v>
      </c>
      <c r="D12" s="71">
        <v>2.0</v>
      </c>
      <c r="E12" s="72" t="s">
        <v>81</v>
      </c>
      <c r="F12" s="72" t="s">
        <v>87</v>
      </c>
      <c r="G12" s="70" t="s">
        <v>86</v>
      </c>
      <c r="H12" s="69">
        <v>2.0</v>
      </c>
    </row>
    <row r="13" ht="15.75" customHeight="1">
      <c r="B13" s="6">
        <v>5.0</v>
      </c>
      <c r="C13" s="68" t="s">
        <v>88</v>
      </c>
      <c r="D13" s="71">
        <v>2.0</v>
      </c>
      <c r="E13" s="72" t="s">
        <v>81</v>
      </c>
      <c r="F13" s="72" t="s">
        <v>89</v>
      </c>
      <c r="G13" s="70" t="s">
        <v>86</v>
      </c>
      <c r="H13" s="69">
        <v>2.0</v>
      </c>
    </row>
    <row r="14" ht="15.75" customHeight="1">
      <c r="B14" s="6">
        <v>6.0</v>
      </c>
      <c r="C14" s="68" t="s">
        <v>80</v>
      </c>
      <c r="D14" s="71">
        <v>2.0</v>
      </c>
      <c r="E14" s="72" t="s">
        <v>81</v>
      </c>
      <c r="F14" s="72" t="s">
        <v>90</v>
      </c>
      <c r="G14" s="70" t="s">
        <v>86</v>
      </c>
      <c r="H14" s="69">
        <v>2.0</v>
      </c>
    </row>
    <row r="15" ht="15.75" customHeight="1">
      <c r="B15" s="6">
        <v>7.0</v>
      </c>
      <c r="C15" s="68" t="s">
        <v>91</v>
      </c>
      <c r="D15" s="71">
        <v>2.0</v>
      </c>
      <c r="E15" s="72" t="s">
        <v>81</v>
      </c>
      <c r="F15" s="72" t="s">
        <v>92</v>
      </c>
      <c r="G15" s="70" t="s">
        <v>86</v>
      </c>
      <c r="H15" s="69">
        <v>2.0</v>
      </c>
    </row>
    <row r="16" ht="15.75" customHeight="1">
      <c r="B16" s="6">
        <v>8.0</v>
      </c>
      <c r="C16" s="68" t="s">
        <v>93</v>
      </c>
      <c r="D16" s="71">
        <v>3.0</v>
      </c>
      <c r="E16" s="72" t="s">
        <v>94</v>
      </c>
      <c r="F16" s="72" t="s">
        <v>95</v>
      </c>
      <c r="G16" s="70" t="s">
        <v>86</v>
      </c>
      <c r="H16" s="69">
        <v>3.0</v>
      </c>
    </row>
    <row r="17" ht="15.75" customHeight="1">
      <c r="B17" s="6">
        <v>9.0</v>
      </c>
      <c r="C17" s="68" t="s">
        <v>93</v>
      </c>
      <c r="D17" s="71">
        <v>3.0</v>
      </c>
      <c r="E17" s="72" t="s">
        <v>94</v>
      </c>
      <c r="F17" s="72" t="s">
        <v>96</v>
      </c>
      <c r="G17" s="70" t="s">
        <v>86</v>
      </c>
      <c r="H17" s="69">
        <v>3.0</v>
      </c>
    </row>
    <row r="18" ht="15.75" customHeight="1">
      <c r="B18" s="6">
        <v>10.0</v>
      </c>
      <c r="C18" s="68" t="s">
        <v>93</v>
      </c>
      <c r="D18" s="71">
        <v>3.0</v>
      </c>
      <c r="E18" s="72" t="s">
        <v>94</v>
      </c>
      <c r="F18" s="72" t="s">
        <v>97</v>
      </c>
      <c r="G18" s="70" t="s">
        <v>86</v>
      </c>
      <c r="H18" s="69">
        <v>3.0</v>
      </c>
    </row>
    <row r="19" ht="15.75" customHeight="1">
      <c r="B19" s="6">
        <v>11.0</v>
      </c>
      <c r="C19" s="68" t="s">
        <v>93</v>
      </c>
      <c r="D19" s="71">
        <v>3.0</v>
      </c>
      <c r="E19" s="72" t="s">
        <v>94</v>
      </c>
      <c r="F19" s="72" t="s">
        <v>98</v>
      </c>
      <c r="G19" s="70" t="s">
        <v>86</v>
      </c>
      <c r="H19" s="69">
        <v>3.0</v>
      </c>
    </row>
    <row r="20" ht="15.75" customHeight="1">
      <c r="B20" s="6">
        <v>12.0</v>
      </c>
      <c r="C20" s="68" t="s">
        <v>93</v>
      </c>
      <c r="D20" s="71">
        <v>3.0</v>
      </c>
      <c r="E20" s="72" t="s">
        <v>94</v>
      </c>
      <c r="F20" s="72" t="s">
        <v>99</v>
      </c>
      <c r="G20" s="70" t="s">
        <v>86</v>
      </c>
      <c r="H20" s="69">
        <v>3.0</v>
      </c>
    </row>
    <row r="21" ht="15.75" customHeight="1">
      <c r="B21" s="6">
        <v>13.0</v>
      </c>
      <c r="C21" s="68" t="s">
        <v>91</v>
      </c>
      <c r="D21" s="71">
        <v>3.0</v>
      </c>
      <c r="E21" s="72" t="s">
        <v>94</v>
      </c>
      <c r="F21" s="72" t="s">
        <v>100</v>
      </c>
      <c r="G21" s="70" t="s">
        <v>86</v>
      </c>
      <c r="H21" s="69">
        <v>3.0</v>
      </c>
    </row>
    <row r="22" ht="15.75" customHeight="1">
      <c r="B22" s="6">
        <v>14.0</v>
      </c>
      <c r="C22" s="68" t="s">
        <v>91</v>
      </c>
      <c r="D22" s="71">
        <v>3.0</v>
      </c>
      <c r="E22" s="72" t="s">
        <v>94</v>
      </c>
      <c r="F22" s="72" t="s">
        <v>101</v>
      </c>
      <c r="G22" s="70" t="s">
        <v>86</v>
      </c>
      <c r="H22" s="69">
        <v>3.0</v>
      </c>
    </row>
    <row r="23" ht="15.75" customHeight="1">
      <c r="B23" s="6">
        <v>15.0</v>
      </c>
      <c r="C23" s="68" t="s">
        <v>93</v>
      </c>
      <c r="D23" s="71">
        <v>4.0</v>
      </c>
      <c r="E23" s="72" t="s">
        <v>102</v>
      </c>
      <c r="F23" s="72" t="s">
        <v>103</v>
      </c>
      <c r="G23" s="70" t="s">
        <v>86</v>
      </c>
      <c r="H23" s="69">
        <v>4.0</v>
      </c>
    </row>
    <row r="24" ht="15.75" customHeight="1">
      <c r="B24" s="6">
        <v>16.0</v>
      </c>
      <c r="C24" s="68" t="s">
        <v>93</v>
      </c>
      <c r="D24" s="71">
        <v>4.0</v>
      </c>
      <c r="E24" s="72" t="s">
        <v>102</v>
      </c>
      <c r="F24" s="72" t="s">
        <v>104</v>
      </c>
      <c r="G24" s="70" t="s">
        <v>86</v>
      </c>
      <c r="H24" s="69">
        <v>4.0</v>
      </c>
    </row>
    <row r="25" ht="15.75" customHeight="1">
      <c r="B25" s="6">
        <v>17.0</v>
      </c>
      <c r="C25" s="68" t="s">
        <v>93</v>
      </c>
      <c r="D25" s="71">
        <v>4.0</v>
      </c>
      <c r="E25" s="72" t="s">
        <v>102</v>
      </c>
      <c r="F25" s="72" t="s">
        <v>105</v>
      </c>
      <c r="G25" s="70" t="s">
        <v>86</v>
      </c>
      <c r="H25" s="69">
        <v>4.0</v>
      </c>
    </row>
    <row r="26" ht="15.75" customHeight="1">
      <c r="B26" s="6">
        <v>18.0</v>
      </c>
      <c r="C26" s="68" t="s">
        <v>93</v>
      </c>
      <c r="D26" s="71">
        <v>4.0</v>
      </c>
      <c r="E26" s="72" t="s">
        <v>102</v>
      </c>
      <c r="F26" s="72" t="s">
        <v>106</v>
      </c>
      <c r="G26" s="70" t="s">
        <v>86</v>
      </c>
      <c r="H26" s="69">
        <v>4.0</v>
      </c>
    </row>
    <row r="27" ht="15.75" customHeight="1">
      <c r="B27" s="6">
        <v>19.0</v>
      </c>
      <c r="C27" s="68" t="s">
        <v>93</v>
      </c>
      <c r="D27" s="71">
        <v>4.0</v>
      </c>
      <c r="E27" s="72" t="s">
        <v>102</v>
      </c>
      <c r="F27" s="72" t="s">
        <v>107</v>
      </c>
      <c r="G27" s="70" t="s">
        <v>86</v>
      </c>
      <c r="H27" s="69">
        <v>4.0</v>
      </c>
    </row>
    <row r="28" ht="15.75" customHeight="1">
      <c r="B28" s="6">
        <v>20.0</v>
      </c>
      <c r="C28" s="68" t="s">
        <v>93</v>
      </c>
      <c r="D28" s="71">
        <v>4.0</v>
      </c>
      <c r="E28" s="72" t="s">
        <v>102</v>
      </c>
      <c r="F28" s="72" t="s">
        <v>108</v>
      </c>
      <c r="G28" s="70" t="s">
        <v>86</v>
      </c>
      <c r="H28" s="69">
        <v>4.0</v>
      </c>
    </row>
    <row r="29" ht="15.75" customHeight="1">
      <c r="B29" s="6">
        <v>21.0</v>
      </c>
      <c r="C29" s="68" t="s">
        <v>91</v>
      </c>
      <c r="D29" s="71">
        <v>4.0</v>
      </c>
      <c r="E29" s="72" t="s">
        <v>102</v>
      </c>
      <c r="F29" s="72" t="s">
        <v>109</v>
      </c>
      <c r="G29" s="70" t="s">
        <v>86</v>
      </c>
      <c r="H29" s="69">
        <v>4.0</v>
      </c>
    </row>
    <row r="30" ht="15.75" customHeight="1">
      <c r="B30" s="6">
        <v>22.0</v>
      </c>
      <c r="C30" s="68" t="s">
        <v>110</v>
      </c>
      <c r="D30" s="71">
        <v>5.0</v>
      </c>
      <c r="E30" s="72" t="s">
        <v>111</v>
      </c>
      <c r="F30" s="72" t="s">
        <v>112</v>
      </c>
      <c r="G30" s="70" t="s">
        <v>86</v>
      </c>
      <c r="H30" s="69">
        <v>5.0</v>
      </c>
    </row>
    <row r="31" ht="15.75" customHeight="1">
      <c r="B31" s="6">
        <v>23.0</v>
      </c>
      <c r="C31" s="68" t="s">
        <v>110</v>
      </c>
      <c r="D31" s="71">
        <v>5.0</v>
      </c>
      <c r="E31" s="72" t="s">
        <v>111</v>
      </c>
      <c r="F31" s="72" t="s">
        <v>113</v>
      </c>
      <c r="G31" s="70" t="s">
        <v>86</v>
      </c>
      <c r="H31" s="69">
        <v>5.0</v>
      </c>
    </row>
    <row r="32" ht="15.75" customHeight="1">
      <c r="B32" s="6">
        <v>24.0</v>
      </c>
      <c r="C32" s="68" t="s">
        <v>110</v>
      </c>
      <c r="D32" s="71">
        <v>5.0</v>
      </c>
      <c r="E32" s="72" t="s">
        <v>111</v>
      </c>
      <c r="F32" s="72" t="s">
        <v>114</v>
      </c>
      <c r="G32" s="70" t="s">
        <v>86</v>
      </c>
      <c r="H32" s="69">
        <v>5.0</v>
      </c>
    </row>
    <row r="33" ht="15.75" customHeight="1">
      <c r="B33" s="6">
        <v>25.0</v>
      </c>
      <c r="C33" s="68" t="s">
        <v>110</v>
      </c>
      <c r="D33" s="71">
        <v>5.0</v>
      </c>
      <c r="E33" s="72" t="s">
        <v>111</v>
      </c>
      <c r="F33" s="72" t="s">
        <v>115</v>
      </c>
      <c r="G33" s="70" t="s">
        <v>86</v>
      </c>
      <c r="H33" s="69">
        <v>5.0</v>
      </c>
    </row>
    <row r="34" ht="15.75" customHeight="1">
      <c r="B34" s="6">
        <v>26.0</v>
      </c>
      <c r="C34" s="68" t="s">
        <v>110</v>
      </c>
      <c r="D34" s="71">
        <v>5.0</v>
      </c>
      <c r="E34" s="72" t="s">
        <v>111</v>
      </c>
      <c r="F34" s="72" t="s">
        <v>116</v>
      </c>
      <c r="G34" s="70" t="s">
        <v>86</v>
      </c>
      <c r="H34" s="69">
        <v>5.0</v>
      </c>
    </row>
    <row r="35" ht="15.75" customHeight="1">
      <c r="B35" s="6">
        <v>27.0</v>
      </c>
      <c r="C35" s="68" t="s">
        <v>110</v>
      </c>
      <c r="D35" s="71">
        <v>5.0</v>
      </c>
      <c r="E35" s="72" t="s">
        <v>111</v>
      </c>
      <c r="F35" s="72" t="s">
        <v>117</v>
      </c>
      <c r="G35" s="70" t="s">
        <v>118</v>
      </c>
      <c r="H35" s="69">
        <v>5.0</v>
      </c>
    </row>
    <row r="36" ht="15.75" customHeight="1">
      <c r="B36" s="6">
        <v>28.0</v>
      </c>
      <c r="C36" s="68" t="s">
        <v>110</v>
      </c>
      <c r="D36" s="71">
        <v>5.0</v>
      </c>
      <c r="E36" s="72" t="s">
        <v>111</v>
      </c>
      <c r="F36" s="72" t="s">
        <v>119</v>
      </c>
      <c r="G36" s="70" t="s">
        <v>118</v>
      </c>
      <c r="H36" s="69">
        <v>5.0</v>
      </c>
    </row>
    <row r="37" ht="15.75" customHeight="1">
      <c r="B37" s="6">
        <v>29.0</v>
      </c>
      <c r="C37" s="68" t="s">
        <v>120</v>
      </c>
      <c r="D37" s="71">
        <v>6.0</v>
      </c>
      <c r="E37" s="72" t="s">
        <v>121</v>
      </c>
      <c r="F37" s="72" t="s">
        <v>122</v>
      </c>
      <c r="G37" s="70" t="s">
        <v>118</v>
      </c>
      <c r="H37" s="69">
        <v>6.0</v>
      </c>
    </row>
    <row r="38" ht="15.75" customHeight="1">
      <c r="B38" s="6">
        <v>30.0</v>
      </c>
      <c r="C38" s="68" t="s">
        <v>120</v>
      </c>
      <c r="D38" s="71">
        <v>6.0</v>
      </c>
      <c r="E38" s="72" t="s">
        <v>121</v>
      </c>
      <c r="F38" s="72" t="s">
        <v>123</v>
      </c>
      <c r="G38" s="70" t="s">
        <v>118</v>
      </c>
      <c r="H38" s="69">
        <v>6.0</v>
      </c>
    </row>
    <row r="39" ht="15.75" customHeight="1">
      <c r="B39" s="6">
        <v>31.0</v>
      </c>
      <c r="C39" s="68" t="s">
        <v>120</v>
      </c>
      <c r="D39" s="71">
        <v>6.0</v>
      </c>
      <c r="E39" s="72" t="s">
        <v>121</v>
      </c>
      <c r="F39" s="72" t="s">
        <v>124</v>
      </c>
      <c r="G39" s="70" t="s">
        <v>118</v>
      </c>
      <c r="H39" s="69">
        <v>6.0</v>
      </c>
    </row>
    <row r="40" ht="15.75" customHeight="1">
      <c r="B40" s="6">
        <v>32.0</v>
      </c>
      <c r="C40" s="68" t="s">
        <v>120</v>
      </c>
      <c r="D40" s="71">
        <v>6.0</v>
      </c>
      <c r="E40" s="72" t="s">
        <v>121</v>
      </c>
      <c r="F40" s="72" t="s">
        <v>125</v>
      </c>
      <c r="G40" s="70" t="s">
        <v>118</v>
      </c>
      <c r="H40" s="69">
        <v>6.0</v>
      </c>
    </row>
    <row r="41" ht="15.75" customHeight="1">
      <c r="B41" s="6">
        <v>33.0</v>
      </c>
      <c r="C41" s="68" t="s">
        <v>120</v>
      </c>
      <c r="D41" s="71">
        <v>6.0</v>
      </c>
      <c r="E41" s="72" t="s">
        <v>121</v>
      </c>
      <c r="F41" s="72" t="s">
        <v>126</v>
      </c>
      <c r="G41" s="70" t="s">
        <v>118</v>
      </c>
      <c r="H41" s="69">
        <v>6.0</v>
      </c>
    </row>
    <row r="42" ht="15.75" customHeight="1">
      <c r="B42" s="6">
        <v>34.0</v>
      </c>
      <c r="C42" s="68" t="s">
        <v>120</v>
      </c>
      <c r="D42" s="71">
        <v>6.0</v>
      </c>
      <c r="E42" s="72" t="s">
        <v>121</v>
      </c>
      <c r="F42" s="72" t="s">
        <v>127</v>
      </c>
      <c r="G42" s="70" t="s">
        <v>118</v>
      </c>
      <c r="H42" s="69">
        <v>6.0</v>
      </c>
    </row>
    <row r="43" ht="15.75" customHeight="1">
      <c r="B43" s="6">
        <v>35.0</v>
      </c>
      <c r="C43" s="68" t="s">
        <v>120</v>
      </c>
      <c r="D43" s="71">
        <v>6.0</v>
      </c>
      <c r="E43" s="72" t="s">
        <v>121</v>
      </c>
      <c r="F43" s="72" t="s">
        <v>128</v>
      </c>
      <c r="G43" s="70" t="s">
        <v>118</v>
      </c>
      <c r="H43" s="69">
        <v>6.0</v>
      </c>
    </row>
    <row r="44" ht="15.75" customHeight="1">
      <c r="B44" s="6">
        <v>36.0</v>
      </c>
      <c r="C44" s="68" t="s">
        <v>120</v>
      </c>
      <c r="D44" s="71">
        <v>7.0</v>
      </c>
      <c r="E44" s="72" t="s">
        <v>129</v>
      </c>
      <c r="F44" s="72" t="s">
        <v>130</v>
      </c>
      <c r="G44" s="70" t="s">
        <v>118</v>
      </c>
      <c r="H44" s="69">
        <v>7.0</v>
      </c>
    </row>
    <row r="45" ht="15.75" customHeight="1">
      <c r="B45" s="6">
        <v>37.0</v>
      </c>
      <c r="C45" s="68" t="s">
        <v>120</v>
      </c>
      <c r="D45" s="71">
        <v>7.0</v>
      </c>
      <c r="E45" s="72" t="s">
        <v>129</v>
      </c>
      <c r="F45" s="72" t="s">
        <v>131</v>
      </c>
      <c r="G45" s="70" t="s">
        <v>118</v>
      </c>
      <c r="H45" s="69">
        <v>7.0</v>
      </c>
    </row>
    <row r="46" ht="15.75" customHeight="1">
      <c r="B46" s="6">
        <v>38.0</v>
      </c>
      <c r="C46" s="68" t="s">
        <v>120</v>
      </c>
      <c r="D46" s="71">
        <v>7.0</v>
      </c>
      <c r="E46" s="72" t="s">
        <v>129</v>
      </c>
      <c r="F46" s="72" t="s">
        <v>132</v>
      </c>
      <c r="G46" s="70" t="s">
        <v>118</v>
      </c>
      <c r="H46" s="69">
        <v>7.0</v>
      </c>
    </row>
    <row r="47" ht="15.75" customHeight="1">
      <c r="B47" s="6">
        <v>39.0</v>
      </c>
      <c r="C47" s="68" t="s">
        <v>120</v>
      </c>
      <c r="D47" s="71">
        <v>7.0</v>
      </c>
      <c r="E47" s="72" t="s">
        <v>129</v>
      </c>
      <c r="F47" s="72" t="s">
        <v>133</v>
      </c>
      <c r="G47" s="70" t="s">
        <v>118</v>
      </c>
      <c r="H47" s="69">
        <v>7.0</v>
      </c>
    </row>
    <row r="48" ht="15.75" customHeight="1">
      <c r="B48" s="6">
        <v>40.0</v>
      </c>
      <c r="C48" s="68" t="s">
        <v>120</v>
      </c>
      <c r="D48" s="71">
        <v>7.0</v>
      </c>
      <c r="E48" s="72" t="s">
        <v>129</v>
      </c>
      <c r="F48" s="72" t="s">
        <v>134</v>
      </c>
      <c r="G48" s="70" t="s">
        <v>118</v>
      </c>
      <c r="H48" s="69">
        <v>7.0</v>
      </c>
    </row>
    <row r="49" ht="15.75" customHeight="1">
      <c r="B49" s="6">
        <v>41.0</v>
      </c>
      <c r="C49" s="68" t="s">
        <v>120</v>
      </c>
      <c r="D49" s="71">
        <v>7.0</v>
      </c>
      <c r="E49" s="72" t="s">
        <v>129</v>
      </c>
      <c r="F49" s="72" t="s">
        <v>135</v>
      </c>
      <c r="G49" s="70" t="s">
        <v>118</v>
      </c>
      <c r="H49" s="69">
        <v>7.0</v>
      </c>
    </row>
    <row r="50" ht="15.75" customHeight="1">
      <c r="B50" s="6">
        <v>42.0</v>
      </c>
      <c r="C50" s="68" t="s">
        <v>120</v>
      </c>
      <c r="D50" s="71">
        <v>7.0</v>
      </c>
      <c r="E50" s="72" t="s">
        <v>129</v>
      </c>
      <c r="F50" s="72" t="s">
        <v>136</v>
      </c>
      <c r="G50" s="70" t="s">
        <v>118</v>
      </c>
      <c r="H50" s="69">
        <v>7.0</v>
      </c>
    </row>
    <row r="51" ht="15.75" customHeight="1">
      <c r="B51" s="6">
        <v>43.0</v>
      </c>
      <c r="C51" s="68" t="s">
        <v>120</v>
      </c>
      <c r="D51" s="71">
        <v>8.0</v>
      </c>
      <c r="E51" s="72" t="s">
        <v>137</v>
      </c>
      <c r="F51" s="72" t="s">
        <v>138</v>
      </c>
      <c r="G51" s="70" t="s">
        <v>118</v>
      </c>
      <c r="H51" s="69">
        <v>8.0</v>
      </c>
    </row>
    <row r="52" ht="15.75" customHeight="1">
      <c r="B52" s="6">
        <v>44.0</v>
      </c>
      <c r="C52" s="68" t="s">
        <v>120</v>
      </c>
      <c r="D52" s="71">
        <v>8.0</v>
      </c>
      <c r="E52" s="72" t="s">
        <v>137</v>
      </c>
      <c r="F52" s="72" t="s">
        <v>139</v>
      </c>
      <c r="G52" s="70" t="s">
        <v>118</v>
      </c>
      <c r="H52" s="69">
        <v>8.0</v>
      </c>
    </row>
    <row r="53" ht="15.75" customHeight="1">
      <c r="B53" s="6">
        <v>45.0</v>
      </c>
      <c r="C53" s="68" t="s">
        <v>120</v>
      </c>
      <c r="D53" s="71">
        <v>8.0</v>
      </c>
      <c r="E53" s="72" t="s">
        <v>137</v>
      </c>
      <c r="F53" s="72" t="s">
        <v>140</v>
      </c>
      <c r="G53" s="70" t="s">
        <v>118</v>
      </c>
      <c r="H53" s="69">
        <v>8.0</v>
      </c>
    </row>
    <row r="54" ht="15.75" customHeight="1">
      <c r="B54" s="6">
        <v>46.0</v>
      </c>
      <c r="C54" s="68" t="s">
        <v>120</v>
      </c>
      <c r="D54" s="71">
        <v>8.0</v>
      </c>
      <c r="E54" s="72" t="s">
        <v>137</v>
      </c>
      <c r="F54" s="72" t="s">
        <v>141</v>
      </c>
      <c r="G54" s="70" t="s">
        <v>118</v>
      </c>
      <c r="H54" s="69">
        <v>8.0</v>
      </c>
    </row>
    <row r="55" ht="15.75" customHeight="1">
      <c r="B55" s="6">
        <v>47.0</v>
      </c>
      <c r="C55" s="68" t="s">
        <v>120</v>
      </c>
      <c r="D55" s="71">
        <v>8.0</v>
      </c>
      <c r="E55" s="72" t="s">
        <v>137</v>
      </c>
      <c r="F55" s="72" t="s">
        <v>142</v>
      </c>
      <c r="G55" s="70" t="s">
        <v>118</v>
      </c>
      <c r="H55" s="69">
        <v>8.0</v>
      </c>
    </row>
    <row r="56" ht="15.75" customHeight="1">
      <c r="B56" s="6">
        <v>48.0</v>
      </c>
      <c r="C56" s="68" t="s">
        <v>120</v>
      </c>
      <c r="D56" s="71">
        <v>8.0</v>
      </c>
      <c r="E56" s="72" t="s">
        <v>137</v>
      </c>
      <c r="F56" s="72" t="s">
        <v>143</v>
      </c>
      <c r="G56" s="70" t="s">
        <v>118</v>
      </c>
      <c r="H56" s="69">
        <v>8.0</v>
      </c>
    </row>
    <row r="57" ht="15.75" customHeight="1">
      <c r="B57" s="6">
        <v>49.0</v>
      </c>
      <c r="C57" s="68" t="s">
        <v>91</v>
      </c>
      <c r="D57" s="71">
        <v>8.0</v>
      </c>
      <c r="E57" s="72" t="s">
        <v>137</v>
      </c>
      <c r="F57" s="72" t="s">
        <v>144</v>
      </c>
      <c r="G57" s="70" t="s">
        <v>118</v>
      </c>
      <c r="H57" s="69">
        <v>8.0</v>
      </c>
    </row>
    <row r="58" ht="15.75" customHeight="1">
      <c r="B58" s="6">
        <v>50.0</v>
      </c>
      <c r="C58" s="68" t="s">
        <v>145</v>
      </c>
      <c r="D58" s="71">
        <v>9.0</v>
      </c>
      <c r="E58" s="72" t="s">
        <v>146</v>
      </c>
      <c r="F58" s="72" t="s">
        <v>147</v>
      </c>
      <c r="G58" s="70" t="s">
        <v>118</v>
      </c>
      <c r="H58" s="69">
        <v>9.0</v>
      </c>
    </row>
    <row r="59" ht="15.75" customHeight="1">
      <c r="B59" s="6">
        <v>51.0</v>
      </c>
      <c r="C59" s="68" t="s">
        <v>145</v>
      </c>
      <c r="D59" s="71">
        <v>9.0</v>
      </c>
      <c r="E59" s="72" t="s">
        <v>146</v>
      </c>
      <c r="F59" s="72" t="s">
        <v>148</v>
      </c>
      <c r="G59" s="70" t="s">
        <v>118</v>
      </c>
      <c r="H59" s="69">
        <v>9.0</v>
      </c>
    </row>
    <row r="60" ht="15.75" customHeight="1">
      <c r="B60" s="6">
        <v>52.0</v>
      </c>
      <c r="C60" s="68" t="s">
        <v>145</v>
      </c>
      <c r="D60" s="71">
        <v>9.0</v>
      </c>
      <c r="E60" s="72" t="s">
        <v>146</v>
      </c>
      <c r="F60" s="72" t="s">
        <v>149</v>
      </c>
      <c r="G60" s="70" t="s">
        <v>118</v>
      </c>
      <c r="H60" s="69">
        <v>9.0</v>
      </c>
    </row>
    <row r="61" ht="15.75" customHeight="1">
      <c r="B61" s="6">
        <v>53.0</v>
      </c>
      <c r="C61" s="68" t="s">
        <v>145</v>
      </c>
      <c r="D61" s="71">
        <v>9.0</v>
      </c>
      <c r="E61" s="72" t="s">
        <v>146</v>
      </c>
      <c r="F61" s="72" t="s">
        <v>150</v>
      </c>
      <c r="G61" s="70" t="s">
        <v>118</v>
      </c>
      <c r="H61" s="69">
        <v>9.0</v>
      </c>
    </row>
    <row r="62" ht="15.75" customHeight="1">
      <c r="B62" s="6">
        <v>54.0</v>
      </c>
      <c r="C62" s="68" t="s">
        <v>145</v>
      </c>
      <c r="D62" s="71">
        <v>9.0</v>
      </c>
      <c r="E62" s="72" t="s">
        <v>146</v>
      </c>
      <c r="F62" s="72" t="s">
        <v>151</v>
      </c>
      <c r="G62" s="70" t="s">
        <v>118</v>
      </c>
      <c r="H62" s="69">
        <v>9.0</v>
      </c>
    </row>
    <row r="63" ht="15.75" customHeight="1">
      <c r="B63" s="6">
        <v>55.0</v>
      </c>
      <c r="C63" s="68" t="s">
        <v>145</v>
      </c>
      <c r="D63" s="71">
        <v>9.0</v>
      </c>
      <c r="E63" s="72" t="s">
        <v>146</v>
      </c>
      <c r="F63" s="72" t="s">
        <v>152</v>
      </c>
      <c r="G63" s="70" t="s">
        <v>118</v>
      </c>
      <c r="H63" s="69">
        <v>9.0</v>
      </c>
    </row>
    <row r="64" ht="15.75" customHeight="1">
      <c r="B64" s="6">
        <v>56.0</v>
      </c>
      <c r="C64" s="68" t="s">
        <v>91</v>
      </c>
      <c r="D64" s="71">
        <v>9.0</v>
      </c>
      <c r="E64" s="72" t="s">
        <v>146</v>
      </c>
      <c r="F64" s="72" t="s">
        <v>153</v>
      </c>
      <c r="G64" s="70" t="s">
        <v>118</v>
      </c>
      <c r="H64" s="69">
        <v>9.0</v>
      </c>
    </row>
    <row r="65" ht="15.75" customHeight="1">
      <c r="B65" s="6">
        <v>57.0</v>
      </c>
      <c r="C65" s="68" t="s">
        <v>110</v>
      </c>
      <c r="D65" s="71">
        <v>10.0</v>
      </c>
      <c r="E65" s="72" t="s">
        <v>154</v>
      </c>
      <c r="F65" s="72" t="s">
        <v>155</v>
      </c>
      <c r="G65" s="70" t="s">
        <v>118</v>
      </c>
      <c r="H65" s="69">
        <v>10.0</v>
      </c>
    </row>
    <row r="66" ht="15.75" customHeight="1">
      <c r="B66" s="6">
        <v>58.0</v>
      </c>
      <c r="C66" s="68" t="s">
        <v>110</v>
      </c>
      <c r="D66" s="71">
        <v>10.0</v>
      </c>
      <c r="E66" s="72" t="s">
        <v>154</v>
      </c>
      <c r="F66" s="72" t="s">
        <v>156</v>
      </c>
      <c r="G66" s="70" t="s">
        <v>118</v>
      </c>
      <c r="H66" s="69">
        <v>10.0</v>
      </c>
    </row>
    <row r="67" ht="15.75" customHeight="1">
      <c r="B67" s="6">
        <v>59.0</v>
      </c>
      <c r="C67" s="68" t="s">
        <v>110</v>
      </c>
      <c r="D67" s="71">
        <v>10.0</v>
      </c>
      <c r="E67" s="72" t="s">
        <v>154</v>
      </c>
      <c r="F67" s="72" t="s">
        <v>157</v>
      </c>
      <c r="G67" s="70" t="s">
        <v>118</v>
      </c>
      <c r="H67" s="69">
        <v>10.0</v>
      </c>
    </row>
    <row r="68" ht="15.75" customHeight="1">
      <c r="B68" s="6">
        <v>60.0</v>
      </c>
      <c r="C68" s="68" t="s">
        <v>110</v>
      </c>
      <c r="D68" s="71">
        <v>10.0</v>
      </c>
      <c r="E68" s="72" t="s">
        <v>154</v>
      </c>
      <c r="F68" s="72" t="s">
        <v>158</v>
      </c>
      <c r="G68" s="70" t="s">
        <v>159</v>
      </c>
      <c r="H68" s="69">
        <v>10.0</v>
      </c>
    </row>
    <row r="69" ht="15.75" customHeight="1">
      <c r="B69" s="6">
        <v>61.0</v>
      </c>
      <c r="C69" s="68" t="s">
        <v>110</v>
      </c>
      <c r="D69" s="71">
        <v>10.0</v>
      </c>
      <c r="E69" s="72" t="s">
        <v>154</v>
      </c>
      <c r="F69" s="72" t="s">
        <v>160</v>
      </c>
      <c r="G69" s="70" t="s">
        <v>159</v>
      </c>
      <c r="H69" s="69">
        <v>10.0</v>
      </c>
    </row>
    <row r="70" ht="15.75" customHeight="1">
      <c r="B70" s="6">
        <v>62.0</v>
      </c>
      <c r="C70" s="68" t="s">
        <v>91</v>
      </c>
      <c r="D70" s="71">
        <v>10.0</v>
      </c>
      <c r="E70" s="72" t="s">
        <v>154</v>
      </c>
      <c r="F70" s="72" t="s">
        <v>161</v>
      </c>
      <c r="G70" s="70" t="s">
        <v>159</v>
      </c>
      <c r="H70" s="69">
        <v>10.0</v>
      </c>
    </row>
    <row r="71" ht="15.75" customHeight="1">
      <c r="B71" s="6">
        <v>63.0</v>
      </c>
      <c r="C71" s="68" t="s">
        <v>91</v>
      </c>
      <c r="D71" s="71">
        <v>10.0</v>
      </c>
      <c r="E71" s="72" t="s">
        <v>154</v>
      </c>
      <c r="F71" s="72" t="s">
        <v>162</v>
      </c>
      <c r="G71" s="70" t="s">
        <v>159</v>
      </c>
      <c r="H71" s="69">
        <v>10.0</v>
      </c>
    </row>
    <row r="72" ht="15.75" customHeight="1">
      <c r="B72" s="6">
        <v>64.0</v>
      </c>
      <c r="C72" s="68" t="s">
        <v>145</v>
      </c>
      <c r="D72" s="71">
        <v>11.0</v>
      </c>
      <c r="E72" s="72" t="s">
        <v>163</v>
      </c>
      <c r="F72" s="72" t="s">
        <v>164</v>
      </c>
      <c r="G72" s="70" t="s">
        <v>159</v>
      </c>
      <c r="H72" s="69">
        <v>11.0</v>
      </c>
    </row>
    <row r="73" ht="15.75" customHeight="1">
      <c r="B73" s="6">
        <v>65.0</v>
      </c>
      <c r="C73" s="68" t="s">
        <v>120</v>
      </c>
      <c r="D73" s="71">
        <v>11.0</v>
      </c>
      <c r="E73" s="72" t="s">
        <v>163</v>
      </c>
      <c r="F73" s="72" t="s">
        <v>165</v>
      </c>
      <c r="G73" s="70" t="s">
        <v>159</v>
      </c>
      <c r="H73" s="69">
        <v>11.0</v>
      </c>
    </row>
    <row r="74" ht="15.75" customHeight="1">
      <c r="B74" s="6">
        <v>66.0</v>
      </c>
      <c r="C74" s="68" t="s">
        <v>145</v>
      </c>
      <c r="D74" s="71">
        <v>11.0</v>
      </c>
      <c r="E74" s="72" t="s">
        <v>163</v>
      </c>
      <c r="F74" s="72" t="s">
        <v>166</v>
      </c>
      <c r="G74" s="70" t="s">
        <v>159</v>
      </c>
      <c r="H74" s="69">
        <v>11.0</v>
      </c>
    </row>
    <row r="75" ht="15.75" customHeight="1">
      <c r="B75" s="6">
        <v>67.0</v>
      </c>
      <c r="C75" s="68" t="s">
        <v>145</v>
      </c>
      <c r="D75" s="71">
        <v>11.0</v>
      </c>
      <c r="E75" s="72" t="s">
        <v>163</v>
      </c>
      <c r="F75" s="72" t="s">
        <v>167</v>
      </c>
      <c r="G75" s="70" t="s">
        <v>159</v>
      </c>
      <c r="H75" s="69">
        <v>11.0</v>
      </c>
    </row>
    <row r="76" ht="15.75" customHeight="1">
      <c r="B76" s="6">
        <v>68.0</v>
      </c>
      <c r="C76" s="68" t="s">
        <v>120</v>
      </c>
      <c r="D76" s="71">
        <v>11.0</v>
      </c>
      <c r="E76" s="72" t="s">
        <v>163</v>
      </c>
      <c r="F76" s="72" t="s">
        <v>168</v>
      </c>
      <c r="G76" s="70" t="s">
        <v>159</v>
      </c>
      <c r="H76" s="69">
        <v>11.0</v>
      </c>
    </row>
    <row r="77" ht="15.75" customHeight="1">
      <c r="B77" s="6">
        <v>69.0</v>
      </c>
      <c r="C77" s="68" t="s">
        <v>145</v>
      </c>
      <c r="D77" s="71">
        <v>11.0</v>
      </c>
      <c r="E77" s="72" t="s">
        <v>163</v>
      </c>
      <c r="F77" s="72" t="s">
        <v>169</v>
      </c>
      <c r="G77" s="70" t="s">
        <v>159</v>
      </c>
      <c r="H77" s="69">
        <v>11.0</v>
      </c>
    </row>
    <row r="78" ht="15.75" customHeight="1">
      <c r="B78" s="6">
        <v>70.0</v>
      </c>
      <c r="C78" s="68" t="s">
        <v>91</v>
      </c>
      <c r="D78" s="71">
        <v>11.0</v>
      </c>
      <c r="E78" s="72" t="s">
        <v>163</v>
      </c>
      <c r="F78" s="72" t="s">
        <v>153</v>
      </c>
      <c r="G78" s="70" t="s">
        <v>159</v>
      </c>
      <c r="H78" s="69">
        <v>11.0</v>
      </c>
    </row>
    <row r="79" ht="15.75" customHeight="1">
      <c r="B79" s="6">
        <v>71.0</v>
      </c>
      <c r="C79" s="1"/>
      <c r="H79" s="6"/>
    </row>
    <row r="80" ht="15.75" customHeight="1">
      <c r="B80" s="6">
        <v>72.0</v>
      </c>
      <c r="C80" s="1"/>
      <c r="H80" s="6"/>
    </row>
    <row r="81" ht="15.75" customHeight="1">
      <c r="B81" s="6">
        <v>73.0</v>
      </c>
      <c r="C81" s="1"/>
      <c r="H81" s="6"/>
    </row>
    <row r="82" ht="15.75" customHeight="1">
      <c r="B82" s="6">
        <v>74.0</v>
      </c>
      <c r="C82" s="1"/>
      <c r="H82" s="6"/>
    </row>
    <row r="83" ht="15.75" customHeight="1">
      <c r="B83" s="6">
        <v>75.0</v>
      </c>
      <c r="C83" s="1"/>
      <c r="H83" s="6"/>
    </row>
    <row r="84" ht="15.75" customHeight="1">
      <c r="B84" s="6">
        <v>76.0</v>
      </c>
      <c r="C84" s="1"/>
      <c r="H84" s="6"/>
    </row>
    <row r="85" ht="15.75" customHeight="1">
      <c r="B85" s="6">
        <v>77.0</v>
      </c>
      <c r="C85" s="1"/>
      <c r="H85" s="6"/>
    </row>
    <row r="86" ht="15.75" customHeight="1">
      <c r="B86" s="6">
        <v>78.0</v>
      </c>
      <c r="C86" s="1"/>
      <c r="H86" s="6"/>
    </row>
    <row r="87" ht="15.75" customHeight="1">
      <c r="B87" s="6">
        <v>79.0</v>
      </c>
      <c r="C87" s="1"/>
      <c r="H87" s="6"/>
    </row>
    <row r="88" ht="15.75" customHeight="1">
      <c r="B88" s="6">
        <v>80.0</v>
      </c>
      <c r="C88" s="1"/>
      <c r="H88" s="6"/>
    </row>
    <row r="89" ht="15.75" customHeight="1">
      <c r="B89" s="6">
        <v>81.0</v>
      </c>
      <c r="C89" s="1"/>
      <c r="H89" s="6"/>
    </row>
    <row r="90" ht="15.75" customHeight="1">
      <c r="B90" s="6">
        <v>82.0</v>
      </c>
      <c r="C90" s="1"/>
      <c r="H90" s="6"/>
    </row>
    <row r="91" ht="15.75" customHeight="1">
      <c r="B91" s="6">
        <v>83.0</v>
      </c>
      <c r="C91" s="1"/>
      <c r="H91" s="6"/>
    </row>
    <row r="92" ht="15.75" customHeight="1">
      <c r="B92" s="6">
        <v>84.0</v>
      </c>
      <c r="C92" s="1"/>
      <c r="H92" s="6"/>
    </row>
    <row r="93" ht="15.75" customHeight="1">
      <c r="B93" s="6">
        <v>85.0</v>
      </c>
      <c r="C93" s="1"/>
      <c r="H93" s="6"/>
    </row>
    <row r="94" ht="15.75" customHeight="1">
      <c r="B94" s="6">
        <v>86.0</v>
      </c>
      <c r="C94" s="1"/>
      <c r="H94" s="6"/>
    </row>
    <row r="95" ht="15.75" customHeight="1">
      <c r="B95" s="6">
        <v>87.0</v>
      </c>
      <c r="C95" s="1"/>
      <c r="H95" s="6"/>
    </row>
    <row r="96" ht="15.75" customHeight="1">
      <c r="B96" s="6">
        <v>88.0</v>
      </c>
      <c r="C96" s="1"/>
      <c r="H96" s="6"/>
    </row>
    <row r="97" ht="15.75" customHeight="1">
      <c r="B97" s="6">
        <v>89.0</v>
      </c>
      <c r="C97" s="1"/>
      <c r="H97" s="6"/>
    </row>
    <row r="98" ht="15.75" customHeight="1">
      <c r="B98" s="6">
        <v>90.0</v>
      </c>
      <c r="C98" s="1"/>
      <c r="H98" s="6"/>
    </row>
    <row r="99" ht="15.75" customHeight="1">
      <c r="B99" s="6">
        <v>91.0</v>
      </c>
      <c r="C99" s="1"/>
      <c r="H99" s="6"/>
    </row>
    <row r="100" ht="15.75" customHeight="1">
      <c r="B100" s="6">
        <v>92.0</v>
      </c>
      <c r="C100" s="1"/>
      <c r="H100" s="6"/>
    </row>
    <row r="101" ht="15.75" customHeight="1">
      <c r="B101" s="6">
        <v>93.0</v>
      </c>
      <c r="C101" s="1"/>
      <c r="H101" s="6"/>
    </row>
    <row r="102" ht="15.75" customHeight="1">
      <c r="B102" s="6">
        <v>94.0</v>
      </c>
      <c r="C102" s="1"/>
      <c r="H102" s="6"/>
    </row>
    <row r="103" ht="15.75" customHeight="1">
      <c r="B103" s="6">
        <v>95.0</v>
      </c>
      <c r="C103" s="1"/>
    </row>
    <row r="104" ht="15.75" customHeight="1">
      <c r="B104" s="6">
        <v>96.0</v>
      </c>
      <c r="C104" s="1"/>
    </row>
    <row r="105" ht="15.75" customHeight="1">
      <c r="B105" s="6">
        <v>97.0</v>
      </c>
      <c r="C105" s="1"/>
    </row>
    <row r="106" ht="15.75" customHeight="1">
      <c r="B106" s="6">
        <v>98.0</v>
      </c>
      <c r="C106" s="1"/>
    </row>
    <row r="107" ht="15.75" customHeight="1">
      <c r="B107" s="6">
        <v>99.0</v>
      </c>
      <c r="C107" s="1"/>
    </row>
    <row r="108" ht="15.75" customHeight="1">
      <c r="B108" s="6">
        <v>100.0</v>
      </c>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9:C78">
      <formula1>#REF!</formula1>
    </dataValidation>
    <dataValidation type="list" allowBlank="1" showErrorMessage="1" sqref="C4">
      <formula1>Metadata!$A$2:$A$81</formula1>
    </dataValidation>
    <dataValidation type="list" allowBlank="1" showErrorMessage="1" sqref="C79:C108">
      <formula1>Metadata!$B$2:$B$12</formula1>
    </dataValidation>
    <dataValidation type="list" allowBlank="1" showErrorMessage="1" sqref="H9:H78">
      <formula1>"2,3,4,5,6,7,8,9,10,11"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4" t="s">
        <v>71</v>
      </c>
    </row>
    <row r="3" ht="15.75" customHeight="1"/>
    <row r="4" ht="15.75" customHeight="1">
      <c r="B4" s="73" t="s">
        <v>1</v>
      </c>
      <c r="C4" s="74" t="str">
        <f>'Diseño'!C4</f>
        <v>90 - Programacion de Computadoras 1</v>
      </c>
      <c r="D4" s="33"/>
      <c r="E4" s="33"/>
      <c r="F4" s="33"/>
      <c r="G4" s="34"/>
    </row>
    <row r="5" ht="15.75" customHeight="1">
      <c r="B5" s="75" t="s">
        <v>79</v>
      </c>
      <c r="C5" s="74">
        <v>1.0</v>
      </c>
      <c r="D5" s="33"/>
      <c r="E5" s="33"/>
      <c r="F5" s="33"/>
      <c r="G5" s="34"/>
    </row>
    <row r="6" ht="15.75" customHeight="1">
      <c r="B6" s="75" t="s">
        <v>170</v>
      </c>
      <c r="C6" s="74">
        <f>B15+B22+B29+B41+B47+C48</f>
        <v>85</v>
      </c>
      <c r="D6" s="33"/>
      <c r="E6" s="33"/>
      <c r="F6" s="33"/>
      <c r="G6" s="34"/>
    </row>
    <row r="7" ht="15.75" customHeight="1"/>
    <row r="8" ht="15.75" customHeight="1">
      <c r="K8" s="76" t="s">
        <v>171</v>
      </c>
    </row>
    <row r="9" ht="15.75" customHeight="1">
      <c r="A9" s="77" t="s">
        <v>172</v>
      </c>
      <c r="G9" s="78" t="s">
        <v>173</v>
      </c>
      <c r="H9" s="79">
        <f>B15</f>
        <v>15</v>
      </c>
    </row>
    <row r="10" ht="15.75" customHeight="1">
      <c r="G10" s="80" t="s">
        <v>174</v>
      </c>
    </row>
    <row r="11" ht="24.75" customHeight="1">
      <c r="A11" s="81" t="s">
        <v>175</v>
      </c>
      <c r="B11" s="82" t="s">
        <v>176</v>
      </c>
      <c r="C11" s="33"/>
      <c r="D11" s="33"/>
      <c r="E11" s="33"/>
      <c r="F11" s="33"/>
      <c r="G11" s="33"/>
      <c r="H11" s="34"/>
    </row>
    <row r="12">
      <c r="A12" s="81" t="s">
        <v>177</v>
      </c>
      <c r="B12" s="82" t="s">
        <v>178</v>
      </c>
      <c r="C12" s="33"/>
      <c r="D12" s="33"/>
      <c r="E12" s="33"/>
      <c r="F12" s="33"/>
      <c r="G12" s="33"/>
      <c r="H12" s="34"/>
    </row>
    <row r="13">
      <c r="A13" s="83" t="s">
        <v>179</v>
      </c>
      <c r="B13" s="82" t="s">
        <v>180</v>
      </c>
      <c r="C13" s="33"/>
      <c r="D13" s="33"/>
      <c r="E13" s="33"/>
      <c r="F13" s="33"/>
      <c r="G13" s="33"/>
      <c r="H13" s="34"/>
    </row>
    <row r="14">
      <c r="A14" s="83" t="s">
        <v>181</v>
      </c>
      <c r="B14" s="82" t="s">
        <v>182</v>
      </c>
      <c r="C14" s="33"/>
      <c r="D14" s="33"/>
      <c r="E14" s="33"/>
      <c r="F14" s="33"/>
      <c r="G14" s="33"/>
      <c r="H14" s="34"/>
    </row>
    <row r="15" ht="15.75" customHeight="1">
      <c r="A15" s="84" t="s">
        <v>183</v>
      </c>
      <c r="B15" s="85">
        <v>15.0</v>
      </c>
      <c r="C15" s="33"/>
      <c r="D15" s="33"/>
      <c r="E15" s="33"/>
      <c r="F15" s="33"/>
      <c r="G15" s="33"/>
      <c r="H15" s="34"/>
    </row>
    <row r="16" ht="15.75" customHeight="1"/>
    <row r="17" ht="15.75" customHeight="1"/>
    <row r="18" ht="15.75" customHeight="1">
      <c r="A18" s="86" t="s">
        <v>184</v>
      </c>
      <c r="G18" s="78" t="s">
        <v>173</v>
      </c>
      <c r="H18" s="79" t="str">
        <f>B22</f>
        <v/>
      </c>
    </row>
    <row r="19" ht="15.75" customHeight="1">
      <c r="G19" s="80" t="s">
        <v>185</v>
      </c>
      <c r="K19" s="76" t="s">
        <v>186</v>
      </c>
    </row>
    <row r="20">
      <c r="A20" s="81" t="s">
        <v>187</v>
      </c>
      <c r="B20" s="36" t="s">
        <v>188</v>
      </c>
      <c r="C20" s="33"/>
      <c r="D20" s="33"/>
      <c r="E20" s="33"/>
      <c r="F20" s="33"/>
      <c r="G20" s="33"/>
      <c r="H20" s="34"/>
    </row>
    <row r="21">
      <c r="A21" s="81" t="s">
        <v>189</v>
      </c>
      <c r="B21" s="36" t="s">
        <v>188</v>
      </c>
      <c r="C21" s="33"/>
      <c r="D21" s="33"/>
      <c r="E21" s="33"/>
      <c r="F21" s="33"/>
      <c r="G21" s="33"/>
      <c r="H21" s="34"/>
    </row>
    <row r="22">
      <c r="A22" s="84" t="s">
        <v>183</v>
      </c>
      <c r="B22" s="74"/>
      <c r="C22" s="33"/>
      <c r="D22" s="33"/>
      <c r="E22" s="33"/>
      <c r="F22" s="33"/>
      <c r="G22" s="33"/>
      <c r="H22" s="34"/>
    </row>
    <row r="23" ht="15.75" customHeight="1"/>
    <row r="24" ht="15.75" customHeight="1"/>
    <row r="25" ht="15.75" customHeight="1">
      <c r="A25" s="86" t="s">
        <v>190</v>
      </c>
      <c r="G25" s="87" t="s">
        <v>173</v>
      </c>
      <c r="H25" s="79">
        <f>B29</f>
        <v>25</v>
      </c>
    </row>
    <row r="26" ht="15.75" customHeight="1">
      <c r="G26" s="80" t="s">
        <v>191</v>
      </c>
      <c r="H26" s="80"/>
      <c r="I26" s="80"/>
      <c r="J26" s="80"/>
    </row>
    <row r="27" ht="39.75" customHeight="1">
      <c r="A27" s="81" t="s">
        <v>192</v>
      </c>
      <c r="B27" s="82" t="s">
        <v>193</v>
      </c>
      <c r="C27" s="33"/>
      <c r="D27" s="33"/>
      <c r="E27" s="33"/>
      <c r="F27" s="33"/>
      <c r="G27" s="33"/>
      <c r="H27" s="34"/>
      <c r="K27" s="76" t="s">
        <v>194</v>
      </c>
    </row>
    <row r="28" ht="69.75" customHeight="1">
      <c r="A28" s="81" t="s">
        <v>195</v>
      </c>
      <c r="B28" s="82" t="s">
        <v>196</v>
      </c>
      <c r="C28" s="33"/>
      <c r="D28" s="33"/>
      <c r="E28" s="33"/>
      <c r="F28" s="33"/>
      <c r="G28" s="33"/>
      <c r="H28" s="34"/>
    </row>
    <row r="29" ht="15.75" customHeight="1">
      <c r="A29" s="84" t="s">
        <v>183</v>
      </c>
      <c r="B29" s="85">
        <v>25.0</v>
      </c>
      <c r="C29" s="33"/>
      <c r="D29" s="33"/>
      <c r="E29" s="33"/>
      <c r="F29" s="33"/>
      <c r="G29" s="33"/>
      <c r="H29" s="34"/>
    </row>
    <row r="30" ht="15.75" customHeight="1"/>
    <row r="31" ht="15.75" customHeight="1"/>
    <row r="32" ht="15.75" customHeight="1">
      <c r="A32" s="86" t="s">
        <v>197</v>
      </c>
      <c r="G32" s="87" t="s">
        <v>173</v>
      </c>
      <c r="H32" s="79">
        <f>B36</f>
        <v>5</v>
      </c>
    </row>
    <row r="33" ht="15.75" customHeight="1">
      <c r="A33" s="65" t="s">
        <v>198</v>
      </c>
      <c r="G33" s="65" t="s">
        <v>199</v>
      </c>
    </row>
    <row r="34">
      <c r="A34" s="81" t="s">
        <v>200</v>
      </c>
      <c r="B34" s="82" t="s">
        <v>201</v>
      </c>
      <c r="C34" s="33"/>
      <c r="D34" s="33"/>
      <c r="E34" s="33"/>
      <c r="F34" s="33"/>
      <c r="G34" s="33"/>
      <c r="H34" s="34"/>
      <c r="K34" s="76" t="s">
        <v>202</v>
      </c>
    </row>
    <row r="35">
      <c r="A35" s="81" t="s">
        <v>203</v>
      </c>
      <c r="B35" s="82" t="s">
        <v>204</v>
      </c>
      <c r="C35" s="33"/>
      <c r="D35" s="33"/>
      <c r="E35" s="33"/>
      <c r="F35" s="33"/>
      <c r="G35" s="33"/>
      <c r="H35" s="34"/>
    </row>
    <row r="36" ht="15.75" customHeight="1">
      <c r="A36" s="84" t="s">
        <v>183</v>
      </c>
      <c r="B36" s="85">
        <v>5.0</v>
      </c>
      <c r="C36" s="33"/>
      <c r="D36" s="33"/>
      <c r="E36" s="33"/>
      <c r="F36" s="33"/>
      <c r="G36" s="33"/>
      <c r="H36" s="34"/>
    </row>
    <row r="37" ht="15.75" customHeight="1"/>
    <row r="38" ht="15.75" customHeight="1"/>
    <row r="39" ht="15.75" customHeight="1">
      <c r="A39" s="86" t="s">
        <v>205</v>
      </c>
      <c r="G39" s="87" t="s">
        <v>173</v>
      </c>
      <c r="H39" s="79">
        <f>B41</f>
        <v>30</v>
      </c>
    </row>
    <row r="40" ht="15.75" customHeight="1">
      <c r="G40" s="80" t="s">
        <v>206</v>
      </c>
    </row>
    <row r="41" ht="15.75" customHeight="1">
      <c r="A41" s="84" t="s">
        <v>183</v>
      </c>
      <c r="B41" s="85">
        <v>30.0</v>
      </c>
      <c r="C41" s="33"/>
      <c r="D41" s="33"/>
      <c r="E41" s="33"/>
      <c r="F41" s="33"/>
      <c r="G41" s="33"/>
      <c r="H41" s="34"/>
    </row>
    <row r="42" ht="15.75" customHeight="1"/>
    <row r="43" ht="15.75" customHeight="1"/>
    <row r="44" ht="15.75" customHeight="1">
      <c r="A44" s="86" t="s">
        <v>207</v>
      </c>
      <c r="G44" s="87" t="s">
        <v>173</v>
      </c>
      <c r="H44" s="79" t="str">
        <f>B46</f>
        <v>Preguntas Verdadero/Falso
La programación es el proceso de crear instrucciones para que una computadora ejecute tareas específicas.
Verdadero ✓
Falso
En programación, una variable puede cambiar su valor durante la ejecución del programa.
Verdadero ✓
Falso
Microsoft Excel solo puede trabajar con números, no con texto.
Verdadero
Falso ✓
Una máquina virtual es un hardware físico independiente.
Verdadero
Falso ✓
En un diagrama ER, una entidad representa un objeto del mundo real.
Verdadero ✓
Falso
SQL significa Standard Query Language.
Verdadero ✓
Falso
VBA (Visual Basic for Applications) solo funciona en Excel.
Verdadero
Falso ✓
Power BI es exclusivamente para crear presentaciones.
Verdadero
Falso ✓
Preguntas de Opción Múltiple
¿Cuál de los siguientes NO es un tipo de variable común en programación?
a) Entero (int)
b) Texto (string)
c) Decimal (float)
d) Circular ✓
¿Cuál es la estructura de control que permite ejecutar código repetidamente?
a) If-else
b) Switch
c) For/While ✓
d) Try-catch
¿Cuál es la extensión de archivo de Excel?
a) .doc
b) .xlsx ✓
c) .ppt
d) .pdf
¿Qué función de Excel suma un rango de celdas?
a) =COUNT()
b) =AVERAGE()
c) =SUM() ✓
d) =MAX()
En un diagrama ER, ¿qué representa la cardinalidad?
a) El color de las entidades
b) El número de relaciones entre entidades ✓
c) El tamaño de la base de datos
d) El tipo de atributo
¿Cuál de estas es una sentencia DDL en SQL?
a) SELECT
b) INSERT
c) CREATE TABLE ✓
d) UPDATE
¿Para qué sirve principalmente Microsoft Access?
a) Crear presentaciones
b) Editar imágenes
c) Gestionar bases de datos ✓
d) Navegar en internet
¿Qué permite hacer una macro en Excel?
a) Cambiar el color del programa
b) Automatizar tareas repetitivas ✓
c) Conectarse a internet
d) Crear gráficos únicamente
¿Cuál es el propósito principal de VirtualBox?
a) Editar videos
b) Crear máquinas virtuales ✓
c) Diseñar páginas web
d) Comprimir archivos
¿Qué tipo de relación existe cuando una entidad se relaciona con muchas de otra entidad?
a) Uno a uno
b) Uno a muchos ✓
c) Muchos a ninguno
d) Circular
¿Cuál es la principal ventaja de Power BI?
a) Escribir código
b) Crear visualizaciones interactivas de datos ✓
c) Editar documentos de texto
d) Enviar correos electrónicos
¿Qué significa WWW en el contexto de internet?
a) World Wide Web ✓
b) World Wide Work
c) Web Wide World
d) Wide World Web</v>
      </c>
    </row>
    <row r="45" ht="15.75" customHeight="1">
      <c r="G45" s="80" t="s">
        <v>174</v>
      </c>
    </row>
    <row r="46">
      <c r="A46" s="81" t="s">
        <v>208</v>
      </c>
      <c r="B46" s="82" t="s">
        <v>209</v>
      </c>
      <c r="C46" s="33"/>
      <c r="D46" s="33"/>
      <c r="E46" s="33"/>
      <c r="F46" s="33"/>
      <c r="G46" s="33"/>
      <c r="H46" s="34"/>
    </row>
    <row r="47" ht="15.75" customHeight="1">
      <c r="A47" s="84" t="s">
        <v>183</v>
      </c>
      <c r="B47" s="85">
        <v>15.0</v>
      </c>
      <c r="C47" s="33"/>
      <c r="D47" s="33"/>
      <c r="E47" s="33"/>
      <c r="F47" s="33"/>
      <c r="G47" s="33"/>
      <c r="H47" s="34"/>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2.0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92">
        <f>B13</f>
        <v>5</v>
      </c>
    </row>
    <row r="11" ht="15.75" customHeight="1">
      <c r="G11" s="80" t="s">
        <v>214</v>
      </c>
    </row>
    <row r="12" ht="15.75" customHeight="1">
      <c r="A12" s="83" t="s">
        <v>215</v>
      </c>
      <c r="B12" s="82" t="s">
        <v>216</v>
      </c>
      <c r="C12" s="33"/>
      <c r="D12" s="33"/>
      <c r="E12" s="33"/>
      <c r="F12" s="33"/>
      <c r="G12" s="33"/>
      <c r="H12" s="34"/>
    </row>
    <row r="13" ht="15.75" customHeight="1">
      <c r="A13" s="84" t="s">
        <v>173</v>
      </c>
      <c r="B13" s="93">
        <v>5.0</v>
      </c>
      <c r="C13" s="33"/>
      <c r="D13" s="33"/>
      <c r="E13" s="33"/>
      <c r="F13" s="33"/>
      <c r="G13" s="33"/>
      <c r="H13" s="34"/>
    </row>
    <row r="14" ht="15.75" customHeight="1">
      <c r="A14" s="94" t="s">
        <v>217</v>
      </c>
      <c r="B14" s="33"/>
      <c r="C14" s="33"/>
      <c r="D14" s="33"/>
      <c r="E14" s="33"/>
      <c r="F14" s="33"/>
      <c r="G14" s="33"/>
      <c r="H14" s="34"/>
    </row>
    <row r="15" ht="15.75" customHeight="1">
      <c r="A15" s="95" t="s">
        <v>218</v>
      </c>
      <c r="B15" s="58"/>
      <c r="C15" s="58"/>
      <c r="D15" s="58"/>
      <c r="E15" s="58"/>
      <c r="F15" s="58"/>
      <c r="G15" s="58"/>
      <c r="H15" s="59"/>
    </row>
    <row r="16" ht="15.75" customHeight="1">
      <c r="A16" s="60"/>
      <c r="B16" s="61"/>
      <c r="C16" s="61"/>
      <c r="D16" s="61"/>
      <c r="E16" s="61"/>
      <c r="F16" s="61"/>
      <c r="G16" s="61"/>
      <c r="H16" s="62"/>
    </row>
    <row r="17" ht="15.75" customHeight="1">
      <c r="A17" s="94" t="s">
        <v>219</v>
      </c>
      <c r="B17" s="33"/>
      <c r="C17" s="33"/>
      <c r="D17" s="33"/>
      <c r="E17" s="33"/>
      <c r="F17" s="33"/>
      <c r="G17" s="33"/>
      <c r="H17" s="34"/>
    </row>
    <row r="18" ht="15.75" customHeight="1">
      <c r="A18" s="95" t="s">
        <v>220</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92">
        <f>SUM(D39:H42)</f>
        <v>60</v>
      </c>
      <c r="I21" s="6"/>
    </row>
    <row r="22" ht="15.75" customHeight="1">
      <c r="G22" s="80" t="s">
        <v>222</v>
      </c>
    </row>
    <row r="23" ht="15.75" customHeight="1">
      <c r="A23" s="83" t="s">
        <v>223</v>
      </c>
      <c r="B23" s="85" t="s">
        <v>80</v>
      </c>
      <c r="C23" s="33"/>
      <c r="D23" s="33"/>
      <c r="E23" s="33"/>
      <c r="F23" s="33"/>
      <c r="G23" s="33"/>
      <c r="H23" s="34"/>
    </row>
    <row r="24" ht="15.75" customHeight="1">
      <c r="A24" s="83" t="s">
        <v>223</v>
      </c>
      <c r="B24" s="85" t="s">
        <v>91</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IFERROR(__xludf.DUMMYFUNCTION("FILTER('Diseño'!D:D,'Diseño'!H:H=$C$5)"),2.0)</f>
        <v>2</v>
      </c>
      <c r="C28" s="34"/>
      <c r="D28" s="74" t="str">
        <f>IFERROR(__xludf.DUMMYFUNCTION("FILTER('Diseño'!E:E,'Diseño'!H:H=$C$5)"),"Inicio y Diagnóstico")</f>
        <v>Inicio y Diagnóstico</v>
      </c>
      <c r="E28" s="34"/>
      <c r="F28" s="74" t="str">
        <f>IFERROR(__xludf.DUMMYFUNCTION("FILTER('Diseño'!F:F,'Diseño'!H:H=$C$5)"),"Introducción a las máquinas virtuales")</f>
        <v>Introducción a las máquinas virtuales</v>
      </c>
      <c r="G28" s="33"/>
      <c r="H28" s="34"/>
    </row>
    <row r="29" ht="15.75" customHeight="1">
      <c r="A29" s="75">
        <v>2.0</v>
      </c>
      <c r="B29" s="74">
        <f>IFERROR(__xludf.DUMMYFUNCTION("""COMPUTED_VALUE"""),2.0)</f>
        <v>2</v>
      </c>
      <c r="C29" s="34"/>
      <c r="D29" s="74" t="str">
        <f>IFERROR(__xludf.DUMMYFUNCTION("""COMPUTED_VALUE"""),"Inicio y Diagnóstico")</f>
        <v>Inicio y Diagnóstico</v>
      </c>
      <c r="E29" s="34"/>
      <c r="F29" s="74" t="str">
        <f>IFERROR(__xludf.DUMMYFUNCTION("""COMPUTED_VALUE"""),"Instalación de VirtualBox")</f>
        <v>Instalación de VirtualBox</v>
      </c>
      <c r="G29" s="33"/>
      <c r="H29" s="34"/>
    </row>
    <row r="30" ht="15.75" customHeight="1">
      <c r="A30" s="75">
        <v>3.0</v>
      </c>
      <c r="B30" s="74">
        <f>IFERROR(__xludf.DUMMYFUNCTION("""COMPUTED_VALUE"""),2.0)</f>
        <v>2</v>
      </c>
      <c r="C30" s="34"/>
      <c r="D30" s="74" t="str">
        <f>IFERROR(__xludf.DUMMYFUNCTION("""COMPUTED_VALUE"""),"Inicio y Diagnóstico")</f>
        <v>Inicio y Diagnóstico</v>
      </c>
      <c r="E30" s="34"/>
      <c r="F30" s="74" t="str">
        <f>IFERROR(__xludf.DUMMYFUNCTION("""COMPUTED_VALUE"""),"Configuración de la VM")</f>
        <v>Configuración de la VM</v>
      </c>
      <c r="G30" s="33"/>
      <c r="H30" s="34"/>
    </row>
    <row r="31" ht="15.75" customHeight="1">
      <c r="A31" s="75">
        <v>4.0</v>
      </c>
      <c r="B31" s="74">
        <f>IFERROR(__xludf.DUMMYFUNCTION("""COMPUTED_VALUE"""),2.0)</f>
        <v>2</v>
      </c>
      <c r="C31" s="34"/>
      <c r="D31" s="74" t="str">
        <f>IFERROR(__xludf.DUMMYFUNCTION("""COMPUTED_VALUE"""),"Inicio y Diagnóstico")</f>
        <v>Inicio y Diagnóstico</v>
      </c>
      <c r="E31" s="34"/>
      <c r="F31" s="74" t="str">
        <f>IFERROR(__xludf.DUMMYFUNCTION("""COMPUTED_VALUE"""),"Requisitos mínimos para la VM")</f>
        <v>Requisitos mínimos para la VM</v>
      </c>
      <c r="G31" s="33"/>
      <c r="H31" s="34"/>
    </row>
    <row r="32" ht="15.75" customHeight="1">
      <c r="A32" s="75">
        <v>5.0</v>
      </c>
      <c r="B32" s="74">
        <f>IFERROR(__xludf.DUMMYFUNCTION("""COMPUTED_VALUE"""),2.0)</f>
        <v>2</v>
      </c>
      <c r="C32" s="34"/>
      <c r="D32" s="74" t="str">
        <f>IFERROR(__xludf.DUMMYFUNCTION("""COMPUTED_VALUE"""),"Inicio y Diagnóstico")</f>
        <v>Inicio y Diagnóstico</v>
      </c>
      <c r="E32" s="34"/>
      <c r="F32" s="74" t="str">
        <f>IFERROR(__xludf.DUMMYFUNCTION("""COMPUTED_VALUE"""),"Uso del DTT en el entorno de desarrollo")</f>
        <v>Uso del DTT en el entorno de desarrollo</v>
      </c>
      <c r="G32" s="33"/>
      <c r="H32" s="34"/>
    </row>
    <row r="33" ht="15.75" customHeight="1">
      <c r="A33" s="75">
        <v>6.0</v>
      </c>
      <c r="B33" s="74">
        <f>IFERROR(__xludf.DUMMYFUNCTION("""COMPUTED_VALUE"""),2.0)</f>
        <v>2</v>
      </c>
      <c r="C33" s="34"/>
      <c r="D33" s="74" t="str">
        <f>IFERROR(__xludf.DUMMYFUNCTION("""COMPUTED_VALUE"""),"Inicio y Diagnóstico")</f>
        <v>Inicio y Diagnóstico</v>
      </c>
      <c r="E33" s="34"/>
      <c r="F33" s="74" t="str">
        <f>IFERROR(__xludf.DUMMYFUNCTION("""COMPUTED_VALUE"""),"Práctica en pareja con VM")</f>
        <v>Práctica en pareja con VM</v>
      </c>
      <c r="G33" s="33"/>
      <c r="H33" s="34"/>
    </row>
    <row r="34" ht="15.75" customHeight="1">
      <c r="A34" s="75">
        <v>7.0</v>
      </c>
      <c r="B34" s="74">
        <f>IFERROR(__xludf.DUMMYFUNCTION("""COMPUTED_VALUE"""),2.0)</f>
        <v>2</v>
      </c>
      <c r="C34" s="34"/>
      <c r="D34" s="74" t="str">
        <f>IFERROR(__xludf.DUMMYFUNCTION("""COMPUTED_VALUE"""),"Inicio y Diagnóstico")</f>
        <v>Inicio y Diagnóstico</v>
      </c>
      <c r="E34" s="34"/>
      <c r="F34" s="74" t="str">
        <f>IFERROR(__xludf.DUMMYFUNCTION("""COMPUTED_VALUE"""),"Resolución de dudas en foros")</f>
        <v>Resolución de dudas en foros</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0.0</v>
      </c>
      <c r="E40" s="33"/>
      <c r="F40" s="33"/>
      <c r="G40" s="33"/>
      <c r="H40" s="34"/>
      <c r="I40" s="75" t="str">
        <f t="shared" si="1"/>
        <v>Correcto</v>
      </c>
    </row>
    <row r="41" ht="15.75" customHeight="1">
      <c r="A41" s="75" t="s">
        <v>235</v>
      </c>
      <c r="B41" s="75" t="s">
        <v>236</v>
      </c>
      <c r="C41" s="75">
        <v>10.0</v>
      </c>
      <c r="D41" s="85">
        <v>10.0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92">
        <f>B50</f>
        <v>35</v>
      </c>
    </row>
    <row r="45" ht="15.75" customHeight="1">
      <c r="G45" s="80" t="s">
        <v>239</v>
      </c>
    </row>
    <row r="46" ht="15.75" customHeight="1">
      <c r="A46" s="80" t="s">
        <v>240</v>
      </c>
    </row>
    <row r="47">
      <c r="A47" s="83" t="s">
        <v>241</v>
      </c>
      <c r="B47" s="82" t="s">
        <v>93</v>
      </c>
      <c r="C47" s="33"/>
      <c r="D47" s="33"/>
      <c r="E47" s="33"/>
      <c r="F47" s="33"/>
      <c r="G47" s="33"/>
      <c r="H47" s="34"/>
    </row>
    <row r="48" ht="15.75" customHeight="1">
      <c r="A48" s="83" t="s">
        <v>8</v>
      </c>
      <c r="B48" s="82" t="s">
        <v>242</v>
      </c>
      <c r="C48" s="33"/>
      <c r="D48" s="33"/>
      <c r="E48" s="33"/>
      <c r="F48" s="33"/>
      <c r="G48" s="33"/>
      <c r="H48" s="34"/>
    </row>
    <row r="49" ht="15.75" customHeight="1">
      <c r="A49" s="83" t="s">
        <v>211</v>
      </c>
      <c r="B49" s="102">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245</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74"/>
      <c r="C58" s="33"/>
      <c r="D58" s="33"/>
      <c r="E58" s="33"/>
      <c r="F58" s="33"/>
      <c r="G58" s="33"/>
      <c r="H58" s="34"/>
    </row>
    <row r="59" ht="15.75" customHeight="1">
      <c r="A59" s="83" t="s">
        <v>8</v>
      </c>
      <c r="B59" s="74"/>
      <c r="C59" s="33"/>
      <c r="D59" s="33"/>
      <c r="E59" s="33"/>
      <c r="F59" s="33"/>
      <c r="G59" s="33"/>
      <c r="H59" s="34"/>
    </row>
    <row r="60" ht="15.75" customHeight="1">
      <c r="A60" s="83" t="s">
        <v>211</v>
      </c>
      <c r="B60" s="102"/>
      <c r="C60" s="33"/>
      <c r="D60" s="33"/>
      <c r="E60" s="33"/>
      <c r="F60" s="33"/>
      <c r="G60" s="33"/>
      <c r="H60" s="34"/>
    </row>
    <row r="61" ht="15.75" customHeight="1">
      <c r="A61" s="83" t="s">
        <v>173</v>
      </c>
      <c r="B61" s="102"/>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92">
        <f>B70</f>
        <v>10</v>
      </c>
    </row>
    <row r="69" ht="15.75" customHeight="1">
      <c r="G69" s="80" t="s">
        <v>249</v>
      </c>
    </row>
    <row r="70" ht="15.75" customHeight="1">
      <c r="A70" s="83" t="s">
        <v>173</v>
      </c>
      <c r="B70" s="109">
        <v>10.0</v>
      </c>
      <c r="C70" s="33"/>
      <c r="D70" s="33"/>
      <c r="E70" s="33"/>
      <c r="F70" s="33"/>
      <c r="G70" s="33"/>
      <c r="H70" s="34"/>
    </row>
    <row r="71" ht="15.75" customHeight="1">
      <c r="A71" s="100" t="s">
        <v>250</v>
      </c>
      <c r="B71" s="33"/>
      <c r="C71" s="33"/>
      <c r="D71" s="33"/>
      <c r="E71" s="33"/>
      <c r="F71" s="33"/>
      <c r="G71" s="33"/>
      <c r="H71" s="34"/>
    </row>
    <row r="72" ht="15.75" customHeight="1">
      <c r="A72" s="95"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3.0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92">
        <f>B13</f>
        <v>5</v>
      </c>
    </row>
    <row r="11" ht="15.75" customHeight="1">
      <c r="G11" s="80" t="s">
        <v>214</v>
      </c>
    </row>
    <row r="12" ht="15.75" customHeight="1">
      <c r="A12" s="83" t="s">
        <v>215</v>
      </c>
      <c r="B12" s="110" t="s">
        <v>253</v>
      </c>
      <c r="C12" s="33"/>
      <c r="D12" s="33"/>
      <c r="E12" s="33"/>
      <c r="F12" s="33"/>
      <c r="G12" s="33"/>
      <c r="H12" s="34"/>
    </row>
    <row r="13" ht="15.75" customHeight="1">
      <c r="A13" s="84" t="s">
        <v>173</v>
      </c>
      <c r="B13" s="85">
        <v>5.0</v>
      </c>
      <c r="C13" s="33"/>
      <c r="D13" s="33"/>
      <c r="E13" s="33"/>
      <c r="F13" s="33"/>
      <c r="G13" s="33"/>
      <c r="H13" s="34"/>
    </row>
    <row r="14" ht="15.75" customHeight="1">
      <c r="A14" s="94" t="s">
        <v>217</v>
      </c>
      <c r="B14" s="33"/>
      <c r="C14" s="33"/>
      <c r="D14" s="33"/>
      <c r="E14" s="33"/>
      <c r="F14" s="33"/>
      <c r="G14" s="33"/>
      <c r="H14" s="34"/>
    </row>
    <row r="15" ht="15.75" customHeight="1">
      <c r="A15" s="95" t="s">
        <v>254</v>
      </c>
      <c r="B15" s="58"/>
      <c r="C15" s="58"/>
      <c r="D15" s="58"/>
      <c r="E15" s="58"/>
      <c r="F15" s="58"/>
      <c r="G15" s="58"/>
      <c r="H15" s="59"/>
    </row>
    <row r="16" ht="15.75" customHeight="1">
      <c r="A16" s="60"/>
      <c r="B16" s="61"/>
      <c r="C16" s="61"/>
      <c r="D16" s="61"/>
      <c r="E16" s="61"/>
      <c r="F16" s="61"/>
      <c r="G16" s="61"/>
      <c r="H16" s="62"/>
    </row>
    <row r="17" ht="15.75" customHeight="1">
      <c r="A17" s="94" t="s">
        <v>219</v>
      </c>
      <c r="B17" s="33"/>
      <c r="C17" s="33"/>
      <c r="D17" s="33"/>
      <c r="E17" s="33"/>
      <c r="F17" s="33"/>
      <c r="G17" s="33"/>
      <c r="H17" s="34"/>
    </row>
    <row r="18" ht="15.75" customHeight="1">
      <c r="A18" s="95" t="s">
        <v>255</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92">
        <f>SUM(D39:H42)</f>
        <v>60</v>
      </c>
      <c r="I21" s="6"/>
    </row>
    <row r="22" ht="15.75" customHeight="1">
      <c r="G22" s="80" t="s">
        <v>222</v>
      </c>
    </row>
    <row r="23" ht="15.75" customHeight="1">
      <c r="A23" s="83" t="s">
        <v>223</v>
      </c>
      <c r="B23" s="82" t="s">
        <v>93</v>
      </c>
      <c r="C23" s="33"/>
      <c r="D23" s="33"/>
      <c r="E23" s="33"/>
      <c r="F23" s="33"/>
      <c r="G23" s="33"/>
      <c r="H23" s="34"/>
    </row>
    <row r="24" ht="15.75" customHeight="1">
      <c r="A24" s="83" t="s">
        <v>223</v>
      </c>
      <c r="B24" s="82" t="s">
        <v>145</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IFERROR(__xludf.DUMMYFUNCTION("FILTER('Diseño'!D:D,'Diseño'!H:H=$C$5)"),3.0)</f>
        <v>3</v>
      </c>
      <c r="C28" s="34"/>
      <c r="D28" s="74" t="str">
        <f>IFERROR(__xludf.DUMMYFUNCTION("FILTER('Diseño'!E:E,'Diseño'!H:H=$C$5)"),"Introducción al Paquete Microsoft Office")</f>
        <v>Introducción al Paquete Microsoft Office</v>
      </c>
      <c r="E28" s="34"/>
      <c r="F28" s="74" t="str">
        <f>IFERROR(__xludf.DUMMYFUNCTION("FILTER('Diseño'!F:F,'Diseño'!H:H=$C$5)"),"Lectura General Microsoft Office")</f>
        <v>Lectura General Microsoft Office</v>
      </c>
      <c r="G28" s="33"/>
      <c r="H28" s="34"/>
    </row>
    <row r="29" ht="15.75" customHeight="1">
      <c r="A29" s="75">
        <v>2.0</v>
      </c>
      <c r="B29" s="74">
        <f>IFERROR(__xludf.DUMMYFUNCTION("""COMPUTED_VALUE"""),3.0)</f>
        <v>3</v>
      </c>
      <c r="C29" s="34"/>
      <c r="D29" s="74" t="str">
        <f>IFERROR(__xludf.DUMMYFUNCTION("""COMPUTED_VALUE"""),"Introducción al Paquete Microsoft Office")</f>
        <v>Introducción al Paquete Microsoft Office</v>
      </c>
      <c r="E29" s="34"/>
      <c r="F29" s="74" t="str">
        <f>IFERROR(__xludf.DUMMYFUNCTION("""COMPUTED_VALUE"""),"Lectura General Microsoft Word")</f>
        <v>Lectura General Microsoft Word</v>
      </c>
      <c r="G29" s="33"/>
      <c r="H29" s="34"/>
    </row>
    <row r="30" ht="15.75" customHeight="1">
      <c r="A30" s="75">
        <v>3.0</v>
      </c>
      <c r="B30" s="74">
        <f>IFERROR(__xludf.DUMMYFUNCTION("""COMPUTED_VALUE"""),3.0)</f>
        <v>3</v>
      </c>
      <c r="C30" s="34"/>
      <c r="D30" s="74" t="str">
        <f>IFERROR(__xludf.DUMMYFUNCTION("""COMPUTED_VALUE"""),"Introducción al Paquete Microsoft Office")</f>
        <v>Introducción al Paquete Microsoft Office</v>
      </c>
      <c r="E30" s="34"/>
      <c r="F30" s="74" t="str">
        <f>IFERROR(__xludf.DUMMYFUNCTION("""COMPUTED_VALUE"""),"Lectura General Microsoft Excel")</f>
        <v>Lectura General Microsoft Excel</v>
      </c>
      <c r="G30" s="33"/>
      <c r="H30" s="34"/>
    </row>
    <row r="31" ht="15.75" customHeight="1">
      <c r="A31" s="75">
        <v>4.0</v>
      </c>
      <c r="B31" s="74">
        <f>IFERROR(__xludf.DUMMYFUNCTION("""COMPUTED_VALUE"""),3.0)</f>
        <v>3</v>
      </c>
      <c r="C31" s="34"/>
      <c r="D31" s="74" t="str">
        <f>IFERROR(__xludf.DUMMYFUNCTION("""COMPUTED_VALUE"""),"Introducción al Paquete Microsoft Office")</f>
        <v>Introducción al Paquete Microsoft Office</v>
      </c>
      <c r="E31" s="34"/>
      <c r="F31" s="74" t="str">
        <f>IFERROR(__xludf.DUMMYFUNCTION("""COMPUTED_VALUE"""),"Lectura General Microsoft Power Point")</f>
        <v>Lectura General Microsoft Power Point</v>
      </c>
      <c r="G31" s="33"/>
      <c r="H31" s="34"/>
    </row>
    <row r="32" ht="15.75" customHeight="1">
      <c r="A32" s="75">
        <v>5.0</v>
      </c>
      <c r="B32" s="74">
        <f>IFERROR(__xludf.DUMMYFUNCTION("""COMPUTED_VALUE"""),3.0)</f>
        <v>3</v>
      </c>
      <c r="C32" s="34"/>
      <c r="D32" s="74" t="str">
        <f>IFERROR(__xludf.DUMMYFUNCTION("""COMPUTED_VALUE"""),"Introducción al Paquete Microsoft Office")</f>
        <v>Introducción al Paquete Microsoft Office</v>
      </c>
      <c r="E32" s="34"/>
      <c r="F32" s="74" t="str">
        <f>IFERROR(__xludf.DUMMYFUNCTION("""COMPUTED_VALUE"""),"Lectura General Microsoft Access")</f>
        <v>Lectura General Microsoft Access</v>
      </c>
      <c r="G32" s="33"/>
      <c r="H32" s="34"/>
    </row>
    <row r="33" ht="15.75" customHeight="1">
      <c r="A33" s="75">
        <v>6.0</v>
      </c>
      <c r="B33" s="74">
        <f>IFERROR(__xludf.DUMMYFUNCTION("""COMPUTED_VALUE"""),3.0)</f>
        <v>3</v>
      </c>
      <c r="C33" s="34"/>
      <c r="D33" s="74" t="str">
        <f>IFERROR(__xludf.DUMMYFUNCTION("""COMPUTED_VALUE"""),"Introducción al Paquete Microsoft Office")</f>
        <v>Introducción al Paquete Microsoft Office</v>
      </c>
      <c r="E33" s="34"/>
      <c r="F33" s="74" t="str">
        <f>IFERROR(__xludf.DUMMYFUNCTION("""COMPUTED_VALUE"""),"Lectura de la práctica única")</f>
        <v>Lectura de la práctica única</v>
      </c>
      <c r="G33" s="33"/>
      <c r="H33" s="34"/>
    </row>
    <row r="34" ht="15.75" customHeight="1">
      <c r="A34" s="75">
        <v>7.0</v>
      </c>
      <c r="B34" s="74">
        <f>IFERROR(__xludf.DUMMYFUNCTION("""COMPUTED_VALUE"""),3.0)</f>
        <v>3</v>
      </c>
      <c r="C34" s="34"/>
      <c r="D34" s="74" t="str">
        <f>IFERROR(__xludf.DUMMYFUNCTION("""COMPUTED_VALUE"""),"Introducción al Paquete Microsoft Office")</f>
        <v>Introducción al Paquete Microsoft Office</v>
      </c>
      <c r="E34" s="34"/>
      <c r="F34" s="74" t="str">
        <f>IFERROR(__xludf.DUMMYFUNCTION("""COMPUTED_VALUE"""),"Preguntas y dudas")</f>
        <v>Preguntas y dudas</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0.0</v>
      </c>
      <c r="E40" s="33"/>
      <c r="F40" s="33"/>
      <c r="G40" s="33"/>
      <c r="H40" s="34"/>
      <c r="I40" s="75" t="str">
        <f t="shared" si="1"/>
        <v>Correcto</v>
      </c>
    </row>
    <row r="41" ht="15.75" customHeight="1">
      <c r="A41" s="75" t="s">
        <v>235</v>
      </c>
      <c r="B41" s="75" t="s">
        <v>236</v>
      </c>
      <c r="C41" s="75">
        <v>10.0</v>
      </c>
      <c r="D41" s="85">
        <v>10.0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92">
        <f>B50</f>
        <v>35</v>
      </c>
    </row>
    <row r="45" ht="15.75" customHeight="1">
      <c r="G45" s="80" t="s">
        <v>239</v>
      </c>
    </row>
    <row r="46" ht="15.75" customHeight="1">
      <c r="A46" s="80" t="s">
        <v>240</v>
      </c>
    </row>
    <row r="47">
      <c r="A47" s="83" t="s">
        <v>241</v>
      </c>
      <c r="B47" s="82" t="s">
        <v>93</v>
      </c>
      <c r="C47" s="33"/>
      <c r="D47" s="33"/>
      <c r="E47" s="33"/>
      <c r="F47" s="33"/>
      <c r="G47" s="33"/>
      <c r="H47" s="34"/>
    </row>
    <row r="48" ht="15.75" customHeight="1">
      <c r="A48" s="83" t="s">
        <v>8</v>
      </c>
      <c r="B48" s="82" t="s">
        <v>256</v>
      </c>
      <c r="C48" s="33"/>
      <c r="D48" s="33"/>
      <c r="E48" s="33"/>
      <c r="F48" s="33"/>
      <c r="G48" s="33"/>
      <c r="H48" s="34"/>
    </row>
    <row r="49" ht="15.75" customHeight="1">
      <c r="A49" s="83" t="s">
        <v>211</v>
      </c>
      <c r="B49" s="102">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245</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74"/>
      <c r="C58" s="33"/>
      <c r="D58" s="33"/>
      <c r="E58" s="33"/>
      <c r="F58" s="33"/>
      <c r="G58" s="33"/>
      <c r="H58" s="34"/>
    </row>
    <row r="59" ht="15.75" customHeight="1">
      <c r="A59" s="83" t="s">
        <v>8</v>
      </c>
      <c r="B59" s="74"/>
      <c r="C59" s="33"/>
      <c r="D59" s="33"/>
      <c r="E59" s="33"/>
      <c r="F59" s="33"/>
      <c r="G59" s="33"/>
      <c r="H59" s="34"/>
    </row>
    <row r="60" ht="15.75" customHeight="1">
      <c r="A60" s="83" t="s">
        <v>211</v>
      </c>
      <c r="B60" s="102"/>
      <c r="C60" s="33"/>
      <c r="D60" s="33"/>
      <c r="E60" s="33"/>
      <c r="F60" s="33"/>
      <c r="G60" s="33"/>
      <c r="H60" s="34"/>
    </row>
    <row r="61" ht="15.75" customHeight="1">
      <c r="A61" s="83" t="s">
        <v>173</v>
      </c>
      <c r="B61" s="102"/>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92">
        <f>B70</f>
        <v>10</v>
      </c>
    </row>
    <row r="69" ht="15.75" customHeight="1">
      <c r="G69" s="80" t="s">
        <v>249</v>
      </c>
    </row>
    <row r="70" ht="15.75" customHeight="1">
      <c r="A70" s="83" t="s">
        <v>173</v>
      </c>
      <c r="B70" s="109">
        <v>10.0</v>
      </c>
      <c r="C70" s="33"/>
      <c r="D70" s="33"/>
      <c r="E70" s="33"/>
      <c r="F70" s="33"/>
      <c r="G70" s="33"/>
      <c r="H70" s="34"/>
    </row>
    <row r="71" ht="15.75" customHeight="1">
      <c r="A71" s="100" t="s">
        <v>250</v>
      </c>
      <c r="B71" s="33"/>
      <c r="C71" s="33"/>
      <c r="D71" s="33"/>
      <c r="E71" s="33"/>
      <c r="F71" s="33"/>
      <c r="G71" s="33"/>
      <c r="H71" s="34"/>
    </row>
    <row r="72" ht="15.75" customHeight="1">
      <c r="A72" s="95"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4.0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92">
        <f>B13</f>
        <v>5</v>
      </c>
    </row>
    <row r="11" ht="15.75" customHeight="1">
      <c r="G11" s="80" t="s">
        <v>214</v>
      </c>
    </row>
    <row r="12" ht="15.75" customHeight="1">
      <c r="A12" s="81" t="s">
        <v>215</v>
      </c>
      <c r="B12" s="82" t="s">
        <v>257</v>
      </c>
      <c r="C12" s="33"/>
      <c r="D12" s="33"/>
      <c r="E12" s="33"/>
      <c r="F12" s="33"/>
      <c r="G12" s="33"/>
      <c r="H12" s="34"/>
    </row>
    <row r="13" ht="15.75" customHeight="1">
      <c r="A13" s="111" t="s">
        <v>173</v>
      </c>
      <c r="B13" s="93">
        <v>5.0</v>
      </c>
      <c r="C13" s="33"/>
      <c r="D13" s="33"/>
      <c r="E13" s="33"/>
      <c r="F13" s="33"/>
      <c r="G13" s="33"/>
      <c r="H13" s="34"/>
    </row>
    <row r="14" ht="15.75" customHeight="1">
      <c r="A14" s="112" t="s">
        <v>217</v>
      </c>
      <c r="B14" s="33"/>
      <c r="C14" s="33"/>
      <c r="D14" s="33"/>
      <c r="E14" s="33"/>
      <c r="F14" s="33"/>
      <c r="G14" s="33"/>
      <c r="H14" s="34"/>
    </row>
    <row r="15" ht="15.75" customHeight="1">
      <c r="A15" s="95" t="s">
        <v>258</v>
      </c>
      <c r="B15" s="58"/>
      <c r="C15" s="58"/>
      <c r="D15" s="58"/>
      <c r="E15" s="58"/>
      <c r="F15" s="58"/>
      <c r="G15" s="58"/>
      <c r="H15" s="59"/>
    </row>
    <row r="16" ht="15.75" customHeight="1">
      <c r="A16" s="60"/>
      <c r="B16" s="61"/>
      <c r="C16" s="61"/>
      <c r="D16" s="61"/>
      <c r="E16" s="61"/>
      <c r="F16" s="61"/>
      <c r="G16" s="61"/>
      <c r="H16" s="62"/>
    </row>
    <row r="17" ht="15.75" customHeight="1">
      <c r="A17" s="112" t="s">
        <v>219</v>
      </c>
      <c r="B17" s="33"/>
      <c r="C17" s="33"/>
      <c r="D17" s="33"/>
      <c r="E17" s="33"/>
      <c r="F17" s="33"/>
      <c r="G17" s="33"/>
      <c r="H17" s="34"/>
    </row>
    <row r="18" ht="15.75" customHeight="1">
      <c r="A18" s="95" t="s">
        <v>259</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92">
        <f>SUM(D39:H42)</f>
        <v>60</v>
      </c>
      <c r="I21" s="6"/>
    </row>
    <row r="22" ht="15.75" customHeight="1">
      <c r="G22" s="80" t="s">
        <v>222</v>
      </c>
    </row>
    <row r="23" ht="15.75" customHeight="1">
      <c r="A23" s="83" t="s">
        <v>223</v>
      </c>
      <c r="B23" s="82" t="s">
        <v>93</v>
      </c>
      <c r="C23" s="33"/>
      <c r="D23" s="33"/>
      <c r="E23" s="33"/>
      <c r="F23" s="33"/>
      <c r="G23" s="33"/>
      <c r="H23" s="34"/>
    </row>
    <row r="24" ht="15.75" customHeight="1">
      <c r="A24" s="83" t="s">
        <v>223</v>
      </c>
      <c r="B24" s="82" t="s">
        <v>145</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IFERROR(__xludf.DUMMYFUNCTION("FILTER('Diseño'!D:D,'Diseño'!H:H=$C$5)"),4.0)</f>
        <v>4</v>
      </c>
      <c r="C28" s="34"/>
      <c r="D28" s="74" t="str">
        <f>IFERROR(__xludf.DUMMYFUNCTION("FILTER('Diseño'!E:E,'Diseño'!H:H=$C$5)"),"Herramientas de Excel")</f>
        <v>Herramientas de Excel</v>
      </c>
      <c r="E28" s="34"/>
      <c r="F28" s="74" t="str">
        <f>IFERROR(__xludf.DUMMYFUNCTION("FILTER('Diseño'!F:F,'Diseño'!H:H=$C$5)"),"Manipulación de celdas")</f>
        <v>Manipulación de celdas</v>
      </c>
      <c r="G28" s="33"/>
      <c r="H28" s="34"/>
    </row>
    <row r="29" ht="15.75" customHeight="1">
      <c r="A29" s="75">
        <v>2.0</v>
      </c>
      <c r="B29" s="74">
        <f>IFERROR(__xludf.DUMMYFUNCTION("""COMPUTED_VALUE"""),4.0)</f>
        <v>4</v>
      </c>
      <c r="C29" s="34"/>
      <c r="D29" s="74" t="str">
        <f>IFERROR(__xludf.DUMMYFUNCTION("""COMPUTED_VALUE"""),"Herramientas de Excel")</f>
        <v>Herramientas de Excel</v>
      </c>
      <c r="E29" s="34"/>
      <c r="F29" s="74" t="str">
        <f>IFERROR(__xludf.DUMMYFUNCTION("""COMPUTED_VALUE"""),"Fórmulas")</f>
        <v>Fórmulas</v>
      </c>
      <c r="G29" s="33"/>
      <c r="H29" s="34"/>
    </row>
    <row r="30" ht="15.75" customHeight="1">
      <c r="A30" s="75">
        <v>3.0</v>
      </c>
      <c r="B30" s="74">
        <f>IFERROR(__xludf.DUMMYFUNCTION("""COMPUTED_VALUE"""),4.0)</f>
        <v>4</v>
      </c>
      <c r="C30" s="34"/>
      <c r="D30" s="74" t="str">
        <f>IFERROR(__xludf.DUMMYFUNCTION("""COMPUTED_VALUE"""),"Herramientas de Excel")</f>
        <v>Herramientas de Excel</v>
      </c>
      <c r="E30" s="34"/>
      <c r="F30" s="74" t="str">
        <f>IFERROR(__xludf.DUMMYFUNCTION("""COMPUTED_VALUE"""),"Funciones")</f>
        <v>Funciones</v>
      </c>
      <c r="G30" s="33"/>
      <c r="H30" s="34"/>
    </row>
    <row r="31" ht="15.75" customHeight="1">
      <c r="A31" s="75">
        <v>4.0</v>
      </c>
      <c r="B31" s="74">
        <f>IFERROR(__xludf.DUMMYFUNCTION("""COMPUTED_VALUE"""),4.0)</f>
        <v>4</v>
      </c>
      <c r="C31" s="34"/>
      <c r="D31" s="74" t="str">
        <f>IFERROR(__xludf.DUMMYFUNCTION("""COMPUTED_VALUE"""),"Herramientas de Excel")</f>
        <v>Herramientas de Excel</v>
      </c>
      <c r="E31" s="34"/>
      <c r="F31" s="74" t="str">
        <f>IFERROR(__xludf.DUMMYFUNCTION("""COMPUTED_VALUE"""),"Creación de gráficos")</f>
        <v>Creación de gráficos</v>
      </c>
      <c r="G31" s="33"/>
      <c r="H31" s="34"/>
    </row>
    <row r="32" ht="15.75" customHeight="1">
      <c r="A32" s="75">
        <v>5.0</v>
      </c>
      <c r="B32" s="74">
        <f>IFERROR(__xludf.DUMMYFUNCTION("""COMPUTED_VALUE"""),4.0)</f>
        <v>4</v>
      </c>
      <c r="C32" s="34"/>
      <c r="D32" s="74" t="str">
        <f>IFERROR(__xludf.DUMMYFUNCTION("""COMPUTED_VALUE"""),"Herramientas de Excel")</f>
        <v>Herramientas de Excel</v>
      </c>
      <c r="E32" s="34"/>
      <c r="F32" s="74" t="str">
        <f>IFERROR(__xludf.DUMMYFUNCTION("""COMPUTED_VALUE"""),"Análisis de datos en Excel")</f>
        <v>Análisis de datos en Excel</v>
      </c>
      <c r="G32" s="33"/>
      <c r="H32" s="34"/>
    </row>
    <row r="33" ht="15.75" customHeight="1">
      <c r="A33" s="75">
        <v>6.0</v>
      </c>
      <c r="B33" s="74">
        <f>IFERROR(__xludf.DUMMYFUNCTION("""COMPUTED_VALUE"""),4.0)</f>
        <v>4</v>
      </c>
      <c r="C33" s="34"/>
      <c r="D33" s="74" t="str">
        <f>IFERROR(__xludf.DUMMYFUNCTION("""COMPUTED_VALUE"""),"Herramientas de Excel")</f>
        <v>Herramientas de Excel</v>
      </c>
      <c r="E33" s="34"/>
      <c r="F33" s="74" t="str">
        <f>IFERROR(__xludf.DUMMYFUNCTION("""COMPUTED_VALUE"""),"Uso de tablas dinámicas")</f>
        <v>Uso de tablas dinámicas</v>
      </c>
      <c r="G33" s="33"/>
      <c r="H33" s="34"/>
    </row>
    <row r="34" ht="15.75" customHeight="1">
      <c r="A34" s="75">
        <v>7.0</v>
      </c>
      <c r="B34" s="74">
        <f>IFERROR(__xludf.DUMMYFUNCTION("""COMPUTED_VALUE"""),4.0)</f>
        <v>4</v>
      </c>
      <c r="C34" s="34"/>
      <c r="D34" s="74" t="str">
        <f>IFERROR(__xludf.DUMMYFUNCTION("""COMPUTED_VALUE"""),"Herramientas de Excel")</f>
        <v>Herramientas de Excel</v>
      </c>
      <c r="E34" s="34"/>
      <c r="F34" s="74" t="str">
        <f>IFERROR(__xludf.DUMMYFUNCTION("""COMPUTED_VALUE"""),"Ejemplos prácticos")</f>
        <v>Ejemplos prácticos</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0.0</v>
      </c>
      <c r="E40" s="33"/>
      <c r="F40" s="33"/>
      <c r="G40" s="33"/>
      <c r="H40" s="34"/>
      <c r="I40" s="75" t="str">
        <f t="shared" si="1"/>
        <v>Correcto</v>
      </c>
    </row>
    <row r="41" ht="15.75" customHeight="1">
      <c r="A41" s="75" t="s">
        <v>235</v>
      </c>
      <c r="B41" s="75" t="s">
        <v>236</v>
      </c>
      <c r="C41" s="75">
        <v>10.0</v>
      </c>
      <c r="D41" s="85">
        <v>10.0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92">
        <f>B50</f>
        <v>35</v>
      </c>
    </row>
    <row r="45" ht="15.75" customHeight="1">
      <c r="G45" s="80" t="s">
        <v>239</v>
      </c>
    </row>
    <row r="46" ht="15.75" customHeight="1">
      <c r="A46" s="80" t="s">
        <v>240</v>
      </c>
    </row>
    <row r="47">
      <c r="A47" s="83" t="s">
        <v>241</v>
      </c>
      <c r="B47" s="82" t="s">
        <v>93</v>
      </c>
      <c r="C47" s="33"/>
      <c r="D47" s="33"/>
      <c r="E47" s="33"/>
      <c r="F47" s="33"/>
      <c r="G47" s="33"/>
      <c r="H47" s="34"/>
    </row>
    <row r="48" ht="15.75" customHeight="1">
      <c r="A48" s="83" t="s">
        <v>8</v>
      </c>
      <c r="B48" s="36" t="s">
        <v>256</v>
      </c>
      <c r="C48" s="33"/>
      <c r="D48" s="33"/>
      <c r="E48" s="33"/>
      <c r="F48" s="33"/>
      <c r="G48" s="33"/>
      <c r="H48" s="34"/>
    </row>
    <row r="49" ht="15.75" customHeight="1">
      <c r="A49" s="83" t="s">
        <v>211</v>
      </c>
      <c r="B49" s="113">
        <v>0.0</v>
      </c>
      <c r="C49" s="33"/>
      <c r="D49" s="33"/>
      <c r="E49" s="33"/>
      <c r="F49" s="33"/>
      <c r="G49" s="33"/>
      <c r="H49" s="34"/>
    </row>
    <row r="50" ht="15.75" customHeight="1">
      <c r="A50" s="83" t="s">
        <v>173</v>
      </c>
      <c r="B50" s="93">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245</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74"/>
      <c r="C58" s="33"/>
      <c r="D58" s="33"/>
      <c r="E58" s="33"/>
      <c r="F58" s="33"/>
      <c r="G58" s="33"/>
      <c r="H58" s="34"/>
    </row>
    <row r="59" ht="15.75" customHeight="1">
      <c r="A59" s="83" t="s">
        <v>8</v>
      </c>
      <c r="B59" s="74"/>
      <c r="C59" s="33"/>
      <c r="D59" s="33"/>
      <c r="E59" s="33"/>
      <c r="F59" s="33"/>
      <c r="G59" s="33"/>
      <c r="H59" s="34"/>
    </row>
    <row r="60" ht="15.75" customHeight="1">
      <c r="A60" s="83" t="s">
        <v>211</v>
      </c>
      <c r="B60" s="102"/>
      <c r="C60" s="33"/>
      <c r="D60" s="33"/>
      <c r="E60" s="33"/>
      <c r="F60" s="33"/>
      <c r="G60" s="33"/>
      <c r="H60" s="34"/>
    </row>
    <row r="61" ht="15.75" customHeight="1">
      <c r="A61" s="83" t="s">
        <v>173</v>
      </c>
      <c r="B61" s="102"/>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92">
        <f>B70</f>
        <v>10</v>
      </c>
    </row>
    <row r="69" ht="15.75" customHeight="1">
      <c r="G69" s="80" t="s">
        <v>249</v>
      </c>
    </row>
    <row r="70" ht="15.75" customHeight="1">
      <c r="A70" s="83" t="s">
        <v>173</v>
      </c>
      <c r="B70" s="109">
        <v>10.0</v>
      </c>
      <c r="C70" s="33"/>
      <c r="D70" s="33"/>
      <c r="E70" s="33"/>
      <c r="F70" s="33"/>
      <c r="G70" s="33"/>
      <c r="H70" s="34"/>
    </row>
    <row r="71" ht="15.75" customHeight="1">
      <c r="A71" s="100" t="s">
        <v>250</v>
      </c>
      <c r="B71" s="33"/>
      <c r="C71" s="33"/>
      <c r="D71" s="33"/>
      <c r="E71" s="33"/>
      <c r="F71" s="33"/>
      <c r="G71" s="33"/>
      <c r="H71" s="34"/>
    </row>
    <row r="72" ht="15.75" customHeight="1">
      <c r="A72" s="57"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B47">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5.0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92">
        <f>B13</f>
        <v>5</v>
      </c>
    </row>
    <row r="11" ht="15.75" customHeight="1">
      <c r="G11" s="80" t="s">
        <v>214</v>
      </c>
    </row>
    <row r="12" ht="15.75" customHeight="1">
      <c r="A12" s="81" t="s">
        <v>215</v>
      </c>
      <c r="B12" s="82" t="s">
        <v>257</v>
      </c>
      <c r="C12" s="33"/>
      <c r="D12" s="33"/>
      <c r="E12" s="33"/>
      <c r="F12" s="33"/>
      <c r="G12" s="33"/>
      <c r="H12" s="34"/>
    </row>
    <row r="13" ht="15.75" customHeight="1">
      <c r="A13" s="111" t="s">
        <v>173</v>
      </c>
      <c r="B13" s="93">
        <v>5.0</v>
      </c>
      <c r="C13" s="33"/>
      <c r="D13" s="33"/>
      <c r="E13" s="33"/>
      <c r="F13" s="33"/>
      <c r="G13" s="33"/>
      <c r="H13" s="34"/>
    </row>
    <row r="14" ht="15.75" customHeight="1">
      <c r="A14" s="112" t="s">
        <v>217</v>
      </c>
      <c r="B14" s="33"/>
      <c r="C14" s="33"/>
      <c r="D14" s="33"/>
      <c r="E14" s="33"/>
      <c r="F14" s="33"/>
      <c r="G14" s="33"/>
      <c r="H14" s="34"/>
    </row>
    <row r="15" ht="15.75" customHeight="1">
      <c r="A15" s="95" t="s">
        <v>258</v>
      </c>
      <c r="B15" s="58"/>
      <c r="C15" s="58"/>
      <c r="D15" s="58"/>
      <c r="E15" s="58"/>
      <c r="F15" s="58"/>
      <c r="G15" s="58"/>
      <c r="H15" s="59"/>
    </row>
    <row r="16" ht="15.75" customHeight="1">
      <c r="A16" s="60"/>
      <c r="B16" s="61"/>
      <c r="C16" s="61"/>
      <c r="D16" s="61"/>
      <c r="E16" s="61"/>
      <c r="F16" s="61"/>
      <c r="G16" s="61"/>
      <c r="H16" s="62"/>
    </row>
    <row r="17" ht="15.75" customHeight="1">
      <c r="A17" s="112" t="s">
        <v>219</v>
      </c>
      <c r="B17" s="33"/>
      <c r="C17" s="33"/>
      <c r="D17" s="33"/>
      <c r="E17" s="33"/>
      <c r="F17" s="33"/>
      <c r="G17" s="33"/>
      <c r="H17" s="34"/>
    </row>
    <row r="18" ht="15.75" customHeight="1">
      <c r="A18" s="95" t="s">
        <v>259</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92">
        <f>SUM(D39:H42)</f>
        <v>60</v>
      </c>
      <c r="I21" s="6"/>
    </row>
    <row r="22" ht="15.75" customHeight="1">
      <c r="G22" s="80" t="s">
        <v>222</v>
      </c>
    </row>
    <row r="23" ht="15.75" customHeight="1">
      <c r="A23" s="83" t="s">
        <v>223</v>
      </c>
      <c r="B23" s="82" t="s">
        <v>93</v>
      </c>
      <c r="C23" s="33"/>
      <c r="D23" s="33"/>
      <c r="E23" s="33"/>
      <c r="F23" s="33"/>
      <c r="G23" s="33"/>
      <c r="H23" s="34"/>
    </row>
    <row r="24" ht="15.75" customHeight="1">
      <c r="A24" s="83" t="s">
        <v>223</v>
      </c>
      <c r="B24" s="82" t="s">
        <v>110</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IFERROR(__xludf.DUMMYFUNCTION("FILTER('Diseño'!D:D,'Diseño'!H:H=$C$5)"),5.0)</f>
        <v>5</v>
      </c>
      <c r="C28" s="34"/>
      <c r="D28" s="74" t="str">
        <f>IFERROR(__xludf.DUMMYFUNCTION("FILTER('Diseño'!E:E,'Diseño'!H:H=$C$5)"),"Integración de formularios y tablas en VBA")</f>
        <v>Integración de formularios y tablas en VBA</v>
      </c>
      <c r="E28" s="34"/>
      <c r="F28" s="74" t="str">
        <f>IFERROR(__xludf.DUMMYFUNCTION("FILTER('Diseño'!F:F,'Diseño'!H:H=$C$5)"),"Importar y Exportar Excel con macros")</f>
        <v>Importar y Exportar Excel con macros</v>
      </c>
      <c r="G28" s="33"/>
      <c r="H28" s="34"/>
    </row>
    <row r="29" ht="15.75" customHeight="1">
      <c r="A29" s="75">
        <v>2.0</v>
      </c>
      <c r="B29" s="74">
        <f>IFERROR(__xludf.DUMMYFUNCTION("""COMPUTED_VALUE"""),5.0)</f>
        <v>5</v>
      </c>
      <c r="C29" s="34"/>
      <c r="D29" s="74" t="str">
        <f>IFERROR(__xludf.DUMMYFUNCTION("""COMPUTED_VALUE"""),"Integración de formularios y tablas en VBA")</f>
        <v>Integración de formularios y tablas en VBA</v>
      </c>
      <c r="E29" s="34"/>
      <c r="F29" s="74" t="str">
        <f>IFERROR(__xludf.DUMMYFUNCTION("""COMPUTED_VALUE"""),"Función de programador en Excel")</f>
        <v>Función de programador en Excel</v>
      </c>
      <c r="G29" s="33"/>
      <c r="H29" s="34"/>
    </row>
    <row r="30" ht="15.75" customHeight="1">
      <c r="A30" s="75">
        <v>3.0</v>
      </c>
      <c r="B30" s="74">
        <f>IFERROR(__xludf.DUMMYFUNCTION("""COMPUTED_VALUE"""),5.0)</f>
        <v>5</v>
      </c>
      <c r="C30" s="34"/>
      <c r="D30" s="74" t="str">
        <f>IFERROR(__xludf.DUMMYFUNCTION("""COMPUTED_VALUE"""),"Integración de formularios y tablas en VBA")</f>
        <v>Integración de formularios y tablas en VBA</v>
      </c>
      <c r="E30" s="34"/>
      <c r="F30" s="74" t="str">
        <f>IFERROR(__xludf.DUMMYFUNCTION("""COMPUTED_VALUE"""),"Formularios en Excel con VBA")</f>
        <v>Formularios en Excel con VBA</v>
      </c>
      <c r="G30" s="33"/>
      <c r="H30" s="34"/>
    </row>
    <row r="31" ht="15.75" customHeight="1">
      <c r="A31" s="75">
        <v>4.0</v>
      </c>
      <c r="B31" s="74">
        <f>IFERROR(__xludf.DUMMYFUNCTION("""COMPUTED_VALUE"""),5.0)</f>
        <v>5</v>
      </c>
      <c r="C31" s="34"/>
      <c r="D31" s="74" t="str">
        <f>IFERROR(__xludf.DUMMYFUNCTION("""COMPUTED_VALUE"""),"Integración de formularios y tablas en VBA")</f>
        <v>Integración de formularios y tablas en VBA</v>
      </c>
      <c r="E31" s="34"/>
      <c r="F31" s="74" t="str">
        <f>IFERROR(__xludf.DUMMYFUNCTION("""COMPUTED_VALUE"""),"Creación de macros en Excel")</f>
        <v>Creación de macros en Excel</v>
      </c>
      <c r="G31" s="33"/>
      <c r="H31" s="34"/>
    </row>
    <row r="32" ht="15.75" customHeight="1">
      <c r="A32" s="75">
        <v>5.0</v>
      </c>
      <c r="B32" s="74">
        <f>IFERROR(__xludf.DUMMYFUNCTION("""COMPUTED_VALUE"""),5.0)</f>
        <v>5</v>
      </c>
      <c r="C32" s="34"/>
      <c r="D32" s="74" t="str">
        <f>IFERROR(__xludf.DUMMYFUNCTION("""COMPUTED_VALUE"""),"Integración de formularios y tablas en VBA")</f>
        <v>Integración de formularios y tablas en VBA</v>
      </c>
      <c r="E32" s="34"/>
      <c r="F32" s="74" t="str">
        <f>IFERROR(__xludf.DUMMYFUNCTION("""COMPUTED_VALUE"""),"Automatización con macros")</f>
        <v>Automatización con macros</v>
      </c>
      <c r="G32" s="33"/>
      <c r="H32" s="34"/>
    </row>
    <row r="33" ht="15.75" customHeight="1">
      <c r="A33" s="75">
        <v>6.0</v>
      </c>
      <c r="B33" s="74">
        <f>IFERROR(__xludf.DUMMYFUNCTION("""COMPUTED_VALUE"""),5.0)</f>
        <v>5</v>
      </c>
      <c r="C33" s="34"/>
      <c r="D33" s="74" t="str">
        <f>IFERROR(__xludf.DUMMYFUNCTION("""COMPUTED_VALUE"""),"Integración de formularios y tablas en VBA")</f>
        <v>Integración de formularios y tablas en VBA</v>
      </c>
      <c r="E33" s="34"/>
      <c r="F33" s="74" t="str">
        <f>IFERROR(__xludf.DUMMYFUNCTION("""COMPUTED_VALUE"""),"Asignar macros a controles en Excel")</f>
        <v>Asignar macros a controles en Excel</v>
      </c>
      <c r="G33" s="33"/>
      <c r="H33" s="34"/>
    </row>
    <row r="34" ht="15.75" customHeight="1">
      <c r="A34" s="75">
        <v>7.0</v>
      </c>
      <c r="B34" s="74">
        <f>IFERROR(__xludf.DUMMYFUNCTION("""COMPUTED_VALUE"""),5.0)</f>
        <v>5</v>
      </c>
      <c r="C34" s="34"/>
      <c r="D34" s="74" t="str">
        <f>IFERROR(__xludf.DUMMYFUNCTION("""COMPUTED_VALUE"""),"Integración de formularios y tablas en VBA")</f>
        <v>Integración de formularios y tablas en VBA</v>
      </c>
      <c r="E34" s="34"/>
      <c r="F34" s="74" t="str">
        <f>IFERROR(__xludf.DUMMYFUNCTION("""COMPUTED_VALUE"""),"Ejemplos prácticos de formularios")</f>
        <v>Ejemplos prácticos de formularios</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0.0</v>
      </c>
      <c r="E40" s="33"/>
      <c r="F40" s="33"/>
      <c r="G40" s="33"/>
      <c r="H40" s="34"/>
      <c r="I40" s="75" t="str">
        <f t="shared" si="1"/>
        <v>Correcto</v>
      </c>
    </row>
    <row r="41" ht="15.75" customHeight="1">
      <c r="A41" s="75" t="s">
        <v>235</v>
      </c>
      <c r="B41" s="75" t="s">
        <v>236</v>
      </c>
      <c r="C41" s="75">
        <v>10.0</v>
      </c>
      <c r="D41" s="85">
        <v>10.0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92">
        <f>B50</f>
        <v>35</v>
      </c>
    </row>
    <row r="45" ht="15.75" customHeight="1">
      <c r="G45" s="80" t="s">
        <v>239</v>
      </c>
    </row>
    <row r="46" ht="15.75" customHeight="1">
      <c r="A46" s="80" t="s">
        <v>240</v>
      </c>
    </row>
    <row r="47">
      <c r="A47" s="83" t="s">
        <v>241</v>
      </c>
      <c r="B47" s="85" t="s">
        <v>93</v>
      </c>
      <c r="C47" s="33"/>
      <c r="D47" s="33"/>
      <c r="E47" s="33"/>
      <c r="F47" s="33"/>
      <c r="G47" s="33"/>
      <c r="H47" s="34"/>
    </row>
    <row r="48" ht="15.75" customHeight="1">
      <c r="A48" s="83" t="s">
        <v>8</v>
      </c>
      <c r="B48" s="85" t="s">
        <v>256</v>
      </c>
      <c r="C48" s="33"/>
      <c r="D48" s="33"/>
      <c r="E48" s="33"/>
      <c r="F48" s="33"/>
      <c r="G48" s="33"/>
      <c r="H48" s="34"/>
    </row>
    <row r="49" ht="15.75" customHeight="1">
      <c r="A49" s="83" t="s">
        <v>211</v>
      </c>
      <c r="B49" s="102">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245</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74"/>
      <c r="C58" s="33"/>
      <c r="D58" s="33"/>
      <c r="E58" s="33"/>
      <c r="F58" s="33"/>
      <c r="G58" s="33"/>
      <c r="H58" s="34"/>
    </row>
    <row r="59" ht="15.75" customHeight="1">
      <c r="A59" s="83" t="s">
        <v>8</v>
      </c>
      <c r="B59" s="74"/>
      <c r="C59" s="33"/>
      <c r="D59" s="33"/>
      <c r="E59" s="33"/>
      <c r="F59" s="33"/>
      <c r="G59" s="33"/>
      <c r="H59" s="34"/>
    </row>
    <row r="60" ht="15.75" customHeight="1">
      <c r="A60" s="83" t="s">
        <v>211</v>
      </c>
      <c r="B60" s="102"/>
      <c r="C60" s="33"/>
      <c r="D60" s="33"/>
      <c r="E60" s="33"/>
      <c r="F60" s="33"/>
      <c r="G60" s="33"/>
      <c r="H60" s="34"/>
    </row>
    <row r="61" ht="15.75" customHeight="1">
      <c r="A61" s="83" t="s">
        <v>173</v>
      </c>
      <c r="B61" s="102"/>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92">
        <f>B70</f>
        <v>10</v>
      </c>
    </row>
    <row r="69" ht="15.75" customHeight="1">
      <c r="G69" s="80" t="s">
        <v>249</v>
      </c>
    </row>
    <row r="70" ht="15.75" customHeight="1">
      <c r="A70" s="83" t="s">
        <v>173</v>
      </c>
      <c r="B70" s="109">
        <v>10.0</v>
      </c>
      <c r="C70" s="33"/>
      <c r="D70" s="33"/>
      <c r="E70" s="33"/>
      <c r="F70" s="33"/>
      <c r="G70" s="33"/>
      <c r="H70" s="34"/>
    </row>
    <row r="71" ht="15.75" customHeight="1">
      <c r="A71" s="100" t="s">
        <v>250</v>
      </c>
      <c r="B71" s="33"/>
      <c r="C71" s="33"/>
      <c r="D71" s="33"/>
      <c r="E71" s="33"/>
      <c r="F71" s="33"/>
      <c r="G71" s="33"/>
      <c r="H71" s="34"/>
    </row>
    <row r="72" ht="15.75" customHeight="1">
      <c r="A72" s="57"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6.0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92">
        <f>B13</f>
        <v>5</v>
      </c>
    </row>
    <row r="11" ht="15.75" customHeight="1">
      <c r="G11" s="80" t="s">
        <v>214</v>
      </c>
    </row>
    <row r="12" ht="15.75" customHeight="1">
      <c r="A12" s="81" t="s">
        <v>215</v>
      </c>
      <c r="B12" s="82" t="s">
        <v>260</v>
      </c>
      <c r="C12" s="33"/>
      <c r="D12" s="33"/>
      <c r="E12" s="33"/>
      <c r="F12" s="33"/>
      <c r="G12" s="33"/>
      <c r="H12" s="34"/>
    </row>
    <row r="13" ht="15.75" customHeight="1">
      <c r="A13" s="111" t="s">
        <v>173</v>
      </c>
      <c r="B13" s="93">
        <v>5.0</v>
      </c>
      <c r="C13" s="33"/>
      <c r="D13" s="33"/>
      <c r="E13" s="33"/>
      <c r="F13" s="33"/>
      <c r="G13" s="33"/>
      <c r="H13" s="34"/>
    </row>
    <row r="14" ht="15.75" customHeight="1">
      <c r="A14" s="112" t="s">
        <v>217</v>
      </c>
      <c r="B14" s="33"/>
      <c r="C14" s="33"/>
      <c r="D14" s="33"/>
      <c r="E14" s="33"/>
      <c r="F14" s="33"/>
      <c r="G14" s="33"/>
      <c r="H14" s="34"/>
    </row>
    <row r="15" ht="15.75" customHeight="1">
      <c r="A15" s="95" t="s">
        <v>261</v>
      </c>
      <c r="B15" s="58"/>
      <c r="C15" s="58"/>
      <c r="D15" s="58"/>
      <c r="E15" s="58"/>
      <c r="F15" s="58"/>
      <c r="G15" s="58"/>
      <c r="H15" s="59"/>
    </row>
    <row r="16" ht="15.75" customHeight="1">
      <c r="A16" s="60"/>
      <c r="B16" s="61"/>
      <c r="C16" s="61"/>
      <c r="D16" s="61"/>
      <c r="E16" s="61"/>
      <c r="F16" s="61"/>
      <c r="G16" s="61"/>
      <c r="H16" s="62"/>
    </row>
    <row r="17" ht="15.75" customHeight="1">
      <c r="A17" s="112" t="s">
        <v>219</v>
      </c>
      <c r="B17" s="33"/>
      <c r="C17" s="33"/>
      <c r="D17" s="33"/>
      <c r="E17" s="33"/>
      <c r="F17" s="33"/>
      <c r="G17" s="33"/>
      <c r="H17" s="34"/>
    </row>
    <row r="18" ht="15.75" customHeight="1">
      <c r="A18" s="95" t="s">
        <v>262</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92">
        <f>SUM(D39:H42)</f>
        <v>60</v>
      </c>
      <c r="I21" s="6"/>
    </row>
    <row r="22" ht="15.75" customHeight="1">
      <c r="G22" s="80" t="s">
        <v>222</v>
      </c>
    </row>
    <row r="23" ht="15.75" customHeight="1">
      <c r="A23" s="83" t="s">
        <v>223</v>
      </c>
      <c r="B23" s="82" t="s">
        <v>120</v>
      </c>
      <c r="C23" s="33"/>
      <c r="D23" s="33"/>
      <c r="E23" s="33"/>
      <c r="F23" s="33"/>
      <c r="G23" s="33"/>
      <c r="H23" s="34"/>
    </row>
    <row r="24" ht="15.75" customHeight="1">
      <c r="A24" s="83" t="s">
        <v>223</v>
      </c>
      <c r="B24" s="82" t="s">
        <v>80</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IFERROR(__xludf.DUMMYFUNCTION("FILTER('Diseño'!D:D,'Diseño'!H:H=$C$5)"),6.0)</f>
        <v>6</v>
      </c>
      <c r="C28" s="34"/>
      <c r="D28" s="74" t="str">
        <f>IFERROR(__xludf.DUMMYFUNCTION("FILTER('Diseño'!E:E,'Diseño'!H:H=$C$5)"),"Diseño de Bases de Datos")</f>
        <v>Diseño de Bases de Datos</v>
      </c>
      <c r="E28" s="34"/>
      <c r="F28" s="74" t="str">
        <f>IFERROR(__xludf.DUMMYFUNCTION("FILTER('Diseño'!F:F,'Diseño'!H:H=$C$5)"),"¿Qué es un diagrama ER?")</f>
        <v>¿Qué es un diagrama ER?</v>
      </c>
      <c r="G28" s="33"/>
      <c r="H28" s="34"/>
    </row>
    <row r="29" ht="15.75" customHeight="1">
      <c r="A29" s="75">
        <v>2.0</v>
      </c>
      <c r="B29" s="74">
        <f>IFERROR(__xludf.DUMMYFUNCTION("""COMPUTED_VALUE"""),6.0)</f>
        <v>6</v>
      </c>
      <c r="C29" s="34"/>
      <c r="D29" s="74" t="str">
        <f>IFERROR(__xludf.DUMMYFUNCTION("""COMPUTED_VALUE"""),"Diseño de Bases de Datos")</f>
        <v>Diseño de Bases de Datos</v>
      </c>
      <c r="E29" s="34"/>
      <c r="F29" s="74" t="str">
        <f>IFERROR(__xludf.DUMMYFUNCTION("""COMPUTED_VALUE"""),"Propósito de los diagramas ER")</f>
        <v>Propósito de los diagramas ER</v>
      </c>
      <c r="G29" s="33"/>
      <c r="H29" s="34"/>
    </row>
    <row r="30" ht="15.75" customHeight="1">
      <c r="A30" s="75">
        <v>3.0</v>
      </c>
      <c r="B30" s="74">
        <f>IFERROR(__xludf.DUMMYFUNCTION("""COMPUTED_VALUE"""),6.0)</f>
        <v>6</v>
      </c>
      <c r="C30" s="34"/>
      <c r="D30" s="74" t="str">
        <f>IFERROR(__xludf.DUMMYFUNCTION("""COMPUTED_VALUE"""),"Diseño de Bases de Datos")</f>
        <v>Diseño de Bases de Datos</v>
      </c>
      <c r="E30" s="34"/>
      <c r="F30" s="74" t="str">
        <f>IFERROR(__xludf.DUMMYFUNCTION("""COMPUTED_VALUE"""),"Entidades y atributos")</f>
        <v>Entidades y atributos</v>
      </c>
      <c r="G30" s="33"/>
      <c r="H30" s="34"/>
    </row>
    <row r="31" ht="15.75" customHeight="1">
      <c r="A31" s="75">
        <v>4.0</v>
      </c>
      <c r="B31" s="74">
        <f>IFERROR(__xludf.DUMMYFUNCTION("""COMPUTED_VALUE"""),6.0)</f>
        <v>6</v>
      </c>
      <c r="C31" s="34"/>
      <c r="D31" s="74" t="str">
        <f>IFERROR(__xludf.DUMMYFUNCTION("""COMPUTED_VALUE"""),"Diseño de Bases de Datos")</f>
        <v>Diseño de Bases de Datos</v>
      </c>
      <c r="E31" s="34"/>
      <c r="F31" s="74" t="str">
        <f>IFERROR(__xludf.DUMMYFUNCTION("""COMPUTED_VALUE"""),"Relaciones entre entidades")</f>
        <v>Relaciones entre entidades</v>
      </c>
      <c r="G31" s="33"/>
      <c r="H31" s="34"/>
    </row>
    <row r="32" ht="15.75" customHeight="1">
      <c r="A32" s="75">
        <v>5.0</v>
      </c>
      <c r="B32" s="74">
        <f>IFERROR(__xludf.DUMMYFUNCTION("""COMPUTED_VALUE"""),6.0)</f>
        <v>6</v>
      </c>
      <c r="C32" s="34"/>
      <c r="D32" s="74" t="str">
        <f>IFERROR(__xludf.DUMMYFUNCTION("""COMPUTED_VALUE"""),"Diseño de Bases de Datos")</f>
        <v>Diseño de Bases de Datos</v>
      </c>
      <c r="E32" s="34"/>
      <c r="F32" s="74" t="str">
        <f>IFERROR(__xludf.DUMMYFUNCTION("""COMPUTED_VALUE"""),"Cardinalidad de las relaciones")</f>
        <v>Cardinalidad de las relaciones</v>
      </c>
      <c r="G32" s="33"/>
      <c r="H32" s="34"/>
    </row>
    <row r="33" ht="15.75" customHeight="1">
      <c r="A33" s="75">
        <v>6.0</v>
      </c>
      <c r="B33" s="74">
        <f>IFERROR(__xludf.DUMMYFUNCTION("""COMPUTED_VALUE"""),6.0)</f>
        <v>6</v>
      </c>
      <c r="C33" s="34"/>
      <c r="D33" s="74" t="str">
        <f>IFERROR(__xludf.DUMMYFUNCTION("""COMPUTED_VALUE"""),"Diseño de Bases de Datos")</f>
        <v>Diseño de Bases de Datos</v>
      </c>
      <c r="E33" s="34"/>
      <c r="F33" s="74" t="str">
        <f>IFERROR(__xludf.DUMMYFUNCTION("""COMPUTED_VALUE"""),"Tipos de relaciones (uno a uno, uno a muchos, etc.)")</f>
        <v>Tipos de relaciones (uno a uno, uno a muchos, etc.)</v>
      </c>
      <c r="G33" s="33"/>
      <c r="H33" s="34"/>
    </row>
    <row r="34" ht="15.75" customHeight="1">
      <c r="A34" s="75">
        <v>7.0</v>
      </c>
      <c r="B34" s="74">
        <f>IFERROR(__xludf.DUMMYFUNCTION("""COMPUTED_VALUE"""),6.0)</f>
        <v>6</v>
      </c>
      <c r="C34" s="34"/>
      <c r="D34" s="74" t="str">
        <f>IFERROR(__xludf.DUMMYFUNCTION("""COMPUTED_VALUE"""),"Diseño de Bases de Datos")</f>
        <v>Diseño de Bases de Datos</v>
      </c>
      <c r="E34" s="34"/>
      <c r="F34" s="74" t="str">
        <f>IFERROR(__xludf.DUMMYFUNCTION("""COMPUTED_VALUE"""),"Ejemplo práctico de un diagrama ER")</f>
        <v>Ejemplo práctico de un diagrama ER</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0.0</v>
      </c>
      <c r="E40" s="33"/>
      <c r="F40" s="33"/>
      <c r="G40" s="33"/>
      <c r="H40" s="34"/>
      <c r="I40" s="75" t="str">
        <f t="shared" si="1"/>
        <v>Correcto</v>
      </c>
    </row>
    <row r="41" ht="15.75" customHeight="1">
      <c r="A41" s="75" t="s">
        <v>235</v>
      </c>
      <c r="B41" s="75" t="s">
        <v>236</v>
      </c>
      <c r="C41" s="75">
        <v>10.0</v>
      </c>
      <c r="D41" s="85">
        <v>10.0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92">
        <f>B50</f>
        <v>35</v>
      </c>
    </row>
    <row r="45" ht="15.75" customHeight="1">
      <c r="G45" s="80" t="s">
        <v>239</v>
      </c>
    </row>
    <row r="46" ht="15.75" customHeight="1">
      <c r="A46" s="80" t="s">
        <v>240</v>
      </c>
    </row>
    <row r="47">
      <c r="A47" s="83" t="s">
        <v>241</v>
      </c>
      <c r="B47" s="85" t="s">
        <v>120</v>
      </c>
      <c r="C47" s="33"/>
      <c r="D47" s="33"/>
      <c r="E47" s="33"/>
      <c r="F47" s="33"/>
      <c r="G47" s="33"/>
      <c r="H47" s="34"/>
    </row>
    <row r="48" ht="15.75" customHeight="1">
      <c r="A48" s="83" t="s">
        <v>8</v>
      </c>
      <c r="B48" s="85" t="s">
        <v>256</v>
      </c>
      <c r="C48" s="33"/>
      <c r="D48" s="33"/>
      <c r="E48" s="33"/>
      <c r="F48" s="33"/>
      <c r="G48" s="33"/>
      <c r="H48" s="34"/>
    </row>
    <row r="49" ht="15.75" customHeight="1">
      <c r="A49" s="83" t="s">
        <v>211</v>
      </c>
      <c r="B49" s="102">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245</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74"/>
      <c r="C58" s="33"/>
      <c r="D58" s="33"/>
      <c r="E58" s="33"/>
      <c r="F58" s="33"/>
      <c r="G58" s="33"/>
      <c r="H58" s="34"/>
    </row>
    <row r="59" ht="15.75" customHeight="1">
      <c r="A59" s="83" t="s">
        <v>8</v>
      </c>
      <c r="B59" s="74"/>
      <c r="C59" s="33"/>
      <c r="D59" s="33"/>
      <c r="E59" s="33"/>
      <c r="F59" s="33"/>
      <c r="G59" s="33"/>
      <c r="H59" s="34"/>
    </row>
    <row r="60" ht="15.75" customHeight="1">
      <c r="A60" s="83" t="s">
        <v>211</v>
      </c>
      <c r="B60" s="102"/>
      <c r="C60" s="33"/>
      <c r="D60" s="33"/>
      <c r="E60" s="33"/>
      <c r="F60" s="33"/>
      <c r="G60" s="33"/>
      <c r="H60" s="34"/>
    </row>
    <row r="61" ht="15.75" customHeight="1">
      <c r="A61" s="83" t="s">
        <v>173</v>
      </c>
      <c r="B61" s="102"/>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92">
        <f>B70</f>
        <v>10</v>
      </c>
    </row>
    <row r="69" ht="15.75" customHeight="1">
      <c r="G69" s="80" t="s">
        <v>249</v>
      </c>
    </row>
    <row r="70" ht="15.75" customHeight="1">
      <c r="A70" s="83" t="s">
        <v>173</v>
      </c>
      <c r="B70" s="109">
        <v>10.0</v>
      </c>
      <c r="C70" s="33"/>
      <c r="D70" s="33"/>
      <c r="E70" s="33"/>
      <c r="F70" s="33"/>
      <c r="G70" s="33"/>
      <c r="H70" s="34"/>
    </row>
    <row r="71" ht="15.75" customHeight="1">
      <c r="A71" s="100" t="s">
        <v>250</v>
      </c>
      <c r="B71" s="33"/>
      <c r="C71" s="33"/>
      <c r="D71" s="33"/>
      <c r="E71" s="33"/>
      <c r="F71" s="33"/>
      <c r="G71" s="33"/>
      <c r="H71" s="34"/>
    </row>
    <row r="72" ht="15.75" customHeight="1">
      <c r="A72" s="57"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23:B24">
      <formula1>#REF!</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7.0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92">
        <f>B13</f>
        <v>5</v>
      </c>
    </row>
    <row r="11" ht="15.75" customHeight="1">
      <c r="G11" s="80" t="s">
        <v>214</v>
      </c>
    </row>
    <row r="12" ht="15.75" customHeight="1">
      <c r="A12" s="83" t="s">
        <v>215</v>
      </c>
      <c r="B12" s="82" t="s">
        <v>260</v>
      </c>
      <c r="C12" s="33"/>
      <c r="D12" s="33"/>
      <c r="E12" s="33"/>
      <c r="F12" s="33"/>
      <c r="G12" s="33"/>
      <c r="H12" s="34"/>
    </row>
    <row r="13" ht="15.75" customHeight="1">
      <c r="A13" s="84" t="s">
        <v>173</v>
      </c>
      <c r="B13" s="85">
        <v>5.0</v>
      </c>
      <c r="C13" s="33"/>
      <c r="D13" s="33"/>
      <c r="E13" s="33"/>
      <c r="F13" s="33"/>
      <c r="G13" s="33"/>
      <c r="H13" s="34"/>
    </row>
    <row r="14" ht="15.75" customHeight="1">
      <c r="A14" s="94" t="s">
        <v>217</v>
      </c>
      <c r="B14" s="33"/>
      <c r="C14" s="33"/>
      <c r="D14" s="33"/>
      <c r="E14" s="33"/>
      <c r="F14" s="33"/>
      <c r="G14" s="33"/>
      <c r="H14" s="34"/>
    </row>
    <row r="15" ht="15.75" customHeight="1">
      <c r="A15" s="95" t="s">
        <v>261</v>
      </c>
      <c r="B15" s="58"/>
      <c r="C15" s="58"/>
      <c r="D15" s="58"/>
      <c r="E15" s="58"/>
      <c r="F15" s="58"/>
      <c r="G15" s="58"/>
      <c r="H15" s="59"/>
    </row>
    <row r="16" ht="15.75" customHeight="1">
      <c r="A16" s="60"/>
      <c r="B16" s="61"/>
      <c r="C16" s="61"/>
      <c r="D16" s="61"/>
      <c r="E16" s="61"/>
      <c r="F16" s="61"/>
      <c r="G16" s="61"/>
      <c r="H16" s="62"/>
    </row>
    <row r="17" ht="15.75" customHeight="1">
      <c r="A17" s="94" t="s">
        <v>219</v>
      </c>
      <c r="B17" s="33"/>
      <c r="C17" s="33"/>
      <c r="D17" s="33"/>
      <c r="E17" s="33"/>
      <c r="F17" s="33"/>
      <c r="G17" s="33"/>
      <c r="H17" s="34"/>
    </row>
    <row r="18" ht="15.75" customHeight="1">
      <c r="A18" s="95" t="s">
        <v>262</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114">
        <v>60.0</v>
      </c>
      <c r="I21" s="6"/>
    </row>
    <row r="22" ht="15.75" customHeight="1">
      <c r="G22" s="80" t="s">
        <v>222</v>
      </c>
    </row>
    <row r="23" ht="15.75" customHeight="1">
      <c r="A23" s="83" t="s">
        <v>223</v>
      </c>
      <c r="B23" s="85" t="s">
        <v>120</v>
      </c>
      <c r="C23" s="33"/>
      <c r="D23" s="33"/>
      <c r="E23" s="33"/>
      <c r="F23" s="33"/>
      <c r="G23" s="33"/>
      <c r="H23" s="34"/>
    </row>
    <row r="24" ht="15.75" customHeight="1">
      <c r="A24" s="83" t="s">
        <v>223</v>
      </c>
      <c r="B24" s="85" t="s">
        <v>88</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IFERROR(__xludf.DUMMYFUNCTION("FILTER('Diseño'!D:D,'Diseño'!H:H=$C$5)"),7.0)</f>
        <v>7</v>
      </c>
      <c r="C28" s="34"/>
      <c r="D28" s="74" t="str">
        <f>IFERROR(__xludf.DUMMYFUNCTION("FILTER('Diseño'!E:E,'Diseño'!H:H=$C$5)"),"Introducción a SQL")</f>
        <v>Introducción a SQL</v>
      </c>
      <c r="E28" s="34"/>
      <c r="F28" s="74" t="str">
        <f>IFERROR(__xludf.DUMMYFUNCTION("FILTER('Diseño'!F:F,'Diseño'!H:H=$C$5)"),"Qué es una sentencia de SQL")</f>
        <v>Qué es una sentencia de SQL</v>
      </c>
      <c r="G28" s="33"/>
      <c r="H28" s="34"/>
    </row>
    <row r="29" ht="15.75" customHeight="1">
      <c r="A29" s="75">
        <v>2.0</v>
      </c>
      <c r="B29" s="74">
        <f>IFERROR(__xludf.DUMMYFUNCTION("""COMPUTED_VALUE"""),7.0)</f>
        <v>7</v>
      </c>
      <c r="C29" s="34"/>
      <c r="D29" s="74" t="str">
        <f>IFERROR(__xludf.DUMMYFUNCTION("""COMPUTED_VALUE"""),"Introducción a SQL")</f>
        <v>Introducción a SQL</v>
      </c>
      <c r="E29" s="34"/>
      <c r="F29" s="74" t="str">
        <f>IFERROR(__xludf.DUMMYFUNCTION("""COMPUTED_VALUE"""),"Cuáles categorías se divide las sentencias")</f>
        <v>Cuáles categorías se divide las sentencias</v>
      </c>
      <c r="G29" s="33"/>
      <c r="H29" s="34"/>
    </row>
    <row r="30" ht="15.75" customHeight="1">
      <c r="A30" s="75">
        <v>3.0</v>
      </c>
      <c r="B30" s="74">
        <f>IFERROR(__xludf.DUMMYFUNCTION("""COMPUTED_VALUE"""),7.0)</f>
        <v>7</v>
      </c>
      <c r="C30" s="34"/>
      <c r="D30" s="74" t="str">
        <f>IFERROR(__xludf.DUMMYFUNCTION("""COMPUTED_VALUE"""),"Introducción a SQL")</f>
        <v>Introducción a SQL</v>
      </c>
      <c r="E30" s="34"/>
      <c r="F30" s="74" t="str">
        <f>IFERROR(__xludf.DUMMYFUNCTION("""COMPUTED_VALUE"""),"Lectura de SQL General")</f>
        <v>Lectura de SQL General</v>
      </c>
      <c r="G30" s="33"/>
      <c r="H30" s="34"/>
    </row>
    <row r="31" ht="15.75" customHeight="1">
      <c r="A31" s="75">
        <v>4.0</v>
      </c>
      <c r="B31" s="74">
        <f>IFERROR(__xludf.DUMMYFUNCTION("""COMPUTED_VALUE"""),7.0)</f>
        <v>7</v>
      </c>
      <c r="C31" s="34"/>
      <c r="D31" s="74" t="str">
        <f>IFERROR(__xludf.DUMMYFUNCTION("""COMPUTED_VALUE"""),"Introducción a SQL")</f>
        <v>Introducción a SQL</v>
      </c>
      <c r="E31" s="34"/>
      <c r="F31" s="74" t="str">
        <f>IFERROR(__xludf.DUMMYFUNCTION("""COMPUTED_VALUE"""),"Ejemplos de sentencias DDL")</f>
        <v>Ejemplos de sentencias DDL</v>
      </c>
      <c r="G31" s="33"/>
      <c r="H31" s="34"/>
    </row>
    <row r="32" ht="15.75" customHeight="1">
      <c r="A32" s="75">
        <v>5.0</v>
      </c>
      <c r="B32" s="74">
        <f>IFERROR(__xludf.DUMMYFUNCTION("""COMPUTED_VALUE"""),7.0)</f>
        <v>7</v>
      </c>
      <c r="C32" s="34"/>
      <c r="D32" s="74" t="str">
        <f>IFERROR(__xludf.DUMMYFUNCTION("""COMPUTED_VALUE"""),"Introducción a SQL")</f>
        <v>Introducción a SQL</v>
      </c>
      <c r="E32" s="34"/>
      <c r="F32" s="74" t="str">
        <f>IFERROR(__xludf.DUMMYFUNCTION("""COMPUTED_VALUE"""),"Ejemplos de sentencias DML")</f>
        <v>Ejemplos de sentencias DML</v>
      </c>
      <c r="G32" s="33"/>
      <c r="H32" s="34"/>
    </row>
    <row r="33" ht="15.75" customHeight="1">
      <c r="A33" s="75">
        <v>6.0</v>
      </c>
      <c r="B33" s="74">
        <f>IFERROR(__xludf.DUMMYFUNCTION("""COMPUTED_VALUE"""),7.0)</f>
        <v>7</v>
      </c>
      <c r="C33" s="34"/>
      <c r="D33" s="74" t="str">
        <f>IFERROR(__xludf.DUMMYFUNCTION("""COMPUTED_VALUE"""),"Introducción a SQL")</f>
        <v>Introducción a SQL</v>
      </c>
      <c r="E33" s="34"/>
      <c r="F33" s="74" t="str">
        <f>IFERROR(__xludf.DUMMYFUNCTION("""COMPUTED_VALUE"""),"Estructuras de las sentencias")</f>
        <v>Estructuras de las sentencias</v>
      </c>
      <c r="G33" s="33"/>
      <c r="H33" s="34"/>
    </row>
    <row r="34" ht="15.75" customHeight="1">
      <c r="A34" s="75">
        <v>7.0</v>
      </c>
      <c r="B34" s="74">
        <f>IFERROR(__xludf.DUMMYFUNCTION("""COMPUTED_VALUE"""),7.0)</f>
        <v>7</v>
      </c>
      <c r="C34" s="34"/>
      <c r="D34" s="74" t="str">
        <f>IFERROR(__xludf.DUMMYFUNCTION("""COMPUTED_VALUE"""),"Introducción a SQL")</f>
        <v>Introducción a SQL</v>
      </c>
      <c r="E34" s="34"/>
      <c r="F34" s="74" t="str">
        <f>IFERROR(__xludf.DUMMYFUNCTION("""COMPUTED_VALUE"""),"Ejemplo práctico de una base de datos basado en el ER")</f>
        <v>Ejemplo práctico de una base de datos basado en el ER</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6.0</v>
      </c>
      <c r="E40" s="33"/>
      <c r="F40" s="33"/>
      <c r="G40" s="33"/>
      <c r="H40" s="34"/>
      <c r="I40" s="75" t="str">
        <f t="shared" si="1"/>
        <v>Correcto</v>
      </c>
    </row>
    <row r="41" ht="15.75" customHeight="1">
      <c r="A41" s="75" t="s">
        <v>235</v>
      </c>
      <c r="B41" s="75" t="s">
        <v>236</v>
      </c>
      <c r="C41" s="75">
        <v>10.0</v>
      </c>
      <c r="D41" s="85">
        <v>5.0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114">
        <v>35.0</v>
      </c>
    </row>
    <row r="45" ht="15.75" customHeight="1">
      <c r="G45" s="80" t="s">
        <v>239</v>
      </c>
    </row>
    <row r="46" ht="15.75" customHeight="1">
      <c r="A46" s="80" t="s">
        <v>240</v>
      </c>
    </row>
    <row r="47">
      <c r="A47" s="83" t="s">
        <v>241</v>
      </c>
      <c r="B47" s="85" t="s">
        <v>120</v>
      </c>
      <c r="C47" s="33"/>
      <c r="D47" s="33"/>
      <c r="E47" s="33"/>
      <c r="F47" s="33"/>
      <c r="G47" s="33"/>
      <c r="H47" s="34"/>
    </row>
    <row r="48" ht="15.75" customHeight="1">
      <c r="A48" s="83" t="s">
        <v>8</v>
      </c>
      <c r="B48" s="85" t="s">
        <v>242</v>
      </c>
      <c r="C48" s="33"/>
      <c r="D48" s="33"/>
      <c r="E48" s="33"/>
      <c r="F48" s="33"/>
      <c r="G48" s="33"/>
      <c r="H48" s="34"/>
    </row>
    <row r="49" ht="15.75" customHeight="1">
      <c r="A49" s="83" t="s">
        <v>211</v>
      </c>
      <c r="B49" s="102">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263</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74"/>
      <c r="C58" s="33"/>
      <c r="D58" s="33"/>
      <c r="E58" s="33"/>
      <c r="F58" s="33"/>
      <c r="G58" s="33"/>
      <c r="H58" s="34"/>
    </row>
    <row r="59" ht="15.75" customHeight="1">
      <c r="A59" s="83" t="s">
        <v>8</v>
      </c>
      <c r="B59" s="74"/>
      <c r="C59" s="33"/>
      <c r="D59" s="33"/>
      <c r="E59" s="33"/>
      <c r="F59" s="33"/>
      <c r="G59" s="33"/>
      <c r="H59" s="34"/>
    </row>
    <row r="60" ht="15.75" customHeight="1">
      <c r="A60" s="83" t="s">
        <v>211</v>
      </c>
      <c r="B60" s="102"/>
      <c r="C60" s="33"/>
      <c r="D60" s="33"/>
      <c r="E60" s="33"/>
      <c r="F60" s="33"/>
      <c r="G60" s="33"/>
      <c r="H60" s="34"/>
    </row>
    <row r="61" ht="15.75" customHeight="1">
      <c r="A61" s="83" t="s">
        <v>173</v>
      </c>
      <c r="B61" s="102"/>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114">
        <v>10.0</v>
      </c>
    </row>
    <row r="69" ht="15.75" customHeight="1">
      <c r="G69" s="80" t="s">
        <v>249</v>
      </c>
    </row>
    <row r="70" ht="15.75" customHeight="1">
      <c r="A70" s="83" t="s">
        <v>173</v>
      </c>
      <c r="B70" s="102"/>
      <c r="C70" s="33"/>
      <c r="D70" s="33"/>
      <c r="E70" s="33"/>
      <c r="F70" s="33"/>
      <c r="G70" s="33"/>
      <c r="H70" s="34"/>
    </row>
    <row r="71" ht="15.75" customHeight="1">
      <c r="A71" s="100" t="s">
        <v>250</v>
      </c>
      <c r="B71" s="33"/>
      <c r="C71" s="33"/>
      <c r="D71" s="33"/>
      <c r="E71" s="33"/>
      <c r="F71" s="33"/>
      <c r="G71" s="33"/>
      <c r="H71" s="34"/>
    </row>
    <row r="72" ht="15.75" customHeight="1">
      <c r="A72" s="95"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8.0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114">
        <v>5.0</v>
      </c>
    </row>
    <row r="11" ht="15.75" customHeight="1">
      <c r="G11" s="80" t="s">
        <v>214</v>
      </c>
    </row>
    <row r="12" ht="15.75" customHeight="1">
      <c r="A12" s="83" t="s">
        <v>215</v>
      </c>
      <c r="B12" s="85" t="s">
        <v>253</v>
      </c>
      <c r="C12" s="33"/>
      <c r="D12" s="33"/>
      <c r="E12" s="33"/>
      <c r="F12" s="33"/>
      <c r="G12" s="33"/>
      <c r="H12" s="34"/>
    </row>
    <row r="13" ht="15.75" customHeight="1">
      <c r="A13" s="84" t="s">
        <v>173</v>
      </c>
      <c r="B13" s="85">
        <v>5.0</v>
      </c>
      <c r="C13" s="33"/>
      <c r="D13" s="33"/>
      <c r="E13" s="33"/>
      <c r="F13" s="33"/>
      <c r="G13" s="33"/>
      <c r="H13" s="34"/>
    </row>
    <row r="14" ht="15.75" customHeight="1">
      <c r="A14" s="94" t="s">
        <v>217</v>
      </c>
      <c r="B14" s="33"/>
      <c r="C14" s="33"/>
      <c r="D14" s="33"/>
      <c r="E14" s="33"/>
      <c r="F14" s="33"/>
      <c r="G14" s="33"/>
      <c r="H14" s="34"/>
    </row>
    <row r="15" ht="15.75" customHeight="1">
      <c r="A15" s="104" t="s">
        <v>264</v>
      </c>
      <c r="B15" s="58"/>
      <c r="C15" s="58"/>
      <c r="D15" s="58"/>
      <c r="E15" s="58"/>
      <c r="F15" s="58"/>
      <c r="G15" s="58"/>
      <c r="H15" s="59"/>
    </row>
    <row r="16" ht="15.75" customHeight="1">
      <c r="A16" s="60"/>
      <c r="B16" s="61"/>
      <c r="C16" s="61"/>
      <c r="D16" s="61"/>
      <c r="E16" s="61"/>
      <c r="F16" s="61"/>
      <c r="G16" s="61"/>
      <c r="H16" s="62"/>
    </row>
    <row r="17" ht="15.75" customHeight="1">
      <c r="A17" s="94" t="s">
        <v>219</v>
      </c>
      <c r="B17" s="33"/>
      <c r="C17" s="33"/>
      <c r="D17" s="33"/>
      <c r="E17" s="33"/>
      <c r="F17" s="33"/>
      <c r="G17" s="33"/>
      <c r="H17" s="34"/>
    </row>
    <row r="18" ht="15.75" customHeight="1">
      <c r="A18" s="95" t="s">
        <v>265</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114">
        <v>60.0</v>
      </c>
      <c r="I21" s="6"/>
    </row>
    <row r="22" ht="15.75" customHeight="1">
      <c r="G22" s="80" t="s">
        <v>222</v>
      </c>
    </row>
    <row r="23" ht="15.75" customHeight="1">
      <c r="A23" s="83" t="s">
        <v>223</v>
      </c>
      <c r="B23" s="85" t="s">
        <v>93</v>
      </c>
      <c r="C23" s="33"/>
      <c r="D23" s="33"/>
      <c r="E23" s="33"/>
      <c r="F23" s="33"/>
      <c r="G23" s="33"/>
      <c r="H23" s="34"/>
    </row>
    <row r="24" ht="15.75" customHeight="1">
      <c r="A24" s="83" t="s">
        <v>223</v>
      </c>
      <c r="B24" s="85" t="s">
        <v>120</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IFERROR(__xludf.DUMMYFUNCTION("FILTER('Diseño'!D:D,'Diseño'!H:H=$C$5)"),8.0)</f>
        <v>8</v>
      </c>
      <c r="C28" s="34"/>
      <c r="D28" s="74" t="str">
        <f>IFERROR(__xludf.DUMMYFUNCTION("FILTER('Diseño'!E:E,'Diseño'!H:H=$C$5)"),"Implementación en Access")</f>
        <v>Implementación en Access</v>
      </c>
      <c r="E28" s="34"/>
      <c r="F28" s="74" t="str">
        <f>IFERROR(__xludf.DUMMYFUNCTION("FILTER('Diseño'!F:F,'Diseño'!H:H=$C$5)"),"Importancia de diagramas ER")</f>
        <v>Importancia de diagramas ER</v>
      </c>
      <c r="G28" s="33"/>
      <c r="H28" s="34"/>
    </row>
    <row r="29" ht="15.75" customHeight="1">
      <c r="A29" s="75">
        <v>2.0</v>
      </c>
      <c r="B29" s="74">
        <f>IFERROR(__xludf.DUMMYFUNCTION("""COMPUTED_VALUE"""),8.0)</f>
        <v>8</v>
      </c>
      <c r="C29" s="34"/>
      <c r="D29" s="74" t="str">
        <f>IFERROR(__xludf.DUMMYFUNCTION("""COMPUTED_VALUE"""),"Implementación en Access")</f>
        <v>Implementación en Access</v>
      </c>
      <c r="E29" s="34"/>
      <c r="F29" s="74" t="str">
        <f>IFERROR(__xludf.DUMMYFUNCTION("""COMPUTED_VALUE"""),"Creación de tablas")</f>
        <v>Creación de tablas</v>
      </c>
      <c r="G29" s="33"/>
      <c r="H29" s="34"/>
    </row>
    <row r="30" ht="15.75" customHeight="1">
      <c r="A30" s="75">
        <v>3.0</v>
      </c>
      <c r="B30" s="74">
        <f>IFERROR(__xludf.DUMMYFUNCTION("""COMPUTED_VALUE"""),8.0)</f>
        <v>8</v>
      </c>
      <c r="C30" s="34"/>
      <c r="D30" s="74" t="str">
        <f>IFERROR(__xludf.DUMMYFUNCTION("""COMPUTED_VALUE"""),"Implementación en Access")</f>
        <v>Implementación en Access</v>
      </c>
      <c r="E30" s="34"/>
      <c r="F30" s="74" t="str">
        <f>IFERROR(__xludf.DUMMYFUNCTION("""COMPUTED_VALUE"""),"Definición de campos y tipos de datos")</f>
        <v>Definición de campos y tipos de datos</v>
      </c>
      <c r="G30" s="33"/>
      <c r="H30" s="34"/>
    </row>
    <row r="31" ht="15.75" customHeight="1">
      <c r="A31" s="75">
        <v>4.0</v>
      </c>
      <c r="B31" s="74">
        <f>IFERROR(__xludf.DUMMYFUNCTION("""COMPUTED_VALUE"""),8.0)</f>
        <v>8</v>
      </c>
      <c r="C31" s="34"/>
      <c r="D31" s="74" t="str">
        <f>IFERROR(__xludf.DUMMYFUNCTION("""COMPUTED_VALUE"""),"Implementación en Access")</f>
        <v>Implementación en Access</v>
      </c>
      <c r="E31" s="34"/>
      <c r="F31" s="74" t="str">
        <f>IFERROR(__xludf.DUMMYFUNCTION("""COMPUTED_VALUE"""),"Relaciones entre tablas")</f>
        <v>Relaciones entre tablas</v>
      </c>
      <c r="G31" s="33"/>
      <c r="H31" s="34"/>
    </row>
    <row r="32" ht="15.75" customHeight="1">
      <c r="A32" s="75">
        <v>5.0</v>
      </c>
      <c r="B32" s="74">
        <f>IFERROR(__xludf.DUMMYFUNCTION("""COMPUTED_VALUE"""),8.0)</f>
        <v>8</v>
      </c>
      <c r="C32" s="34"/>
      <c r="D32" s="74" t="str">
        <f>IFERROR(__xludf.DUMMYFUNCTION("""COMPUTED_VALUE"""),"Implementación en Access")</f>
        <v>Implementación en Access</v>
      </c>
      <c r="E32" s="34"/>
      <c r="F32" s="74" t="str">
        <f>IFERROR(__xludf.DUMMYFUNCTION("""COMPUTED_VALUE"""),"Definición de consultas en Access")</f>
        <v>Definición de consultas en Access</v>
      </c>
      <c r="G32" s="33"/>
      <c r="H32" s="34"/>
    </row>
    <row r="33" ht="15.75" customHeight="1">
      <c r="A33" s="75">
        <v>6.0</v>
      </c>
      <c r="B33" s="74">
        <f>IFERROR(__xludf.DUMMYFUNCTION("""COMPUTED_VALUE"""),8.0)</f>
        <v>8</v>
      </c>
      <c r="C33" s="34"/>
      <c r="D33" s="74" t="str">
        <f>IFERROR(__xludf.DUMMYFUNCTION("""COMPUTED_VALUE"""),"Implementación en Access")</f>
        <v>Implementación en Access</v>
      </c>
      <c r="E33" s="34"/>
      <c r="F33" s="74" t="str">
        <f>IFERROR(__xludf.DUMMYFUNCTION("""COMPUTED_VALUE"""),"Formularios en Access")</f>
        <v>Formularios en Access</v>
      </c>
      <c r="G33" s="33"/>
      <c r="H33" s="34"/>
    </row>
    <row r="34" ht="15.75" customHeight="1">
      <c r="A34" s="75">
        <v>7.0</v>
      </c>
      <c r="B34" s="74">
        <f>IFERROR(__xludf.DUMMYFUNCTION("""COMPUTED_VALUE"""),8.0)</f>
        <v>8</v>
      </c>
      <c r="C34" s="34"/>
      <c r="D34" s="74" t="str">
        <f>IFERROR(__xludf.DUMMYFUNCTION("""COMPUTED_VALUE"""),"Implementación en Access")</f>
        <v>Implementación en Access</v>
      </c>
      <c r="E34" s="34"/>
      <c r="F34" s="74" t="str">
        <f>IFERROR(__xludf.DUMMYFUNCTION("""COMPUTED_VALUE"""),"Lectura del proyecto único")</f>
        <v>Lectura del proyecto único</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6.0</v>
      </c>
      <c r="E40" s="33"/>
      <c r="F40" s="33"/>
      <c r="G40" s="33"/>
      <c r="H40" s="34"/>
      <c r="I40" s="75" t="str">
        <f t="shared" si="1"/>
        <v>Correcto</v>
      </c>
    </row>
    <row r="41" ht="15.75" customHeight="1">
      <c r="A41" s="75" t="s">
        <v>235</v>
      </c>
      <c r="B41" s="75" t="s">
        <v>236</v>
      </c>
      <c r="C41" s="75">
        <v>10.0</v>
      </c>
      <c r="D41" s="85">
        <v>5.0</v>
      </c>
      <c r="E41" s="33"/>
      <c r="F41" s="33"/>
      <c r="G41" s="33"/>
      <c r="H41" s="34"/>
      <c r="I41" s="75" t="str">
        <f t="shared" si="1"/>
        <v>Correcto</v>
      </c>
    </row>
    <row r="42" ht="15.75" customHeight="1">
      <c r="A42" s="75" t="s">
        <v>237</v>
      </c>
      <c r="B42" s="75" t="s">
        <v>233</v>
      </c>
      <c r="C42" s="75">
        <v>30.0</v>
      </c>
      <c r="D42" s="85">
        <v>30.0</v>
      </c>
      <c r="E42" s="33"/>
      <c r="F42" s="33"/>
      <c r="G42" s="33"/>
      <c r="H42" s="34"/>
      <c r="I42" s="75" t="str">
        <f t="shared" si="1"/>
        <v>Correcto</v>
      </c>
    </row>
    <row r="43" ht="15.75" customHeight="1"/>
    <row r="44" ht="15.75" customHeight="1">
      <c r="A44" s="91" t="s">
        <v>238</v>
      </c>
      <c r="G44" s="87" t="s">
        <v>173</v>
      </c>
      <c r="H44" s="114">
        <v>35.0</v>
      </c>
    </row>
    <row r="45" ht="15.75" customHeight="1">
      <c r="G45" s="80" t="s">
        <v>239</v>
      </c>
    </row>
    <row r="46" ht="15.75" customHeight="1">
      <c r="A46" s="80" t="s">
        <v>240</v>
      </c>
    </row>
    <row r="47">
      <c r="A47" s="83" t="s">
        <v>241</v>
      </c>
      <c r="B47" s="85" t="s">
        <v>88</v>
      </c>
      <c r="C47" s="33"/>
      <c r="D47" s="33"/>
      <c r="E47" s="33"/>
      <c r="F47" s="33"/>
      <c r="G47" s="33"/>
      <c r="H47" s="34"/>
    </row>
    <row r="48" ht="15.75" customHeight="1">
      <c r="A48" s="83" t="s">
        <v>8</v>
      </c>
      <c r="B48" s="85" t="s">
        <v>256</v>
      </c>
      <c r="C48" s="33"/>
      <c r="D48" s="33"/>
      <c r="E48" s="33"/>
      <c r="F48" s="33"/>
      <c r="G48" s="33"/>
      <c r="H48" s="34"/>
    </row>
    <row r="49" ht="15.75" customHeight="1">
      <c r="A49" s="83" t="s">
        <v>211</v>
      </c>
      <c r="B49" s="102">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245</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74"/>
      <c r="C58" s="33"/>
      <c r="D58" s="33"/>
      <c r="E58" s="33"/>
      <c r="F58" s="33"/>
      <c r="G58" s="33"/>
      <c r="H58" s="34"/>
    </row>
    <row r="59" ht="15.75" customHeight="1">
      <c r="A59" s="83" t="s">
        <v>8</v>
      </c>
      <c r="B59" s="74"/>
      <c r="C59" s="33"/>
      <c r="D59" s="33"/>
      <c r="E59" s="33"/>
      <c r="F59" s="33"/>
      <c r="G59" s="33"/>
      <c r="H59" s="34"/>
    </row>
    <row r="60" ht="15.75" customHeight="1">
      <c r="A60" s="83" t="s">
        <v>211</v>
      </c>
      <c r="B60" s="102"/>
      <c r="C60" s="33"/>
      <c r="D60" s="33"/>
      <c r="E60" s="33"/>
      <c r="F60" s="33"/>
      <c r="G60" s="33"/>
      <c r="H60" s="34"/>
    </row>
    <row r="61" ht="15.75" customHeight="1">
      <c r="A61" s="83" t="s">
        <v>173</v>
      </c>
      <c r="B61" s="102"/>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114">
        <v>10.0</v>
      </c>
    </row>
    <row r="69" ht="15.75" customHeight="1">
      <c r="G69" s="80" t="s">
        <v>249</v>
      </c>
    </row>
    <row r="70" ht="15.75" customHeight="1">
      <c r="A70" s="83" t="s">
        <v>173</v>
      </c>
      <c r="B70" s="102"/>
      <c r="C70" s="33"/>
      <c r="D70" s="33"/>
      <c r="E70" s="33"/>
      <c r="F70" s="33"/>
      <c r="G70" s="33"/>
      <c r="H70" s="34"/>
    </row>
    <row r="71" ht="15.75" customHeight="1">
      <c r="A71" s="100" t="s">
        <v>250</v>
      </c>
      <c r="B71" s="33"/>
      <c r="C71" s="33"/>
      <c r="D71" s="33"/>
      <c r="E71" s="33"/>
      <c r="F71" s="33"/>
      <c r="G71" s="33"/>
      <c r="H71" s="34"/>
    </row>
    <row r="72" ht="15.75" customHeight="1">
      <c r="A72" s="95"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9.0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114">
        <v>5.0</v>
      </c>
    </row>
    <row r="11" ht="15.75" customHeight="1">
      <c r="G11" s="80" t="s">
        <v>214</v>
      </c>
    </row>
    <row r="12" ht="15.75" customHeight="1">
      <c r="A12" s="83" t="s">
        <v>215</v>
      </c>
      <c r="B12" s="82" t="s">
        <v>266</v>
      </c>
      <c r="C12" s="33"/>
      <c r="D12" s="33"/>
      <c r="E12" s="33"/>
      <c r="F12" s="33"/>
      <c r="G12" s="33"/>
      <c r="H12" s="34"/>
    </row>
    <row r="13" ht="15.75" customHeight="1">
      <c r="A13" s="84" t="s">
        <v>173</v>
      </c>
      <c r="B13" s="85">
        <v>5.0</v>
      </c>
      <c r="C13" s="33"/>
      <c r="D13" s="33"/>
      <c r="E13" s="33"/>
      <c r="F13" s="33"/>
      <c r="G13" s="33"/>
      <c r="H13" s="34"/>
    </row>
    <row r="14" ht="15.75" customHeight="1">
      <c r="A14" s="94" t="s">
        <v>217</v>
      </c>
      <c r="B14" s="33"/>
      <c r="C14" s="33"/>
      <c r="D14" s="33"/>
      <c r="E14" s="33"/>
      <c r="F14" s="33"/>
      <c r="G14" s="33"/>
      <c r="H14" s="34"/>
    </row>
    <row r="15" ht="15.75" customHeight="1">
      <c r="A15" s="104" t="s">
        <v>267</v>
      </c>
      <c r="B15" s="58"/>
      <c r="C15" s="58"/>
      <c r="D15" s="58"/>
      <c r="E15" s="58"/>
      <c r="F15" s="58"/>
      <c r="G15" s="58"/>
      <c r="H15" s="59"/>
    </row>
    <row r="16" ht="15.75" customHeight="1">
      <c r="A16" s="60"/>
      <c r="B16" s="61"/>
      <c r="C16" s="61"/>
      <c r="D16" s="61"/>
      <c r="E16" s="61"/>
      <c r="F16" s="61"/>
      <c r="G16" s="61"/>
      <c r="H16" s="62"/>
    </row>
    <row r="17" ht="15.75" customHeight="1">
      <c r="A17" s="94" t="s">
        <v>219</v>
      </c>
      <c r="B17" s="33"/>
      <c r="C17" s="33"/>
      <c r="D17" s="33"/>
      <c r="E17" s="33"/>
      <c r="F17" s="33"/>
      <c r="G17" s="33"/>
      <c r="H17" s="34"/>
    </row>
    <row r="18" ht="15.75" customHeight="1">
      <c r="A18" s="104" t="s">
        <v>268</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114">
        <v>60.0</v>
      </c>
      <c r="I21" s="6"/>
    </row>
    <row r="22" ht="15.75" customHeight="1">
      <c r="G22" s="80" t="s">
        <v>222</v>
      </c>
    </row>
    <row r="23" ht="15.75" customHeight="1">
      <c r="A23" s="83" t="s">
        <v>223</v>
      </c>
      <c r="B23" s="85" t="s">
        <v>88</v>
      </c>
      <c r="C23" s="33"/>
      <c r="D23" s="33"/>
      <c r="E23" s="33"/>
      <c r="F23" s="33"/>
      <c r="G23" s="33"/>
      <c r="H23" s="34"/>
    </row>
    <row r="24" ht="15.75" customHeight="1">
      <c r="A24" s="83" t="s">
        <v>223</v>
      </c>
      <c r="B24" s="85" t="s">
        <v>91</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IFERROR(__xludf.DUMMYFUNCTION("FILTER('Diseño'!D:D,'Diseño'!H:H=$C$5)"),9.0)</f>
        <v>9</v>
      </c>
      <c r="C28" s="34"/>
      <c r="D28" s="74" t="str">
        <f>IFERROR(__xludf.DUMMYFUNCTION("FILTER('Diseño'!E:E,'Diseño'!H:H=$C$5)"),"Introducción a programación en Visual Basic App")</f>
        <v>Introducción a programación en Visual Basic App</v>
      </c>
      <c r="E28" s="34"/>
      <c r="F28" s="74" t="str">
        <f>IFERROR(__xludf.DUMMYFUNCTION("FILTER('Diseño'!F:F,'Diseño'!H:H=$C$5)"),"¿Qué es Visual Basic Application?")</f>
        <v>¿Qué es Visual Basic Application?</v>
      </c>
      <c r="G28" s="33"/>
      <c r="H28" s="34"/>
    </row>
    <row r="29" ht="15.75" customHeight="1">
      <c r="A29" s="75">
        <v>2.0</v>
      </c>
      <c r="B29" s="74">
        <f>IFERROR(__xludf.DUMMYFUNCTION("""COMPUTED_VALUE"""),9.0)</f>
        <v>9</v>
      </c>
      <c r="C29" s="34"/>
      <c r="D29" s="74" t="str">
        <f>IFERROR(__xludf.DUMMYFUNCTION("""COMPUTED_VALUE"""),"Introducción a programación en Visual Basic App")</f>
        <v>Introducción a programación en Visual Basic App</v>
      </c>
      <c r="E29" s="34"/>
      <c r="F29" s="74" t="str">
        <f>IFERROR(__xludf.DUMMYFUNCTION("""COMPUTED_VALUE"""),"¿Para qué Visual Basic Application?")</f>
        <v>¿Para qué Visual Basic Application?</v>
      </c>
      <c r="G29" s="33"/>
      <c r="H29" s="34"/>
    </row>
    <row r="30" ht="15.75" customHeight="1">
      <c r="A30" s="75">
        <v>3.0</v>
      </c>
      <c r="B30" s="74">
        <f>IFERROR(__xludf.DUMMYFUNCTION("""COMPUTED_VALUE"""),9.0)</f>
        <v>9</v>
      </c>
      <c r="C30" s="34"/>
      <c r="D30" s="74" t="str">
        <f>IFERROR(__xludf.DUMMYFUNCTION("""COMPUTED_VALUE"""),"Introducción a programación en Visual Basic App")</f>
        <v>Introducción a programación en Visual Basic App</v>
      </c>
      <c r="E30" s="34"/>
      <c r="F30" s="74" t="str">
        <f>IFERROR(__xludf.DUMMYFUNCTION("""COMPUTED_VALUE"""),"Variables y tipos de variables")</f>
        <v>Variables y tipos de variables</v>
      </c>
      <c r="G30" s="33"/>
      <c r="H30" s="34"/>
    </row>
    <row r="31" ht="15.75" customHeight="1">
      <c r="A31" s="75">
        <v>4.0</v>
      </c>
      <c r="B31" s="74">
        <f>IFERROR(__xludf.DUMMYFUNCTION("""COMPUTED_VALUE"""),9.0)</f>
        <v>9</v>
      </c>
      <c r="C31" s="34"/>
      <c r="D31" s="74" t="str">
        <f>IFERROR(__xludf.DUMMYFUNCTION("""COMPUTED_VALUE"""),"Introducción a programación en Visual Basic App")</f>
        <v>Introducción a programación en Visual Basic App</v>
      </c>
      <c r="E31" s="34"/>
      <c r="F31" s="74" t="str">
        <f>IFERROR(__xludf.DUMMYFUNCTION("""COMPUTED_VALUE"""),"Qué es la lógica booleana")</f>
        <v>Qué es la lógica booleana</v>
      </c>
      <c r="G31" s="33"/>
      <c r="H31" s="34"/>
    </row>
    <row r="32" ht="15.75" customHeight="1">
      <c r="A32" s="75">
        <v>5.0</v>
      </c>
      <c r="B32" s="74">
        <f>IFERROR(__xludf.DUMMYFUNCTION("""COMPUTED_VALUE"""),9.0)</f>
        <v>9</v>
      </c>
      <c r="C32" s="34"/>
      <c r="D32" s="74" t="str">
        <f>IFERROR(__xludf.DUMMYFUNCTION("""COMPUTED_VALUE"""),"Introducción a programación en Visual Basic App")</f>
        <v>Introducción a programación en Visual Basic App</v>
      </c>
      <c r="E32" s="34"/>
      <c r="F32" s="74" t="str">
        <f>IFERROR(__xludf.DUMMYFUNCTION("""COMPUTED_VALUE"""),"Condicionales y estructuras de control")</f>
        <v>Condicionales y estructuras de control</v>
      </c>
      <c r="G32" s="33"/>
      <c r="H32" s="34"/>
    </row>
    <row r="33" ht="15.75" customHeight="1">
      <c r="A33" s="75">
        <v>6.0</v>
      </c>
      <c r="B33" s="74">
        <f>IFERROR(__xludf.DUMMYFUNCTION("""COMPUTED_VALUE"""),9.0)</f>
        <v>9</v>
      </c>
      <c r="C33" s="34"/>
      <c r="D33" s="74" t="str">
        <f>IFERROR(__xludf.DUMMYFUNCTION("""COMPUTED_VALUE"""),"Introducción a programación en Visual Basic App")</f>
        <v>Introducción a programación en Visual Basic App</v>
      </c>
      <c r="E33" s="34"/>
      <c r="F33" s="74" t="str">
        <f>IFERROR(__xludf.DUMMYFUNCTION("""COMPUTED_VALUE"""),"Definición de funciones, métodos y sus ámbitos")</f>
        <v>Definición de funciones, métodos y sus ámbitos</v>
      </c>
      <c r="G33" s="33"/>
      <c r="H33" s="34"/>
    </row>
    <row r="34" ht="15.75" customHeight="1">
      <c r="A34" s="75">
        <v>7.0</v>
      </c>
      <c r="B34" s="74">
        <f>IFERROR(__xludf.DUMMYFUNCTION("""COMPUTED_VALUE"""),9.0)</f>
        <v>9</v>
      </c>
      <c r="C34" s="34"/>
      <c r="D34" s="74" t="str">
        <f>IFERROR(__xludf.DUMMYFUNCTION("""COMPUTED_VALUE"""),"Introducción a programación en Visual Basic App")</f>
        <v>Introducción a programación en Visual Basic App</v>
      </c>
      <c r="E34" s="34"/>
      <c r="F34" s="74" t="str">
        <f>IFERROR(__xludf.DUMMYFUNCTION("""COMPUTED_VALUE"""),"Ejemplo práctico")</f>
        <v>Ejemplo práctico</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30.0</v>
      </c>
      <c r="E39" s="33"/>
      <c r="F39" s="33"/>
      <c r="G39" s="33"/>
      <c r="H39" s="34"/>
      <c r="I39" s="75" t="str">
        <f t="shared" ref="I39:I42" si="1">IF(D39&lt;=C39,"Correcto", "Corregir")</f>
        <v>Correcto</v>
      </c>
    </row>
    <row r="40" ht="15.75" customHeight="1">
      <c r="A40" s="75" t="s">
        <v>234</v>
      </c>
      <c r="B40" s="75" t="s">
        <v>233</v>
      </c>
      <c r="C40" s="75">
        <v>6.0</v>
      </c>
      <c r="D40" s="85">
        <v>6.0</v>
      </c>
      <c r="E40" s="33"/>
      <c r="F40" s="33"/>
      <c r="G40" s="33"/>
      <c r="H40" s="34"/>
      <c r="I40" s="75" t="str">
        <f t="shared" si="1"/>
        <v>Correcto</v>
      </c>
    </row>
    <row r="41" ht="15.75" customHeight="1">
      <c r="A41" s="75" t="s">
        <v>235</v>
      </c>
      <c r="B41" s="75" t="s">
        <v>236</v>
      </c>
      <c r="C41" s="75">
        <v>10.0</v>
      </c>
      <c r="D41" s="85">
        <v>5.0</v>
      </c>
      <c r="E41" s="33"/>
      <c r="F41" s="33"/>
      <c r="G41" s="33"/>
      <c r="H41" s="34"/>
      <c r="I41" s="75" t="str">
        <f t="shared" si="1"/>
        <v>Correcto</v>
      </c>
    </row>
    <row r="42" ht="15.75" customHeight="1">
      <c r="A42" s="75" t="s">
        <v>237</v>
      </c>
      <c r="B42" s="75" t="s">
        <v>233</v>
      </c>
      <c r="C42" s="75">
        <v>30.0</v>
      </c>
      <c r="D42" s="85">
        <v>30.0</v>
      </c>
      <c r="E42" s="33"/>
      <c r="F42" s="33"/>
      <c r="G42" s="33"/>
      <c r="H42" s="34"/>
      <c r="I42" s="75" t="str">
        <f t="shared" si="1"/>
        <v>Correcto</v>
      </c>
    </row>
    <row r="43" ht="15.75" customHeight="1"/>
    <row r="44" ht="15.75" customHeight="1">
      <c r="A44" s="91" t="s">
        <v>238</v>
      </c>
      <c r="G44" s="87" t="s">
        <v>173</v>
      </c>
      <c r="H44" s="114">
        <v>35.0</v>
      </c>
    </row>
    <row r="45" ht="15.75" customHeight="1">
      <c r="G45" s="80" t="s">
        <v>239</v>
      </c>
    </row>
    <row r="46" ht="15.75" customHeight="1">
      <c r="A46" s="80" t="s">
        <v>240</v>
      </c>
    </row>
    <row r="47">
      <c r="A47" s="83" t="s">
        <v>241</v>
      </c>
      <c r="B47" s="85" t="s">
        <v>88</v>
      </c>
      <c r="C47" s="33"/>
      <c r="D47" s="33"/>
      <c r="E47" s="33"/>
      <c r="F47" s="33"/>
      <c r="G47" s="33"/>
      <c r="H47" s="34"/>
    </row>
    <row r="48" ht="15.75" customHeight="1">
      <c r="A48" s="83" t="s">
        <v>8</v>
      </c>
      <c r="B48" s="85" t="s">
        <v>242</v>
      </c>
      <c r="C48" s="33"/>
      <c r="D48" s="33"/>
      <c r="E48" s="33"/>
      <c r="F48" s="33"/>
      <c r="G48" s="33"/>
      <c r="H48" s="34"/>
    </row>
    <row r="49" ht="15.75" customHeight="1">
      <c r="A49" s="83" t="s">
        <v>211</v>
      </c>
      <c r="B49" s="102">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269</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85" t="s">
        <v>88</v>
      </c>
      <c r="C58" s="33"/>
      <c r="D58" s="33"/>
      <c r="E58" s="33"/>
      <c r="F58" s="33"/>
      <c r="G58" s="33"/>
      <c r="H58" s="34"/>
    </row>
    <row r="59" ht="15.75" customHeight="1">
      <c r="A59" s="83" t="s">
        <v>8</v>
      </c>
      <c r="B59" s="85" t="s">
        <v>270</v>
      </c>
      <c r="C59" s="33"/>
      <c r="D59" s="33"/>
      <c r="E59" s="33"/>
      <c r="F59" s="33"/>
      <c r="G59" s="33"/>
      <c r="H59" s="34"/>
    </row>
    <row r="60" ht="15.75" customHeight="1">
      <c r="A60" s="83" t="s">
        <v>211</v>
      </c>
      <c r="B60" s="109">
        <v>0.0</v>
      </c>
      <c r="C60" s="33"/>
      <c r="D60" s="33"/>
      <c r="E60" s="33"/>
      <c r="F60" s="33"/>
      <c r="G60" s="33"/>
      <c r="H60" s="34"/>
    </row>
    <row r="61" ht="15.75" customHeight="1">
      <c r="A61" s="83" t="s">
        <v>173</v>
      </c>
      <c r="B61" s="109">
        <v>35.0</v>
      </c>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108"/>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114">
        <v>10.0</v>
      </c>
    </row>
    <row r="69" ht="15.75" customHeight="1">
      <c r="G69" s="80" t="s">
        <v>249</v>
      </c>
    </row>
    <row r="70" ht="15.75" customHeight="1">
      <c r="A70" s="83" t="s">
        <v>173</v>
      </c>
      <c r="B70" s="102"/>
      <c r="C70" s="33"/>
      <c r="D70" s="33"/>
      <c r="E70" s="33"/>
      <c r="F70" s="33"/>
      <c r="G70" s="33"/>
      <c r="H70" s="34"/>
    </row>
    <row r="71" ht="15.75" customHeight="1">
      <c r="A71" s="100" t="s">
        <v>250</v>
      </c>
      <c r="B71" s="33"/>
      <c r="C71" s="33"/>
      <c r="D71" s="33"/>
      <c r="E71" s="33"/>
      <c r="F71" s="33"/>
      <c r="G71" s="33"/>
      <c r="H71" s="34"/>
    </row>
    <row r="72" ht="15.75" customHeight="1">
      <c r="A72" s="95"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10.0</v>
      </c>
      <c r="D5" s="33"/>
      <c r="E5" s="33"/>
      <c r="F5" s="33"/>
      <c r="G5" s="34"/>
    </row>
    <row r="6" ht="15.75" customHeight="1">
      <c r="B6" s="89" t="s">
        <v>170</v>
      </c>
      <c r="C6" s="74">
        <f>H10+H21+H44+H68</f>
        <v>110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114">
        <v>5.0</v>
      </c>
    </row>
    <row r="11" ht="15.75" customHeight="1">
      <c r="G11" s="80" t="s">
        <v>214</v>
      </c>
    </row>
    <row r="12" ht="15.75" customHeight="1">
      <c r="A12" s="83" t="s">
        <v>215</v>
      </c>
      <c r="B12" s="82" t="s">
        <v>271</v>
      </c>
      <c r="C12" s="33"/>
      <c r="D12" s="33"/>
      <c r="E12" s="33"/>
      <c r="F12" s="33"/>
      <c r="G12" s="33"/>
      <c r="H12" s="34"/>
    </row>
    <row r="13" ht="15.75" customHeight="1">
      <c r="A13" s="84" t="s">
        <v>173</v>
      </c>
      <c r="B13" s="85">
        <v>5.0</v>
      </c>
      <c r="C13" s="33"/>
      <c r="D13" s="33"/>
      <c r="E13" s="33"/>
      <c r="F13" s="33"/>
      <c r="G13" s="33"/>
      <c r="H13" s="34"/>
    </row>
    <row r="14" ht="15.75" customHeight="1">
      <c r="A14" s="94" t="s">
        <v>217</v>
      </c>
      <c r="B14" s="33"/>
      <c r="C14" s="33"/>
      <c r="D14" s="33"/>
      <c r="E14" s="33"/>
      <c r="F14" s="33"/>
      <c r="G14" s="33"/>
      <c r="H14" s="34"/>
    </row>
    <row r="15" ht="15.75" customHeight="1">
      <c r="A15" s="95" t="s">
        <v>272</v>
      </c>
      <c r="B15" s="58"/>
      <c r="C15" s="58"/>
      <c r="D15" s="58"/>
      <c r="E15" s="58"/>
      <c r="F15" s="58"/>
      <c r="G15" s="58"/>
      <c r="H15" s="59"/>
    </row>
    <row r="16" ht="15.75" customHeight="1">
      <c r="A16" s="60"/>
      <c r="B16" s="61"/>
      <c r="C16" s="61"/>
      <c r="D16" s="61"/>
      <c r="E16" s="61"/>
      <c r="F16" s="61"/>
      <c r="G16" s="61"/>
      <c r="H16" s="62"/>
    </row>
    <row r="17" ht="15.75" customHeight="1">
      <c r="A17" s="94" t="s">
        <v>219</v>
      </c>
      <c r="B17" s="33"/>
      <c r="C17" s="33"/>
      <c r="D17" s="33"/>
      <c r="E17" s="33"/>
      <c r="F17" s="33"/>
      <c r="G17" s="33"/>
      <c r="H17" s="34"/>
    </row>
    <row r="18" ht="15.75" customHeight="1">
      <c r="A18" s="95" t="s">
        <v>273</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114">
        <v>60.0</v>
      </c>
      <c r="I21" s="6"/>
    </row>
    <row r="22" ht="15.75" customHeight="1">
      <c r="G22" s="80" t="s">
        <v>222</v>
      </c>
    </row>
    <row r="23" ht="15.75" customHeight="1">
      <c r="A23" s="83" t="s">
        <v>223</v>
      </c>
      <c r="B23" s="85" t="s">
        <v>110</v>
      </c>
      <c r="C23" s="33"/>
      <c r="D23" s="33"/>
      <c r="E23" s="33"/>
      <c r="F23" s="33"/>
      <c r="G23" s="33"/>
      <c r="H23" s="34"/>
    </row>
    <row r="24" ht="15.75" customHeight="1">
      <c r="A24" s="83" t="s">
        <v>223</v>
      </c>
      <c r="B24" s="85" t="s">
        <v>145</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IFERROR(__xludf.DUMMYFUNCTION("FILTER('Diseño'!D:D,'Diseño'!H:H=$C$5)"),10.0)</f>
        <v>10</v>
      </c>
      <c r="C28" s="34"/>
      <c r="D28" s="74" t="str">
        <f>IFERROR(__xludf.DUMMYFUNCTION("FILTER('Diseño'!E:E,'Diseño'!H:H=$C$5)"),"Integración de Access con Excel por VBA")</f>
        <v>Integración de Access con Excel por VBA</v>
      </c>
      <c r="E28" s="34"/>
      <c r="F28" s="74" t="str">
        <f>IFERROR(__xludf.DUMMYFUNCTION("FILTER('Diseño'!F:F,'Diseño'!H:H=$C$5)"),"Comunicación aplicaciones de Microsoft")</f>
        <v>Comunicación aplicaciones de Microsoft</v>
      </c>
      <c r="G28" s="33"/>
      <c r="H28" s="34"/>
    </row>
    <row r="29" ht="15.75" customHeight="1">
      <c r="A29" s="75">
        <v>2.0</v>
      </c>
      <c r="B29" s="74">
        <f>IFERROR(__xludf.DUMMYFUNCTION("""COMPUTED_VALUE"""),10.0)</f>
        <v>10</v>
      </c>
      <c r="C29" s="34"/>
      <c r="D29" s="74" t="str">
        <f>IFERROR(__xludf.DUMMYFUNCTION("""COMPUTED_VALUE"""),"Integración de Access con Excel por VBA")</f>
        <v>Integración de Access con Excel por VBA</v>
      </c>
      <c r="E29" s="34"/>
      <c r="F29" s="74" t="str">
        <f>IFERROR(__xludf.DUMMYFUNCTION("""COMPUTED_VALUE"""),"Arq. Cliente Servidor")</f>
        <v>Arq. Cliente Servidor</v>
      </c>
      <c r="G29" s="33"/>
      <c r="H29" s="34"/>
    </row>
    <row r="30" ht="15.75" customHeight="1">
      <c r="A30" s="75">
        <v>3.0</v>
      </c>
      <c r="B30" s="74">
        <f>IFERROR(__xludf.DUMMYFUNCTION("""COMPUTED_VALUE"""),10.0)</f>
        <v>10</v>
      </c>
      <c r="C30" s="34"/>
      <c r="D30" s="74" t="str">
        <f>IFERROR(__xludf.DUMMYFUNCTION("""COMPUTED_VALUE"""),"Integración de Access con Excel por VBA")</f>
        <v>Integración de Access con Excel por VBA</v>
      </c>
      <c r="E30" s="34"/>
      <c r="F30" s="74" t="str">
        <f>IFERROR(__xludf.DUMMYFUNCTION("""COMPUTED_VALUE"""),"Lectura conexión Excel y Access")</f>
        <v>Lectura conexión Excel y Access</v>
      </c>
      <c r="G30" s="33"/>
      <c r="H30" s="34"/>
    </row>
    <row r="31" ht="15.75" customHeight="1">
      <c r="A31" s="75">
        <v>4.0</v>
      </c>
      <c r="B31" s="74">
        <f>IFERROR(__xludf.DUMMYFUNCTION("""COMPUTED_VALUE"""),10.0)</f>
        <v>10</v>
      </c>
      <c r="C31" s="34"/>
      <c r="D31" s="74" t="str">
        <f>IFERROR(__xludf.DUMMYFUNCTION("""COMPUTED_VALUE"""),"Integración de Access con Excel por VBA")</f>
        <v>Integración de Access con Excel por VBA</v>
      </c>
      <c r="E31" s="34"/>
      <c r="F31" s="74" t="str">
        <f>IFERROR(__xludf.DUMMYFUNCTION("""COMPUTED_VALUE"""),"Gestión de librerías")</f>
        <v>Gestión de librerías</v>
      </c>
      <c r="G31" s="33"/>
      <c r="H31" s="34"/>
    </row>
    <row r="32" ht="15.75" customHeight="1">
      <c r="A32" s="75">
        <v>5.0</v>
      </c>
      <c r="B32" s="74">
        <f>IFERROR(__xludf.DUMMYFUNCTION("""COMPUTED_VALUE"""),10.0)</f>
        <v>10</v>
      </c>
      <c r="C32" s="34"/>
      <c r="D32" s="74" t="str">
        <f>IFERROR(__xludf.DUMMYFUNCTION("""COMPUTED_VALUE"""),"Integración de Access con Excel por VBA")</f>
        <v>Integración de Access con Excel por VBA</v>
      </c>
      <c r="E32" s="34"/>
      <c r="F32" s="74" t="str">
        <f>IFERROR(__xludf.DUMMYFUNCTION("""COMPUTED_VALUE"""),"Ejemplo práctico de conexión")</f>
        <v>Ejemplo práctico de conexión</v>
      </c>
      <c r="G32" s="33"/>
      <c r="H32" s="34"/>
    </row>
    <row r="33" ht="15.75" customHeight="1">
      <c r="A33" s="75">
        <v>6.0</v>
      </c>
      <c r="B33" s="74">
        <f>IFERROR(__xludf.DUMMYFUNCTION("""COMPUTED_VALUE"""),10.0)</f>
        <v>10</v>
      </c>
      <c r="C33" s="34"/>
      <c r="D33" s="74" t="str">
        <f>IFERROR(__xludf.DUMMYFUNCTION("""COMPUTED_VALUE"""),"Integración de Access con Excel por VBA")</f>
        <v>Integración de Access con Excel por VBA</v>
      </c>
      <c r="E33" s="34"/>
      <c r="F33" s="74" t="str">
        <f>IFERROR(__xludf.DUMMYFUNCTION("""COMPUTED_VALUE"""),"Conferencia del Curso")</f>
        <v>Conferencia del Curso</v>
      </c>
      <c r="G33" s="33"/>
      <c r="H33" s="34"/>
    </row>
    <row r="34" ht="15.75" customHeight="1">
      <c r="A34" s="75">
        <v>7.0</v>
      </c>
      <c r="B34" s="74">
        <f>IFERROR(__xludf.DUMMYFUNCTION("""COMPUTED_VALUE"""),10.0)</f>
        <v>10</v>
      </c>
      <c r="C34" s="34"/>
      <c r="D34" s="74" t="str">
        <f>IFERROR(__xludf.DUMMYFUNCTION("""COMPUTED_VALUE"""),"Integración de Access con Excel por VBA")</f>
        <v>Integración de Access con Excel por VBA</v>
      </c>
      <c r="E34" s="34"/>
      <c r="F34" s="74" t="str">
        <f>IFERROR(__xludf.DUMMYFUNCTION("""COMPUTED_VALUE"""),"Cuestionario sobre conferencia")</f>
        <v>Cuestionario sobre conferencia</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6.0</v>
      </c>
      <c r="E40" s="33"/>
      <c r="F40" s="33"/>
      <c r="G40" s="33"/>
      <c r="H40" s="34"/>
      <c r="I40" s="75" t="str">
        <f t="shared" si="1"/>
        <v>Correcto</v>
      </c>
    </row>
    <row r="41" ht="15.75" customHeight="1">
      <c r="A41" s="75" t="s">
        <v>235</v>
      </c>
      <c r="B41" s="75" t="s">
        <v>236</v>
      </c>
      <c r="C41" s="75">
        <v>10.0</v>
      </c>
      <c r="D41" s="85">
        <v>5.0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114">
        <v>35.0</v>
      </c>
    </row>
    <row r="45" ht="15.75" customHeight="1">
      <c r="G45" s="80" t="s">
        <v>239</v>
      </c>
    </row>
    <row r="46" ht="15.75" customHeight="1">
      <c r="A46" s="80" t="s">
        <v>240</v>
      </c>
    </row>
    <row r="47">
      <c r="A47" s="83" t="s">
        <v>241</v>
      </c>
      <c r="B47" s="85" t="s">
        <v>88</v>
      </c>
      <c r="C47" s="33"/>
      <c r="D47" s="33"/>
      <c r="E47" s="33"/>
      <c r="F47" s="33"/>
      <c r="G47" s="33"/>
      <c r="H47" s="34"/>
    </row>
    <row r="48" ht="15.75" customHeight="1">
      <c r="A48" s="83" t="s">
        <v>8</v>
      </c>
      <c r="B48" s="85" t="s">
        <v>256</v>
      </c>
      <c r="C48" s="33"/>
      <c r="D48" s="33"/>
      <c r="E48" s="33"/>
      <c r="F48" s="33"/>
      <c r="G48" s="33"/>
      <c r="H48" s="34"/>
    </row>
    <row r="49" ht="15.75" customHeight="1">
      <c r="A49" s="83" t="s">
        <v>211</v>
      </c>
      <c r="B49" s="109">
        <v>0.0</v>
      </c>
      <c r="C49" s="33"/>
      <c r="D49" s="33"/>
      <c r="E49" s="33"/>
      <c r="F49" s="33"/>
      <c r="G49" s="33"/>
      <c r="H49" s="34"/>
    </row>
    <row r="50" ht="15.75" customHeight="1">
      <c r="A50" s="83" t="s">
        <v>173</v>
      </c>
      <c r="B50" s="85">
        <v>35.0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274</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85" t="s">
        <v>91</v>
      </c>
      <c r="C58" s="33"/>
      <c r="D58" s="33"/>
      <c r="E58" s="33"/>
      <c r="F58" s="33"/>
      <c r="G58" s="33"/>
      <c r="H58" s="34"/>
    </row>
    <row r="59" ht="15.75" customHeight="1">
      <c r="A59" s="83" t="s">
        <v>8</v>
      </c>
      <c r="B59" s="85" t="s">
        <v>270</v>
      </c>
      <c r="C59" s="33"/>
      <c r="D59" s="33"/>
      <c r="E59" s="33"/>
      <c r="F59" s="33"/>
      <c r="G59" s="33"/>
      <c r="H59" s="34"/>
    </row>
    <row r="60" ht="15.75" customHeight="1">
      <c r="A60" s="83" t="s">
        <v>211</v>
      </c>
      <c r="B60" s="109">
        <v>0.0</v>
      </c>
      <c r="C60" s="33"/>
      <c r="D60" s="33"/>
      <c r="E60" s="33"/>
      <c r="F60" s="33"/>
      <c r="G60" s="33"/>
      <c r="H60" s="34"/>
    </row>
    <row r="61" ht="15.75" customHeight="1">
      <c r="A61" s="83" t="s">
        <v>173</v>
      </c>
      <c r="B61" s="109">
        <v>5.0</v>
      </c>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95" t="s">
        <v>275</v>
      </c>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114">
        <v>10.0</v>
      </c>
    </row>
    <row r="69" ht="15.75" customHeight="1">
      <c r="G69" s="80" t="s">
        <v>249</v>
      </c>
    </row>
    <row r="70" ht="15.75" customHeight="1">
      <c r="A70" s="83" t="s">
        <v>173</v>
      </c>
      <c r="B70" s="102"/>
      <c r="C70" s="33"/>
      <c r="D70" s="33"/>
      <c r="E70" s="33"/>
      <c r="F70" s="33"/>
      <c r="G70" s="33"/>
      <c r="H70" s="34"/>
    </row>
    <row r="71" ht="15.75" customHeight="1">
      <c r="A71" s="100" t="s">
        <v>250</v>
      </c>
      <c r="B71" s="33"/>
      <c r="C71" s="33"/>
      <c r="D71" s="33"/>
      <c r="E71" s="33"/>
      <c r="F71" s="33"/>
      <c r="G71" s="33"/>
      <c r="H71" s="34"/>
    </row>
    <row r="72" ht="15.75" customHeight="1">
      <c r="A72" s="95" t="s">
        <v>251</v>
      </c>
      <c r="B72" s="58"/>
      <c r="C72" s="58"/>
      <c r="D72" s="58"/>
      <c r="E72" s="58"/>
      <c r="F72" s="58"/>
      <c r="G72" s="58"/>
      <c r="H72" s="59"/>
    </row>
    <row r="73" ht="15.75" customHeight="1">
      <c r="A73" s="60"/>
      <c r="B73" s="61"/>
      <c r="C73" s="61"/>
      <c r="D73" s="61"/>
      <c r="E73" s="61"/>
      <c r="F73" s="61"/>
      <c r="G73" s="61"/>
      <c r="H73" s="62"/>
    </row>
    <row r="74" ht="15.75" customHeight="1">
      <c r="A74" s="115"/>
      <c r="B74" s="116"/>
      <c r="C74" s="116"/>
      <c r="D74" s="116"/>
      <c r="E74" s="116"/>
      <c r="F74" s="116"/>
      <c r="G74" s="116"/>
      <c r="H74" s="117"/>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210</v>
      </c>
    </row>
    <row r="3" ht="15.75" customHeight="1"/>
    <row r="4" ht="15.75" customHeight="1">
      <c r="B4" s="73" t="s">
        <v>1</v>
      </c>
      <c r="C4" s="88" t="str">
        <f>'Diseño'!C4</f>
        <v>90 - Programacion de Computadoras 1</v>
      </c>
      <c r="D4" s="33"/>
      <c r="E4" s="33"/>
      <c r="F4" s="33"/>
      <c r="G4" s="34"/>
    </row>
    <row r="5" ht="15.75" customHeight="1">
      <c r="B5" s="75" t="s">
        <v>79</v>
      </c>
      <c r="C5" s="74">
        <v>11.0</v>
      </c>
      <c r="D5" s="33"/>
      <c r="E5" s="33"/>
      <c r="F5" s="33"/>
      <c r="G5" s="34"/>
    </row>
    <row r="6" ht="15.75" customHeight="1">
      <c r="B6" s="89" t="s">
        <v>170</v>
      </c>
      <c r="C6" s="74">
        <f>H10+H21+H44+H68</f>
        <v>100</v>
      </c>
      <c r="D6" s="33"/>
      <c r="E6" s="33"/>
      <c r="F6" s="33"/>
      <c r="G6" s="34"/>
      <c r="I6" s="6"/>
    </row>
    <row r="7" ht="15.75" customHeight="1">
      <c r="B7" s="89" t="s">
        <v>211</v>
      </c>
      <c r="C7" s="74">
        <f>B49+B60</f>
        <v>0</v>
      </c>
      <c r="D7" s="33"/>
      <c r="E7" s="33"/>
      <c r="F7" s="33"/>
      <c r="G7" s="34"/>
    </row>
    <row r="8" ht="15.75" customHeight="1">
      <c r="B8" s="89" t="s">
        <v>212</v>
      </c>
      <c r="C8" s="90" t="str">
        <f>IF(H44&lt;=0, "❌ ERROR: La Actividad 1 debe tener un tiempo mayor a 0.", IF(H21&gt;60, "❌ ERROR: El 'Área de Conocimiento' no puede exceder los 60 min.", IF((H10+H21+H44)&lt;100, "❌ ERROR: El tiempo total debe ser de al menos 100 min.", "✅ VALIDACIÓN CORRECTA")))</f>
        <v>✅ VALIDACIÓN CORRECTA</v>
      </c>
      <c r="D8" s="33"/>
      <c r="E8" s="33"/>
      <c r="F8" s="33"/>
      <c r="G8" s="34"/>
      <c r="I8" s="6"/>
      <c r="J8" s="6"/>
      <c r="K8" s="6"/>
    </row>
    <row r="9" ht="15.75" customHeight="1"/>
    <row r="10" ht="15.75" customHeight="1">
      <c r="A10" s="91" t="s">
        <v>213</v>
      </c>
      <c r="G10" s="87" t="s">
        <v>173</v>
      </c>
      <c r="H10" s="92">
        <f>B13</f>
        <v>5</v>
      </c>
    </row>
    <row r="11" ht="15.75" customHeight="1">
      <c r="G11" s="80" t="s">
        <v>214</v>
      </c>
    </row>
    <row r="12" ht="15.75" customHeight="1">
      <c r="A12" s="83" t="s">
        <v>215</v>
      </c>
      <c r="B12" s="85" t="s">
        <v>276</v>
      </c>
      <c r="C12" s="33"/>
      <c r="D12" s="33"/>
      <c r="E12" s="33"/>
      <c r="F12" s="33"/>
      <c r="G12" s="33"/>
      <c r="H12" s="34"/>
    </row>
    <row r="13" ht="15.75" customHeight="1">
      <c r="A13" s="84" t="s">
        <v>173</v>
      </c>
      <c r="B13" s="85">
        <v>5.0</v>
      </c>
      <c r="C13" s="33"/>
      <c r="D13" s="33"/>
      <c r="E13" s="33"/>
      <c r="F13" s="33"/>
      <c r="G13" s="33"/>
      <c r="H13" s="34"/>
    </row>
    <row r="14" ht="15.75" customHeight="1">
      <c r="A14" s="94" t="s">
        <v>217</v>
      </c>
      <c r="B14" s="33"/>
      <c r="C14" s="33"/>
      <c r="D14" s="33"/>
      <c r="E14" s="33"/>
      <c r="F14" s="33"/>
      <c r="G14" s="33"/>
      <c r="H14" s="34"/>
    </row>
    <row r="15" ht="15.75" customHeight="1">
      <c r="A15" s="95" t="s">
        <v>277</v>
      </c>
      <c r="B15" s="58"/>
      <c r="C15" s="58"/>
      <c r="D15" s="58"/>
      <c r="E15" s="58"/>
      <c r="F15" s="58"/>
      <c r="G15" s="58"/>
      <c r="H15" s="59"/>
    </row>
    <row r="16" ht="15.75" customHeight="1">
      <c r="A16" s="60"/>
      <c r="B16" s="61"/>
      <c r="C16" s="61"/>
      <c r="D16" s="61"/>
      <c r="E16" s="61"/>
      <c r="F16" s="61"/>
      <c r="G16" s="61"/>
      <c r="H16" s="62"/>
    </row>
    <row r="17" ht="15.75" customHeight="1">
      <c r="A17" s="94" t="s">
        <v>219</v>
      </c>
      <c r="B17" s="33"/>
      <c r="C17" s="33"/>
      <c r="D17" s="33"/>
      <c r="E17" s="33"/>
      <c r="F17" s="33"/>
      <c r="G17" s="33"/>
      <c r="H17" s="34"/>
    </row>
    <row r="18" ht="15.75" customHeight="1">
      <c r="A18" s="95" t="s">
        <v>278</v>
      </c>
      <c r="B18" s="58"/>
      <c r="C18" s="58"/>
      <c r="D18" s="58"/>
      <c r="E18" s="58"/>
      <c r="F18" s="58"/>
      <c r="G18" s="58"/>
      <c r="H18" s="59"/>
    </row>
    <row r="19" ht="15.75" customHeight="1">
      <c r="A19" s="60"/>
      <c r="B19" s="61"/>
      <c r="C19" s="61"/>
      <c r="D19" s="61"/>
      <c r="E19" s="61"/>
      <c r="F19" s="61"/>
      <c r="G19" s="61"/>
      <c r="H19" s="62"/>
    </row>
    <row r="20" ht="15.75" customHeight="1"/>
    <row r="21" ht="15.75" customHeight="1">
      <c r="A21" s="91" t="s">
        <v>221</v>
      </c>
      <c r="G21" s="87" t="s">
        <v>173</v>
      </c>
      <c r="H21" s="92">
        <f>SUM(D39:H42)</f>
        <v>60</v>
      </c>
      <c r="I21" s="6"/>
    </row>
    <row r="22" ht="15.75" customHeight="1">
      <c r="G22" s="80" t="s">
        <v>222</v>
      </c>
    </row>
    <row r="23" ht="15.75" customHeight="1">
      <c r="A23" s="83" t="s">
        <v>223</v>
      </c>
      <c r="B23" s="85" t="s">
        <v>91</v>
      </c>
      <c r="C23" s="33"/>
      <c r="D23" s="33"/>
      <c r="E23" s="33"/>
      <c r="F23" s="33"/>
      <c r="G23" s="33"/>
      <c r="H23" s="34"/>
    </row>
    <row r="24" ht="15.75" customHeight="1">
      <c r="A24" s="83" t="s">
        <v>223</v>
      </c>
      <c r="B24" s="85" t="s">
        <v>145</v>
      </c>
      <c r="C24" s="33"/>
      <c r="D24" s="33"/>
      <c r="E24" s="33"/>
      <c r="F24" s="33"/>
      <c r="G24" s="33"/>
      <c r="H24" s="34"/>
    </row>
    <row r="25" ht="15.75" customHeight="1"/>
    <row r="26" ht="15.75" customHeight="1">
      <c r="A26" s="96" t="s">
        <v>224</v>
      </c>
      <c r="B26" s="6"/>
      <c r="C26" s="6"/>
      <c r="D26" s="6"/>
    </row>
    <row r="27" ht="15.75" customHeight="1">
      <c r="A27" s="97" t="s">
        <v>73</v>
      </c>
      <c r="B27" s="98" t="s">
        <v>225</v>
      </c>
      <c r="C27" s="34"/>
      <c r="D27" s="98" t="s">
        <v>226</v>
      </c>
      <c r="E27" s="34"/>
      <c r="F27" s="98" t="s">
        <v>227</v>
      </c>
      <c r="G27" s="33"/>
      <c r="H27" s="34"/>
    </row>
    <row r="28" ht="15.75" customHeight="1">
      <c r="A28" s="75">
        <v>1.0</v>
      </c>
      <c r="B28" s="74">
        <f>IFERROR(__xludf.DUMMYFUNCTION("FILTER('Diseño'!D:D,'Diseño'!H:H=$C$5)"),11.0)</f>
        <v>11</v>
      </c>
      <c r="C28" s="34"/>
      <c r="D28" s="74" t="str">
        <f>IFERROR(__xludf.DUMMYFUNCTION("FILTER('Diseño'!E:E,'Diseño'!H:H=$C$5)"),"Herramienta de Power BI")</f>
        <v>Herramienta de Power BI</v>
      </c>
      <c r="E28" s="34"/>
      <c r="F28" s="74" t="str">
        <f>IFERROR(__xludf.DUMMYFUNCTION("FILTER('Diseño'!F:F,'Diseño'!H:H=$C$5)"),"¿Qué es Power BI?")</f>
        <v>¿Qué es Power BI?</v>
      </c>
      <c r="G28" s="33"/>
      <c r="H28" s="34"/>
    </row>
    <row r="29" ht="15.75" customHeight="1">
      <c r="A29" s="75">
        <v>2.0</v>
      </c>
      <c r="B29" s="74">
        <f>IFERROR(__xludf.DUMMYFUNCTION("""COMPUTED_VALUE"""),11.0)</f>
        <v>11</v>
      </c>
      <c r="C29" s="34"/>
      <c r="D29" s="74" t="str">
        <f>IFERROR(__xludf.DUMMYFUNCTION("""COMPUTED_VALUE"""),"Herramienta de Power BI")</f>
        <v>Herramienta de Power BI</v>
      </c>
      <c r="E29" s="34"/>
      <c r="F29" s="74" t="str">
        <f>IFERROR(__xludf.DUMMYFUNCTION("""COMPUTED_VALUE"""),"Conexión con orígenes de datos (Excel/Access)")</f>
        <v>Conexión con orígenes de datos (Excel/Access)</v>
      </c>
      <c r="G29" s="33"/>
      <c r="H29" s="34"/>
    </row>
    <row r="30" ht="15.75" customHeight="1">
      <c r="A30" s="75">
        <v>3.0</v>
      </c>
      <c r="B30" s="74">
        <f>IFERROR(__xludf.DUMMYFUNCTION("""COMPUTED_VALUE"""),11.0)</f>
        <v>11</v>
      </c>
      <c r="C30" s="34"/>
      <c r="D30" s="74" t="str">
        <f>IFERROR(__xludf.DUMMYFUNCTION("""COMPUTED_VALUE"""),"Herramienta de Power BI")</f>
        <v>Herramienta de Power BI</v>
      </c>
      <c r="E30" s="34"/>
      <c r="F30" s="74" t="str">
        <f>IFERROR(__xludf.DUMMYFUNCTION("""COMPUTED_VALUE"""),"Visualizaciones básicas")</f>
        <v>Visualizaciones básicas</v>
      </c>
      <c r="G30" s="33"/>
      <c r="H30" s="34"/>
    </row>
    <row r="31" ht="15.75" customHeight="1">
      <c r="A31" s="75">
        <v>4.0</v>
      </c>
      <c r="B31" s="74">
        <f>IFERROR(__xludf.DUMMYFUNCTION("""COMPUTED_VALUE"""),11.0)</f>
        <v>11</v>
      </c>
      <c r="C31" s="34"/>
      <c r="D31" s="74" t="str">
        <f>IFERROR(__xludf.DUMMYFUNCTION("""COMPUTED_VALUE"""),"Herramienta de Power BI")</f>
        <v>Herramienta de Power BI</v>
      </c>
      <c r="E31" s="34"/>
      <c r="F31" s="74" t="str">
        <f>IFERROR(__xludf.DUMMYFUNCTION("""COMPUTED_VALUE"""),"Creación de informes interactivos")</f>
        <v>Creación de informes interactivos</v>
      </c>
      <c r="G31" s="33"/>
      <c r="H31" s="34"/>
    </row>
    <row r="32" ht="15.75" customHeight="1">
      <c r="A32" s="75">
        <v>5.0</v>
      </c>
      <c r="B32" s="74">
        <f>IFERROR(__xludf.DUMMYFUNCTION("""COMPUTED_VALUE"""),11.0)</f>
        <v>11</v>
      </c>
      <c r="C32" s="34"/>
      <c r="D32" s="74" t="str">
        <f>IFERROR(__xludf.DUMMYFUNCTION("""COMPUTED_VALUE"""),"Herramienta de Power BI")</f>
        <v>Herramienta de Power BI</v>
      </c>
      <c r="E32" s="34"/>
      <c r="F32" s="74" t="str">
        <f>IFERROR(__xludf.DUMMYFUNCTION("""COMPUTED_VALUE"""),"Conexión con Access")</f>
        <v>Conexión con Access</v>
      </c>
      <c r="G32" s="33"/>
      <c r="H32" s="34"/>
    </row>
    <row r="33" ht="15.75" customHeight="1">
      <c r="A33" s="75">
        <v>6.0</v>
      </c>
      <c r="B33" s="74">
        <f>IFERROR(__xludf.DUMMYFUNCTION("""COMPUTED_VALUE"""),11.0)</f>
        <v>11</v>
      </c>
      <c r="C33" s="34"/>
      <c r="D33" s="74" t="str">
        <f>IFERROR(__xludf.DUMMYFUNCTION("""COMPUTED_VALUE"""),"Herramienta de Power BI")</f>
        <v>Herramienta de Power BI</v>
      </c>
      <c r="E33" s="34"/>
      <c r="F33" s="74" t="str">
        <f>IFERROR(__xludf.DUMMYFUNCTION("""COMPUTED_VALUE"""),"Creación de reportes")</f>
        <v>Creación de reportes</v>
      </c>
      <c r="G33" s="33"/>
      <c r="H33" s="34"/>
    </row>
    <row r="34" ht="15.75" customHeight="1">
      <c r="A34" s="75">
        <v>7.0</v>
      </c>
      <c r="B34" s="74">
        <f>IFERROR(__xludf.DUMMYFUNCTION("""COMPUTED_VALUE"""),11.0)</f>
        <v>11</v>
      </c>
      <c r="C34" s="34"/>
      <c r="D34" s="74" t="str">
        <f>IFERROR(__xludf.DUMMYFUNCTION("""COMPUTED_VALUE"""),"Herramienta de Power BI")</f>
        <v>Herramienta de Power BI</v>
      </c>
      <c r="E34" s="34"/>
      <c r="F34" s="74" t="str">
        <f>IFERROR(__xludf.DUMMYFUNCTION("""COMPUTED_VALUE"""),"Ejemplo práctico")</f>
        <v>Ejemplo práctico</v>
      </c>
      <c r="G34" s="33"/>
      <c r="H34" s="34"/>
    </row>
    <row r="35" ht="15.75" customHeight="1"/>
    <row r="36" ht="15.75" customHeight="1">
      <c r="A36" s="96" t="s">
        <v>228</v>
      </c>
    </row>
    <row r="37" ht="15.75" customHeight="1">
      <c r="A37" s="6"/>
      <c r="B37" s="6"/>
      <c r="C37" s="6"/>
      <c r="D37" s="6"/>
      <c r="E37" s="6"/>
      <c r="F37" s="6"/>
      <c r="G37" s="6"/>
      <c r="H37" s="6"/>
    </row>
    <row r="38">
      <c r="A38" s="97" t="s">
        <v>229</v>
      </c>
      <c r="B38" s="97" t="s">
        <v>29</v>
      </c>
      <c r="C38" s="99" t="s">
        <v>230</v>
      </c>
      <c r="D38" s="100" t="s">
        <v>231</v>
      </c>
      <c r="E38" s="33"/>
      <c r="F38" s="33"/>
      <c r="G38" s="33"/>
      <c r="H38" s="34"/>
      <c r="I38" s="101" t="s">
        <v>18</v>
      </c>
    </row>
    <row r="39" ht="15.75" customHeight="1">
      <c r="A39" s="75" t="s">
        <v>232</v>
      </c>
      <c r="B39" s="75" t="s">
        <v>233</v>
      </c>
      <c r="C39" s="75">
        <v>30.0</v>
      </c>
      <c r="D39" s="85">
        <v>25.0</v>
      </c>
      <c r="E39" s="33"/>
      <c r="F39" s="33"/>
      <c r="G39" s="33"/>
      <c r="H39" s="34"/>
      <c r="I39" s="75" t="str">
        <f t="shared" ref="I39:I42" si="1">IF(D39&lt;=C39,"Correcto", "Corregir")</f>
        <v>Correcto</v>
      </c>
    </row>
    <row r="40" ht="15.75" customHeight="1">
      <c r="A40" s="75" t="s">
        <v>234</v>
      </c>
      <c r="B40" s="75" t="s">
        <v>233</v>
      </c>
      <c r="C40" s="75">
        <v>6.0</v>
      </c>
      <c r="D40" s="85">
        <v>5.0</v>
      </c>
      <c r="E40" s="33"/>
      <c r="F40" s="33"/>
      <c r="G40" s="33"/>
      <c r="H40" s="34"/>
      <c r="I40" s="75" t="str">
        <f t="shared" si="1"/>
        <v>Correcto</v>
      </c>
    </row>
    <row r="41" ht="15.75" customHeight="1">
      <c r="A41" s="75" t="s">
        <v>235</v>
      </c>
      <c r="B41" s="75" t="s">
        <v>236</v>
      </c>
      <c r="C41" s="75">
        <v>10.0</v>
      </c>
      <c r="D41" s="85">
        <v>5.0</v>
      </c>
      <c r="E41" s="33"/>
      <c r="F41" s="33"/>
      <c r="G41" s="33"/>
      <c r="H41" s="34"/>
      <c r="I41" s="75" t="str">
        <f t="shared" si="1"/>
        <v>Correcto</v>
      </c>
    </row>
    <row r="42" ht="15.75" customHeight="1">
      <c r="A42" s="75" t="s">
        <v>237</v>
      </c>
      <c r="B42" s="75" t="s">
        <v>233</v>
      </c>
      <c r="C42" s="75">
        <v>30.0</v>
      </c>
      <c r="D42" s="85">
        <v>25.0</v>
      </c>
      <c r="E42" s="33"/>
      <c r="F42" s="33"/>
      <c r="G42" s="33"/>
      <c r="H42" s="34"/>
      <c r="I42" s="75" t="str">
        <f t="shared" si="1"/>
        <v>Correcto</v>
      </c>
    </row>
    <row r="43" ht="15.75" customHeight="1"/>
    <row r="44" ht="15.75" customHeight="1">
      <c r="A44" s="91" t="s">
        <v>238</v>
      </c>
      <c r="G44" s="87" t="s">
        <v>173</v>
      </c>
      <c r="H44" s="114">
        <v>35.0</v>
      </c>
    </row>
    <row r="45" ht="15.75" customHeight="1">
      <c r="G45" s="80" t="s">
        <v>239</v>
      </c>
    </row>
    <row r="46" ht="15.75" customHeight="1">
      <c r="A46" s="80" t="s">
        <v>240</v>
      </c>
    </row>
    <row r="47">
      <c r="A47" s="83" t="s">
        <v>241</v>
      </c>
      <c r="B47" s="85" t="s">
        <v>145</v>
      </c>
      <c r="C47" s="33"/>
      <c r="D47" s="33"/>
      <c r="E47" s="33"/>
      <c r="F47" s="33"/>
      <c r="G47" s="33"/>
      <c r="H47" s="34"/>
    </row>
    <row r="48" ht="15.75" customHeight="1">
      <c r="A48" s="83" t="s">
        <v>8</v>
      </c>
      <c r="B48" s="85" t="s">
        <v>242</v>
      </c>
      <c r="C48" s="33"/>
      <c r="D48" s="33"/>
      <c r="E48" s="33"/>
      <c r="F48" s="33"/>
      <c r="G48" s="33"/>
      <c r="H48" s="34"/>
    </row>
    <row r="49" ht="15.75" customHeight="1">
      <c r="A49" s="83" t="s">
        <v>211</v>
      </c>
      <c r="B49" s="102">
        <v>0.0</v>
      </c>
      <c r="C49" s="33"/>
      <c r="D49" s="33"/>
      <c r="E49" s="33"/>
      <c r="F49" s="33"/>
      <c r="G49" s="33"/>
      <c r="H49" s="34"/>
    </row>
    <row r="50" ht="15.75" customHeight="1">
      <c r="A50" s="83" t="s">
        <v>173</v>
      </c>
      <c r="B50" s="85">
        <v>25.0</v>
      </c>
      <c r="C50" s="33"/>
      <c r="D50" s="33"/>
      <c r="E50" s="33"/>
      <c r="F50" s="33"/>
      <c r="G50" s="33"/>
      <c r="H50" s="34"/>
    </row>
    <row r="51" ht="15.75" customHeight="1">
      <c r="A51" s="103" t="s">
        <v>243</v>
      </c>
      <c r="B51" s="6"/>
      <c r="C51" s="6"/>
      <c r="D51" s="6"/>
      <c r="E51" s="6"/>
      <c r="F51" s="6"/>
      <c r="G51" s="6"/>
      <c r="H51" s="6"/>
    </row>
    <row r="52" ht="15.75" customHeight="1">
      <c r="A52" s="94" t="s">
        <v>244</v>
      </c>
      <c r="B52" s="33"/>
      <c r="C52" s="33"/>
      <c r="D52" s="33"/>
      <c r="E52" s="33"/>
      <c r="F52" s="33"/>
      <c r="G52" s="33"/>
      <c r="H52" s="34"/>
    </row>
    <row r="53" ht="15.75" customHeight="1">
      <c r="A53" s="104" t="s">
        <v>279</v>
      </c>
      <c r="B53" s="58"/>
      <c r="C53" s="58"/>
      <c r="D53" s="58"/>
      <c r="E53" s="58"/>
      <c r="F53" s="58"/>
      <c r="G53" s="58"/>
      <c r="H53" s="59"/>
    </row>
    <row r="54" ht="15.75" customHeight="1">
      <c r="A54" s="105"/>
      <c r="H54" s="106"/>
    </row>
    <row r="55" ht="15.75" customHeight="1">
      <c r="A55" s="60"/>
      <c r="B55" s="61"/>
      <c r="C55" s="61"/>
      <c r="D55" s="61"/>
      <c r="E55" s="61"/>
      <c r="F55" s="61"/>
      <c r="G55" s="61"/>
      <c r="H55" s="62"/>
    </row>
    <row r="56" ht="15.75" customHeight="1"/>
    <row r="57" ht="15.75" customHeight="1">
      <c r="A57" s="80" t="s">
        <v>246</v>
      </c>
    </row>
    <row r="58">
      <c r="A58" s="83" t="s">
        <v>241</v>
      </c>
      <c r="B58" s="85" t="s">
        <v>120</v>
      </c>
      <c r="C58" s="33"/>
      <c r="D58" s="33"/>
      <c r="E58" s="33"/>
      <c r="F58" s="33"/>
      <c r="G58" s="33"/>
      <c r="H58" s="34"/>
    </row>
    <row r="59" ht="15.75" customHeight="1">
      <c r="A59" s="83" t="s">
        <v>8</v>
      </c>
      <c r="B59" s="85" t="s">
        <v>280</v>
      </c>
      <c r="C59" s="33"/>
      <c r="D59" s="33"/>
      <c r="E59" s="33"/>
      <c r="F59" s="33"/>
      <c r="G59" s="33"/>
      <c r="H59" s="34"/>
    </row>
    <row r="60" ht="15.75" customHeight="1">
      <c r="A60" s="83" t="s">
        <v>211</v>
      </c>
      <c r="B60" s="109">
        <v>0.0</v>
      </c>
      <c r="C60" s="33"/>
      <c r="D60" s="33"/>
      <c r="E60" s="33"/>
      <c r="F60" s="33"/>
      <c r="G60" s="33"/>
      <c r="H60" s="34"/>
    </row>
    <row r="61" ht="15.75" customHeight="1">
      <c r="A61" s="83" t="s">
        <v>173</v>
      </c>
      <c r="B61" s="109">
        <v>10.0</v>
      </c>
      <c r="C61" s="33"/>
      <c r="D61" s="33"/>
      <c r="E61" s="33"/>
      <c r="F61" s="33"/>
      <c r="G61" s="33"/>
      <c r="H61" s="34"/>
    </row>
    <row r="62" ht="15.75" customHeight="1">
      <c r="A62" s="107" t="s">
        <v>247</v>
      </c>
      <c r="B62" s="6"/>
      <c r="C62" s="6"/>
      <c r="D62" s="6"/>
      <c r="E62" s="6"/>
      <c r="F62" s="6"/>
      <c r="G62" s="6"/>
      <c r="H62" s="6"/>
    </row>
    <row r="63" ht="15.75" customHeight="1">
      <c r="A63" s="94" t="s">
        <v>244</v>
      </c>
      <c r="B63" s="33"/>
      <c r="C63" s="33"/>
      <c r="D63" s="33"/>
      <c r="E63" s="33"/>
      <c r="F63" s="33"/>
      <c r="G63" s="33"/>
      <c r="H63" s="34"/>
    </row>
    <row r="64" ht="15.75" customHeight="1">
      <c r="A64" s="95" t="s">
        <v>281</v>
      </c>
      <c r="B64" s="58"/>
      <c r="C64" s="58"/>
      <c r="D64" s="58"/>
      <c r="E64" s="58"/>
      <c r="F64" s="58"/>
      <c r="G64" s="58"/>
      <c r="H64" s="59"/>
    </row>
    <row r="65" ht="15.75" customHeight="1">
      <c r="A65" s="105"/>
      <c r="H65" s="106"/>
    </row>
    <row r="66" ht="15.75" customHeight="1">
      <c r="A66" s="60"/>
      <c r="B66" s="61"/>
      <c r="C66" s="61"/>
      <c r="D66" s="61"/>
      <c r="E66" s="61"/>
      <c r="F66" s="61"/>
      <c r="G66" s="61"/>
      <c r="H66" s="62"/>
    </row>
    <row r="67" ht="15.75" customHeight="1"/>
    <row r="68" ht="15.75" customHeight="1">
      <c r="A68" s="91" t="s">
        <v>248</v>
      </c>
      <c r="G68" s="87" t="s">
        <v>173</v>
      </c>
      <c r="H68" s="92" t="str">
        <f>B70</f>
        <v/>
      </c>
    </row>
    <row r="69" ht="15.75" customHeight="1">
      <c r="G69" s="80" t="s">
        <v>249</v>
      </c>
    </row>
    <row r="70" ht="15.75" customHeight="1">
      <c r="A70" s="83" t="s">
        <v>173</v>
      </c>
      <c r="B70" s="102"/>
      <c r="C70" s="33"/>
      <c r="D70" s="33"/>
      <c r="E70" s="33"/>
      <c r="F70" s="33"/>
      <c r="G70" s="33"/>
      <c r="H70" s="34"/>
    </row>
    <row r="71" ht="15.75" customHeight="1">
      <c r="A71" s="100" t="s">
        <v>250</v>
      </c>
      <c r="B71" s="33"/>
      <c r="C71" s="33"/>
      <c r="D71" s="33"/>
      <c r="E71" s="33"/>
      <c r="F71" s="33"/>
      <c r="G71" s="33"/>
      <c r="H71" s="34"/>
    </row>
    <row r="72" ht="15.75" customHeight="1">
      <c r="A72" s="95" t="s">
        <v>251</v>
      </c>
      <c r="B72" s="58"/>
      <c r="C72" s="58"/>
      <c r="D72" s="58"/>
      <c r="E72" s="58"/>
      <c r="F72" s="58"/>
      <c r="G72" s="58"/>
      <c r="H72" s="59"/>
    </row>
    <row r="73" ht="15.75" customHeight="1">
      <c r="A73" s="60"/>
      <c r="B73" s="61"/>
      <c r="C73" s="61"/>
      <c r="D73" s="61"/>
      <c r="E73" s="61"/>
      <c r="F73" s="61"/>
      <c r="G73" s="61"/>
      <c r="H73" s="62"/>
    </row>
    <row r="74" ht="15.75" customHeight="1">
      <c r="A74" s="80" t="s">
        <v>252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14</v>
      </c>
    </row>
    <row r="3" ht="15.75" customHeight="1"/>
    <row r="4" ht="15.75" customHeight="1">
      <c r="B4" s="73" t="s">
        <v>1</v>
      </c>
      <c r="C4" s="74" t="str">
        <f>'Diseño'!C4</f>
        <v>90 - Programacion de Computadoras 1</v>
      </c>
      <c r="D4" s="33"/>
      <c r="E4" s="33"/>
      <c r="F4" s="33"/>
      <c r="G4" s="34"/>
    </row>
    <row r="5" ht="15.75" customHeight="1">
      <c r="B5" s="89" t="s">
        <v>170</v>
      </c>
      <c r="C5" s="74">
        <f>H9+H26+H43</f>
        <v>40</v>
      </c>
      <c r="D5" s="33"/>
      <c r="E5" s="33"/>
      <c r="F5" s="33"/>
      <c r="G5" s="34"/>
    </row>
    <row r="6" ht="15.75" customHeight="1">
      <c r="B6" s="89" t="s">
        <v>211</v>
      </c>
      <c r="C6" s="74">
        <f>F9+F26+F43</f>
        <v>40</v>
      </c>
      <c r="D6" s="33"/>
      <c r="E6" s="33"/>
      <c r="F6" s="33"/>
      <c r="G6" s="34"/>
    </row>
    <row r="7" ht="15.75" customHeight="1">
      <c r="B7" s="65" t="s">
        <v>282</v>
      </c>
    </row>
    <row r="8" ht="15.75" customHeight="1"/>
    <row r="9" ht="15.75" customHeight="1">
      <c r="A9" s="91" t="s">
        <v>283</v>
      </c>
      <c r="E9" s="87" t="s">
        <v>211</v>
      </c>
      <c r="F9" s="114">
        <v>15.0</v>
      </c>
      <c r="G9" s="87" t="s">
        <v>284</v>
      </c>
      <c r="H9" s="114">
        <v>20.0</v>
      </c>
    </row>
    <row r="10" ht="15.75" customHeight="1">
      <c r="A10" s="65" t="s">
        <v>233</v>
      </c>
    </row>
    <row r="11" ht="15.75" customHeight="1">
      <c r="A11" s="97" t="s">
        <v>223</v>
      </c>
      <c r="B11" s="82" t="s">
        <v>120</v>
      </c>
      <c r="C11" s="33"/>
      <c r="D11" s="33"/>
      <c r="E11" s="33"/>
      <c r="F11" s="33"/>
      <c r="G11" s="33"/>
      <c r="H11" s="34"/>
    </row>
    <row r="12" ht="15.75" customHeight="1">
      <c r="A12" s="97" t="s">
        <v>223</v>
      </c>
      <c r="B12" s="82" t="s">
        <v>88</v>
      </c>
      <c r="C12" s="33"/>
      <c r="D12" s="33"/>
      <c r="E12" s="33"/>
      <c r="F12" s="33"/>
      <c r="G12" s="33"/>
      <c r="H12" s="34"/>
    </row>
    <row r="13" ht="15.75" customHeight="1">
      <c r="A13" s="97" t="s">
        <v>223</v>
      </c>
      <c r="B13" s="82" t="s">
        <v>91</v>
      </c>
      <c r="C13" s="33"/>
      <c r="D13" s="33"/>
      <c r="E13" s="33"/>
      <c r="F13" s="33"/>
      <c r="G13" s="33"/>
      <c r="H13" s="34"/>
    </row>
    <row r="14" ht="15.75" customHeight="1">
      <c r="A14" s="97" t="s">
        <v>285</v>
      </c>
      <c r="B14" s="82" t="s">
        <v>286</v>
      </c>
      <c r="C14" s="33"/>
      <c r="D14" s="33"/>
      <c r="E14" s="33"/>
      <c r="F14" s="33"/>
      <c r="G14" s="33"/>
      <c r="H14" s="34"/>
    </row>
    <row r="15" ht="15.75" customHeight="1">
      <c r="A15" s="94" t="s">
        <v>287</v>
      </c>
      <c r="B15" s="33"/>
      <c r="C15" s="33"/>
      <c r="D15" s="33"/>
      <c r="E15" s="33"/>
      <c r="F15" s="33"/>
      <c r="G15" s="33"/>
      <c r="H15" s="34"/>
    </row>
    <row r="16" ht="15.75" customHeight="1">
      <c r="A16" s="119" t="s">
        <v>288</v>
      </c>
      <c r="B16" s="58"/>
      <c r="C16" s="58"/>
      <c r="D16" s="58"/>
      <c r="E16" s="58"/>
      <c r="F16" s="58"/>
      <c r="G16" s="58"/>
      <c r="H16" s="59"/>
    </row>
    <row r="17" ht="15.75" customHeight="1">
      <c r="A17" s="105"/>
      <c r="H17" s="106"/>
    </row>
    <row r="18" ht="15.75" customHeight="1">
      <c r="A18" s="60"/>
      <c r="B18" s="61"/>
      <c r="C18" s="61"/>
      <c r="D18" s="61"/>
      <c r="E18" s="61"/>
      <c r="F18" s="61"/>
      <c r="G18" s="61"/>
      <c r="H18" s="62"/>
    </row>
    <row r="19" ht="15.75" customHeight="1">
      <c r="A19" s="94" t="s">
        <v>289</v>
      </c>
      <c r="B19" s="33"/>
      <c r="C19" s="33"/>
      <c r="D19" s="33"/>
      <c r="E19" s="33"/>
      <c r="F19" s="33"/>
      <c r="G19" s="33"/>
      <c r="H19" s="34"/>
    </row>
    <row r="20" ht="15.75" customHeight="1">
      <c r="A20" s="119" t="s">
        <v>290</v>
      </c>
      <c r="B20" s="58"/>
      <c r="C20" s="58"/>
      <c r="D20" s="58"/>
      <c r="E20" s="58"/>
      <c r="F20" s="58"/>
      <c r="G20" s="58"/>
      <c r="H20" s="59"/>
    </row>
    <row r="21" ht="15.75" customHeight="1">
      <c r="A21" s="105"/>
      <c r="H21" s="106"/>
    </row>
    <row r="22" ht="15.75" customHeight="1">
      <c r="A22" s="105"/>
      <c r="H22" s="106"/>
    </row>
    <row r="23" ht="15.75" customHeight="1">
      <c r="A23" s="60"/>
      <c r="B23" s="61"/>
      <c r="C23" s="61"/>
      <c r="D23" s="61"/>
      <c r="E23" s="61"/>
      <c r="F23" s="61"/>
      <c r="G23" s="61"/>
      <c r="H23" s="62"/>
    </row>
    <row r="24" ht="15.75" customHeight="1"/>
    <row r="25" ht="15.75" customHeight="1"/>
    <row r="26" ht="15.75" customHeight="1">
      <c r="A26" s="91" t="s">
        <v>291</v>
      </c>
      <c r="E26" s="87" t="s">
        <v>211</v>
      </c>
      <c r="F26" s="114">
        <v>25.0</v>
      </c>
      <c r="G26" s="87" t="s">
        <v>284</v>
      </c>
      <c r="H26" s="114">
        <v>20.0</v>
      </c>
    </row>
    <row r="27" ht="15.75" customHeight="1">
      <c r="A27" s="65" t="s">
        <v>233</v>
      </c>
    </row>
    <row r="28" ht="15.75" customHeight="1">
      <c r="A28" s="97" t="s">
        <v>223</v>
      </c>
      <c r="B28" s="82" t="s">
        <v>120</v>
      </c>
      <c r="C28" s="33"/>
      <c r="D28" s="33"/>
      <c r="E28" s="33"/>
      <c r="F28" s="33"/>
      <c r="G28" s="33"/>
      <c r="H28" s="34"/>
    </row>
    <row r="29" ht="15.75" customHeight="1">
      <c r="A29" s="97" t="s">
        <v>223</v>
      </c>
      <c r="B29" s="82" t="s">
        <v>91</v>
      </c>
      <c r="C29" s="33"/>
      <c r="D29" s="33"/>
      <c r="E29" s="33"/>
      <c r="F29" s="33"/>
      <c r="G29" s="33"/>
      <c r="H29" s="34"/>
    </row>
    <row r="30" ht="15.75" customHeight="1">
      <c r="A30" s="97" t="s">
        <v>223</v>
      </c>
      <c r="B30" s="82" t="s">
        <v>88</v>
      </c>
      <c r="C30" s="33"/>
      <c r="D30" s="33"/>
      <c r="E30" s="33"/>
      <c r="F30" s="33"/>
      <c r="G30" s="33"/>
      <c r="H30" s="34"/>
    </row>
    <row r="31" ht="15.75" customHeight="1">
      <c r="A31" s="97" t="s">
        <v>285</v>
      </c>
      <c r="B31" s="82" t="s">
        <v>292</v>
      </c>
      <c r="C31" s="33"/>
      <c r="D31" s="33"/>
      <c r="E31" s="33"/>
      <c r="F31" s="33"/>
      <c r="G31" s="33"/>
      <c r="H31" s="34"/>
    </row>
    <row r="32" ht="15.75" customHeight="1">
      <c r="A32" s="94" t="s">
        <v>287</v>
      </c>
      <c r="B32" s="33"/>
      <c r="C32" s="33"/>
      <c r="D32" s="33"/>
      <c r="E32" s="33"/>
      <c r="F32" s="33"/>
      <c r="G32" s="33"/>
      <c r="H32" s="34"/>
    </row>
    <row r="33" ht="15.75" customHeight="1">
      <c r="A33" s="104" t="s">
        <v>293</v>
      </c>
      <c r="B33" s="58"/>
      <c r="C33" s="58"/>
      <c r="D33" s="58"/>
      <c r="E33" s="58"/>
      <c r="F33" s="58"/>
      <c r="G33" s="58"/>
      <c r="H33" s="59"/>
    </row>
    <row r="34" ht="15.75" customHeight="1">
      <c r="A34" s="105"/>
      <c r="H34" s="106"/>
    </row>
    <row r="35" ht="15.75" customHeight="1">
      <c r="A35" s="60"/>
      <c r="B35" s="61"/>
      <c r="C35" s="61"/>
      <c r="D35" s="61"/>
      <c r="E35" s="61"/>
      <c r="F35" s="61"/>
      <c r="G35" s="61"/>
      <c r="H35" s="62"/>
    </row>
    <row r="36" ht="15.75" customHeight="1">
      <c r="A36" s="94" t="s">
        <v>289</v>
      </c>
      <c r="B36" s="33"/>
      <c r="C36" s="33"/>
      <c r="D36" s="33"/>
      <c r="E36" s="33"/>
      <c r="F36" s="33"/>
      <c r="G36" s="33"/>
      <c r="H36" s="34"/>
    </row>
    <row r="37" ht="15.75" customHeight="1">
      <c r="A37" s="119" t="s">
        <v>294</v>
      </c>
      <c r="B37" s="58"/>
      <c r="C37" s="58"/>
      <c r="D37" s="58"/>
      <c r="E37" s="58"/>
      <c r="F37" s="58"/>
      <c r="G37" s="58"/>
      <c r="H37" s="59"/>
    </row>
    <row r="38" ht="15.75" customHeight="1">
      <c r="A38" s="105"/>
      <c r="H38" s="106"/>
    </row>
    <row r="39" ht="15.75" customHeight="1">
      <c r="A39" s="105"/>
      <c r="H39" s="106"/>
    </row>
    <row r="40" ht="15.75" customHeight="1">
      <c r="A40" s="60"/>
      <c r="B40" s="61"/>
      <c r="C40" s="61"/>
      <c r="D40" s="61"/>
      <c r="E40" s="61"/>
      <c r="F40" s="61"/>
      <c r="G40" s="61"/>
      <c r="H40" s="62"/>
    </row>
    <row r="41" ht="15.75" customHeight="1"/>
    <row r="42" ht="15.75" customHeight="1"/>
    <row r="43" ht="15.75" customHeight="1">
      <c r="A43" s="91" t="s">
        <v>295</v>
      </c>
      <c r="E43" s="87" t="s">
        <v>211</v>
      </c>
      <c r="F43" s="92"/>
      <c r="G43" s="87" t="s">
        <v>284</v>
      </c>
      <c r="H43" s="92"/>
    </row>
    <row r="44" ht="15.75" customHeight="1">
      <c r="A44" s="103" t="s">
        <v>296</v>
      </c>
    </row>
    <row r="45" ht="15.75" customHeight="1">
      <c r="A45" s="97" t="s">
        <v>223</v>
      </c>
      <c r="B45" s="74"/>
      <c r="C45" s="33"/>
      <c r="D45" s="33"/>
      <c r="E45" s="33"/>
      <c r="F45" s="33"/>
      <c r="G45" s="33"/>
      <c r="H45" s="34"/>
    </row>
    <row r="46" ht="15.75" customHeight="1">
      <c r="A46" s="97" t="s">
        <v>223</v>
      </c>
      <c r="B46" s="74"/>
      <c r="C46" s="33"/>
      <c r="D46" s="33"/>
      <c r="E46" s="33"/>
      <c r="F46" s="33"/>
      <c r="G46" s="33"/>
      <c r="H46" s="34"/>
    </row>
    <row r="47" ht="15.75" customHeight="1">
      <c r="A47" s="97" t="s">
        <v>223</v>
      </c>
      <c r="B47" s="74"/>
      <c r="C47" s="33"/>
      <c r="D47" s="33"/>
      <c r="E47" s="33"/>
      <c r="F47" s="33"/>
      <c r="G47" s="33"/>
      <c r="H47" s="34"/>
    </row>
    <row r="48" ht="15.75" customHeight="1">
      <c r="A48" s="97" t="s">
        <v>285</v>
      </c>
      <c r="B48" s="74"/>
      <c r="C48" s="33"/>
      <c r="D48" s="33"/>
      <c r="E48" s="33"/>
      <c r="F48" s="33"/>
      <c r="G48" s="33"/>
      <c r="H48" s="34"/>
    </row>
    <row r="49" ht="15.75" customHeight="1">
      <c r="A49" s="94" t="s">
        <v>287</v>
      </c>
      <c r="B49" s="33"/>
      <c r="C49" s="33"/>
      <c r="D49" s="33"/>
      <c r="E49" s="33"/>
      <c r="F49" s="33"/>
      <c r="G49" s="33"/>
      <c r="H49" s="34"/>
    </row>
    <row r="50" ht="15.75" customHeight="1">
      <c r="A50" s="108"/>
      <c r="B50" s="58"/>
      <c r="C50" s="58"/>
      <c r="D50" s="58"/>
      <c r="E50" s="58"/>
      <c r="F50" s="58"/>
      <c r="G50" s="58"/>
      <c r="H50" s="59"/>
    </row>
    <row r="51" ht="15.75" customHeight="1">
      <c r="A51" s="105"/>
      <c r="H51" s="106"/>
    </row>
    <row r="52" ht="15.75" customHeight="1">
      <c r="A52" s="60"/>
      <c r="B52" s="61"/>
      <c r="C52" s="61"/>
      <c r="D52" s="61"/>
      <c r="E52" s="61"/>
      <c r="F52" s="61"/>
      <c r="G52" s="61"/>
      <c r="H52" s="62"/>
    </row>
    <row r="53" ht="15.75" customHeight="1">
      <c r="A53" s="94" t="s">
        <v>289</v>
      </c>
      <c r="B53" s="33"/>
      <c r="C53" s="33"/>
      <c r="D53" s="33"/>
      <c r="E53" s="33"/>
      <c r="F53" s="33"/>
      <c r="G53" s="33"/>
      <c r="H53" s="34"/>
    </row>
    <row r="54" ht="15.75" customHeight="1">
      <c r="A54" s="108"/>
      <c r="B54" s="58"/>
      <c r="C54" s="58"/>
      <c r="D54" s="58"/>
      <c r="E54" s="58"/>
      <c r="F54" s="58"/>
      <c r="G54" s="58"/>
      <c r="H54" s="59"/>
    </row>
    <row r="55" ht="15.75" customHeight="1">
      <c r="A55" s="105"/>
      <c r="H55" s="106"/>
    </row>
    <row r="56" ht="15.75" customHeight="1">
      <c r="A56" s="105"/>
      <c r="H56" s="106"/>
    </row>
    <row r="57" ht="15.75" customHeight="1">
      <c r="A57" s="60"/>
      <c r="B57" s="61"/>
      <c r="C57" s="61"/>
      <c r="D57" s="61"/>
      <c r="E57" s="61"/>
      <c r="F57" s="61"/>
      <c r="G57" s="61"/>
      <c r="H57" s="6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formula1>#REF!</formula1>
    </dataValidation>
    <dataValidation type="list" allowBlank="1" showErrorMessage="1" sqref="B45:B47">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297</v>
      </c>
    </row>
    <row r="3" ht="15.75" customHeight="1"/>
    <row r="4" ht="15.75" customHeight="1">
      <c r="B4" s="73" t="s">
        <v>1</v>
      </c>
      <c r="C4" s="74" t="str">
        <f>'Diseño'!C4</f>
        <v>90 - Programacion de Computadoras 1</v>
      </c>
      <c r="D4" s="33"/>
      <c r="E4" s="33"/>
      <c r="F4" s="33"/>
      <c r="G4" s="34"/>
    </row>
    <row r="5" ht="15.75" customHeight="1">
      <c r="B5" s="89" t="s">
        <v>170</v>
      </c>
      <c r="C5" s="74">
        <f>H9+H26+H43+H60+H77+H94+H111</f>
        <v>12</v>
      </c>
      <c r="D5" s="33"/>
      <c r="E5" s="33"/>
      <c r="F5" s="33"/>
      <c r="G5" s="34"/>
    </row>
    <row r="6" ht="15.75" customHeight="1">
      <c r="B6" s="89" t="s">
        <v>211</v>
      </c>
      <c r="C6" s="74">
        <f>F9+F26+F43+F60+F77+F94+F111</f>
        <v>20</v>
      </c>
      <c r="D6" s="33"/>
      <c r="E6" s="33"/>
      <c r="F6" s="33"/>
      <c r="G6" s="34"/>
    </row>
    <row r="7" ht="15.75" customHeight="1">
      <c r="B7" s="65" t="s">
        <v>298</v>
      </c>
    </row>
    <row r="8" ht="15.75" customHeight="1"/>
    <row r="9" ht="15.75" customHeight="1">
      <c r="A9" s="91" t="s">
        <v>299</v>
      </c>
      <c r="E9" s="87" t="s">
        <v>211</v>
      </c>
      <c r="F9" s="114">
        <v>20.0</v>
      </c>
      <c r="G9" s="87" t="s">
        <v>284</v>
      </c>
      <c r="H9" s="114">
        <v>12.0</v>
      </c>
    </row>
    <row r="10" ht="15.75" customHeight="1">
      <c r="A10" s="65" t="s">
        <v>300</v>
      </c>
    </row>
    <row r="11" ht="15.75" customHeight="1">
      <c r="A11" s="120" t="s">
        <v>223</v>
      </c>
      <c r="B11" s="82" t="s">
        <v>80</v>
      </c>
      <c r="C11" s="33"/>
      <c r="D11" s="33"/>
      <c r="E11" s="33"/>
      <c r="F11" s="33"/>
      <c r="G11" s="33"/>
      <c r="H11" s="34"/>
    </row>
    <row r="12" ht="15.75" customHeight="1">
      <c r="A12" s="120" t="s">
        <v>223</v>
      </c>
      <c r="B12" s="82" t="s">
        <v>91</v>
      </c>
      <c r="C12" s="33"/>
      <c r="D12" s="33"/>
      <c r="E12" s="33"/>
      <c r="F12" s="33"/>
      <c r="G12" s="33"/>
      <c r="H12" s="34"/>
    </row>
    <row r="13" ht="15.75" customHeight="1">
      <c r="A13" s="120" t="s">
        <v>223</v>
      </c>
      <c r="B13" s="82"/>
      <c r="C13" s="33"/>
      <c r="D13" s="33"/>
      <c r="E13" s="33"/>
      <c r="F13" s="33"/>
      <c r="G13" s="33"/>
      <c r="H13" s="34"/>
    </row>
    <row r="14" ht="15.75" customHeight="1">
      <c r="A14" s="120" t="s">
        <v>285</v>
      </c>
      <c r="B14" s="121" t="s">
        <v>301</v>
      </c>
      <c r="C14" s="110"/>
      <c r="D14" s="110"/>
      <c r="E14" s="110"/>
      <c r="F14" s="110"/>
      <c r="G14" s="110"/>
      <c r="H14" s="122"/>
    </row>
    <row r="15" ht="15.75" customHeight="1">
      <c r="A15" s="112" t="s">
        <v>287</v>
      </c>
      <c r="B15" s="33"/>
      <c r="C15" s="33"/>
      <c r="D15" s="33"/>
      <c r="E15" s="33"/>
      <c r="F15" s="33"/>
      <c r="G15" s="33"/>
      <c r="H15" s="34"/>
    </row>
    <row r="16" ht="15.75" customHeight="1">
      <c r="A16" s="57" t="s">
        <v>302</v>
      </c>
      <c r="B16" s="58"/>
      <c r="C16" s="58"/>
      <c r="D16" s="58"/>
      <c r="E16" s="58"/>
      <c r="F16" s="58"/>
      <c r="G16" s="58"/>
      <c r="H16" s="59"/>
    </row>
    <row r="17" ht="15.75" customHeight="1">
      <c r="A17" s="105"/>
      <c r="H17" s="106"/>
    </row>
    <row r="18" ht="15.75" customHeight="1">
      <c r="A18" s="60"/>
      <c r="B18" s="61"/>
      <c r="C18" s="61"/>
      <c r="D18" s="61"/>
      <c r="E18" s="61"/>
      <c r="F18" s="61"/>
      <c r="G18" s="61"/>
      <c r="H18" s="62"/>
    </row>
    <row r="19" ht="15.75" customHeight="1">
      <c r="A19" s="112" t="s">
        <v>289</v>
      </c>
      <c r="B19" s="33"/>
      <c r="C19" s="33"/>
      <c r="D19" s="33"/>
      <c r="E19" s="33"/>
      <c r="F19" s="33"/>
      <c r="G19" s="33"/>
      <c r="H19" s="34"/>
    </row>
    <row r="20" ht="15.75" customHeight="1">
      <c r="A20" s="95" t="s">
        <v>303</v>
      </c>
      <c r="B20" s="58"/>
      <c r="C20" s="58"/>
      <c r="D20" s="58"/>
      <c r="E20" s="58"/>
      <c r="F20" s="58"/>
      <c r="G20" s="58"/>
      <c r="H20" s="59"/>
    </row>
    <row r="21" ht="15.75" customHeight="1">
      <c r="A21" s="105"/>
      <c r="H21" s="106"/>
    </row>
    <row r="22" ht="15.75" customHeight="1">
      <c r="A22" s="105"/>
      <c r="H22" s="106"/>
    </row>
    <row r="23" ht="15.75" customHeight="1">
      <c r="A23" s="60"/>
      <c r="B23" s="61"/>
      <c r="C23" s="61"/>
      <c r="D23" s="61"/>
      <c r="E23" s="61"/>
      <c r="F23" s="61"/>
      <c r="G23" s="61"/>
      <c r="H23" s="62"/>
    </row>
    <row r="24" ht="15.75" customHeight="1"/>
    <row r="25" ht="15.75" customHeight="1"/>
    <row r="26" ht="15.75" customHeight="1">
      <c r="A26" s="91" t="s">
        <v>304</v>
      </c>
      <c r="E26" s="87" t="s">
        <v>211</v>
      </c>
      <c r="F26" s="92"/>
      <c r="G26" s="87" t="s">
        <v>284</v>
      </c>
      <c r="H26" s="92"/>
    </row>
    <row r="27" ht="15.75" customHeight="1">
      <c r="A27" s="103" t="s">
        <v>296</v>
      </c>
    </row>
    <row r="28" ht="15.75" customHeight="1">
      <c r="A28" s="97" t="s">
        <v>223</v>
      </c>
      <c r="B28" s="74"/>
      <c r="C28" s="33"/>
      <c r="D28" s="33"/>
      <c r="E28" s="33"/>
      <c r="F28" s="33"/>
      <c r="G28" s="33"/>
      <c r="H28" s="34"/>
    </row>
    <row r="29" ht="15.75" customHeight="1">
      <c r="A29" s="97" t="s">
        <v>223</v>
      </c>
      <c r="B29" s="74"/>
      <c r="C29" s="33"/>
      <c r="D29" s="33"/>
      <c r="E29" s="33"/>
      <c r="F29" s="33"/>
      <c r="G29" s="33"/>
      <c r="H29" s="34"/>
    </row>
    <row r="30" ht="15.75" customHeight="1">
      <c r="A30" s="97" t="s">
        <v>223</v>
      </c>
      <c r="B30" s="74"/>
      <c r="C30" s="33"/>
      <c r="D30" s="33"/>
      <c r="E30" s="33"/>
      <c r="F30" s="33"/>
      <c r="G30" s="33"/>
      <c r="H30" s="34"/>
    </row>
    <row r="31" ht="15.75" customHeight="1">
      <c r="A31" s="97" t="s">
        <v>285</v>
      </c>
      <c r="B31" s="74"/>
      <c r="C31" s="33"/>
      <c r="D31" s="33"/>
      <c r="E31" s="33"/>
      <c r="F31" s="33"/>
      <c r="G31" s="33"/>
      <c r="H31" s="34"/>
    </row>
    <row r="32" ht="15.75" customHeight="1">
      <c r="A32" s="94" t="s">
        <v>287</v>
      </c>
      <c r="B32" s="33"/>
      <c r="C32" s="33"/>
      <c r="D32" s="33"/>
      <c r="E32" s="33"/>
      <c r="F32" s="33"/>
      <c r="G32" s="33"/>
      <c r="H32" s="34"/>
    </row>
    <row r="33" ht="15.75" customHeight="1">
      <c r="A33" s="108"/>
      <c r="B33" s="58"/>
      <c r="C33" s="58"/>
      <c r="D33" s="58"/>
      <c r="E33" s="58"/>
      <c r="F33" s="58"/>
      <c r="G33" s="58"/>
      <c r="H33" s="59"/>
    </row>
    <row r="34" ht="15.75" customHeight="1">
      <c r="A34" s="105"/>
      <c r="H34" s="106"/>
    </row>
    <row r="35" ht="15.75" customHeight="1">
      <c r="A35" s="60"/>
      <c r="B35" s="61"/>
      <c r="C35" s="61"/>
      <c r="D35" s="61"/>
      <c r="E35" s="61"/>
      <c r="F35" s="61"/>
      <c r="G35" s="61"/>
      <c r="H35" s="62"/>
    </row>
    <row r="36" ht="15.75" customHeight="1">
      <c r="A36" s="94" t="s">
        <v>289</v>
      </c>
      <c r="B36" s="33"/>
      <c r="C36" s="33"/>
      <c r="D36" s="33"/>
      <c r="E36" s="33"/>
      <c r="F36" s="33"/>
      <c r="G36" s="33"/>
      <c r="H36" s="34"/>
    </row>
    <row r="37" ht="15.75" customHeight="1">
      <c r="A37" s="108"/>
      <c r="B37" s="58"/>
      <c r="C37" s="58"/>
      <c r="D37" s="58"/>
      <c r="E37" s="58"/>
      <c r="F37" s="58"/>
      <c r="G37" s="58"/>
      <c r="H37" s="59"/>
    </row>
    <row r="38" ht="15.75" customHeight="1">
      <c r="A38" s="105"/>
      <c r="H38" s="106"/>
    </row>
    <row r="39" ht="15.75" customHeight="1">
      <c r="A39" s="105"/>
      <c r="H39" s="106"/>
    </row>
    <row r="40" ht="15.75" customHeight="1">
      <c r="A40" s="60"/>
      <c r="B40" s="61"/>
      <c r="C40" s="61"/>
      <c r="D40" s="61"/>
      <c r="E40" s="61"/>
      <c r="F40" s="61"/>
      <c r="G40" s="61"/>
      <c r="H40" s="62"/>
    </row>
    <row r="41" ht="15.75" customHeight="1"/>
    <row r="42" ht="15.75" customHeight="1"/>
    <row r="43" ht="15.75" customHeight="1">
      <c r="A43" s="91" t="s">
        <v>305</v>
      </c>
      <c r="E43" s="87" t="s">
        <v>211</v>
      </c>
      <c r="F43" s="92"/>
      <c r="G43" s="87" t="s">
        <v>284</v>
      </c>
      <c r="H43" s="92"/>
    </row>
    <row r="44" ht="15.75" customHeight="1">
      <c r="A44" s="103" t="s">
        <v>296</v>
      </c>
    </row>
    <row r="45" ht="15.75" customHeight="1">
      <c r="A45" s="97" t="s">
        <v>223</v>
      </c>
      <c r="B45" s="74"/>
      <c r="C45" s="33"/>
      <c r="D45" s="33"/>
      <c r="E45" s="33"/>
      <c r="F45" s="33"/>
      <c r="G45" s="33"/>
      <c r="H45" s="34"/>
    </row>
    <row r="46" ht="15.75" customHeight="1">
      <c r="A46" s="97" t="s">
        <v>223</v>
      </c>
      <c r="B46" s="74"/>
      <c r="C46" s="33"/>
      <c r="D46" s="33"/>
      <c r="E46" s="33"/>
      <c r="F46" s="33"/>
      <c r="G46" s="33"/>
      <c r="H46" s="34"/>
    </row>
    <row r="47" ht="15.75" customHeight="1">
      <c r="A47" s="97" t="s">
        <v>223</v>
      </c>
      <c r="B47" s="74"/>
      <c r="C47" s="33"/>
      <c r="D47" s="33"/>
      <c r="E47" s="33"/>
      <c r="F47" s="33"/>
      <c r="G47" s="33"/>
      <c r="H47" s="34"/>
    </row>
    <row r="48" ht="15.75" customHeight="1">
      <c r="A48" s="97" t="s">
        <v>285</v>
      </c>
      <c r="B48" s="74"/>
      <c r="C48" s="33"/>
      <c r="D48" s="33"/>
      <c r="E48" s="33"/>
      <c r="F48" s="33"/>
      <c r="G48" s="33"/>
      <c r="H48" s="34"/>
    </row>
    <row r="49" ht="15.75" customHeight="1">
      <c r="A49" s="94" t="s">
        <v>287</v>
      </c>
      <c r="B49" s="33"/>
      <c r="C49" s="33"/>
      <c r="D49" s="33"/>
      <c r="E49" s="33"/>
      <c r="F49" s="33"/>
      <c r="G49" s="33"/>
      <c r="H49" s="34"/>
    </row>
    <row r="50" ht="15.75" customHeight="1">
      <c r="A50" s="108"/>
      <c r="B50" s="58"/>
      <c r="C50" s="58"/>
      <c r="D50" s="58"/>
      <c r="E50" s="58"/>
      <c r="F50" s="58"/>
      <c r="G50" s="58"/>
      <c r="H50" s="59"/>
    </row>
    <row r="51" ht="15.75" customHeight="1">
      <c r="A51" s="105"/>
      <c r="H51" s="106"/>
    </row>
    <row r="52" ht="15.75" customHeight="1">
      <c r="A52" s="60"/>
      <c r="B52" s="61"/>
      <c r="C52" s="61"/>
      <c r="D52" s="61"/>
      <c r="E52" s="61"/>
      <c r="F52" s="61"/>
      <c r="G52" s="61"/>
      <c r="H52" s="62"/>
    </row>
    <row r="53" ht="15.75" customHeight="1">
      <c r="A53" s="94" t="s">
        <v>289</v>
      </c>
      <c r="B53" s="33"/>
      <c r="C53" s="33"/>
      <c r="D53" s="33"/>
      <c r="E53" s="33"/>
      <c r="F53" s="33"/>
      <c r="G53" s="33"/>
      <c r="H53" s="34"/>
    </row>
    <row r="54" ht="15.75" customHeight="1">
      <c r="A54" s="108"/>
      <c r="B54" s="58"/>
      <c r="C54" s="58"/>
      <c r="D54" s="58"/>
      <c r="E54" s="58"/>
      <c r="F54" s="58"/>
      <c r="G54" s="58"/>
      <c r="H54" s="59"/>
    </row>
    <row r="55" ht="15.75" customHeight="1">
      <c r="A55" s="105"/>
      <c r="H55" s="106"/>
    </row>
    <row r="56" ht="15.75" customHeight="1">
      <c r="A56" s="105"/>
      <c r="H56" s="106"/>
    </row>
    <row r="57" ht="15.75" customHeight="1">
      <c r="A57" s="60"/>
      <c r="B57" s="61"/>
      <c r="C57" s="61"/>
      <c r="D57" s="61"/>
      <c r="E57" s="61"/>
      <c r="F57" s="61"/>
      <c r="G57" s="61"/>
      <c r="H57" s="62"/>
    </row>
    <row r="58" ht="15.75" customHeight="1"/>
    <row r="59" ht="15.75" customHeight="1"/>
    <row r="60" ht="15.75" customHeight="1">
      <c r="A60" s="91" t="s">
        <v>306</v>
      </c>
      <c r="E60" s="87" t="s">
        <v>211</v>
      </c>
      <c r="F60" s="92"/>
      <c r="G60" s="87" t="s">
        <v>284</v>
      </c>
      <c r="H60" s="92"/>
    </row>
    <row r="61" ht="15.75" customHeight="1">
      <c r="A61" s="103" t="s">
        <v>296</v>
      </c>
    </row>
    <row r="62" ht="15.75" customHeight="1">
      <c r="A62" s="97" t="s">
        <v>223</v>
      </c>
      <c r="B62" s="74"/>
      <c r="C62" s="33"/>
      <c r="D62" s="33"/>
      <c r="E62" s="33"/>
      <c r="F62" s="33"/>
      <c r="G62" s="33"/>
      <c r="H62" s="34"/>
    </row>
    <row r="63" ht="15.75" customHeight="1">
      <c r="A63" s="97" t="s">
        <v>223</v>
      </c>
      <c r="B63" s="74"/>
      <c r="C63" s="33"/>
      <c r="D63" s="33"/>
      <c r="E63" s="33"/>
      <c r="F63" s="33"/>
      <c r="G63" s="33"/>
      <c r="H63" s="34"/>
    </row>
    <row r="64" ht="15.75" customHeight="1">
      <c r="A64" s="97" t="s">
        <v>223</v>
      </c>
      <c r="B64" s="74"/>
      <c r="C64" s="33"/>
      <c r="D64" s="33"/>
      <c r="E64" s="33"/>
      <c r="F64" s="33"/>
      <c r="G64" s="33"/>
      <c r="H64" s="34"/>
    </row>
    <row r="65" ht="15.75" customHeight="1">
      <c r="A65" s="97" t="s">
        <v>285</v>
      </c>
      <c r="B65" s="74"/>
      <c r="C65" s="33"/>
      <c r="D65" s="33"/>
      <c r="E65" s="33"/>
      <c r="F65" s="33"/>
      <c r="G65" s="33"/>
      <c r="H65" s="34"/>
    </row>
    <row r="66" ht="15.75" customHeight="1">
      <c r="A66" s="94" t="s">
        <v>287</v>
      </c>
      <c r="B66" s="33"/>
      <c r="C66" s="33"/>
      <c r="D66" s="33"/>
      <c r="E66" s="33"/>
      <c r="F66" s="33"/>
      <c r="G66" s="33"/>
      <c r="H66" s="34"/>
    </row>
    <row r="67" ht="15.75" customHeight="1">
      <c r="A67" s="108"/>
      <c r="B67" s="58"/>
      <c r="C67" s="58"/>
      <c r="D67" s="58"/>
      <c r="E67" s="58"/>
      <c r="F67" s="58"/>
      <c r="G67" s="58"/>
      <c r="H67" s="59"/>
    </row>
    <row r="68" ht="15.75" customHeight="1">
      <c r="A68" s="105"/>
      <c r="H68" s="106"/>
    </row>
    <row r="69" ht="15.75" customHeight="1">
      <c r="A69" s="60"/>
      <c r="B69" s="61"/>
      <c r="C69" s="61"/>
      <c r="D69" s="61"/>
      <c r="E69" s="61"/>
      <c r="F69" s="61"/>
      <c r="G69" s="61"/>
      <c r="H69" s="62"/>
    </row>
    <row r="70" ht="15.75" customHeight="1">
      <c r="A70" s="94" t="s">
        <v>289</v>
      </c>
      <c r="B70" s="33"/>
      <c r="C70" s="33"/>
      <c r="D70" s="33"/>
      <c r="E70" s="33"/>
      <c r="F70" s="33"/>
      <c r="G70" s="33"/>
      <c r="H70" s="34"/>
    </row>
    <row r="71" ht="15.75" customHeight="1">
      <c r="A71" s="108"/>
      <c r="B71" s="58"/>
      <c r="C71" s="58"/>
      <c r="D71" s="58"/>
      <c r="E71" s="58"/>
      <c r="F71" s="58"/>
      <c r="G71" s="58"/>
      <c r="H71" s="59"/>
    </row>
    <row r="72" ht="15.75" customHeight="1">
      <c r="A72" s="105"/>
      <c r="H72" s="106"/>
    </row>
    <row r="73" ht="15.75" customHeight="1">
      <c r="A73" s="105"/>
      <c r="H73" s="106"/>
    </row>
    <row r="74" ht="15.75" customHeight="1">
      <c r="A74" s="60"/>
      <c r="B74" s="61"/>
      <c r="C74" s="61"/>
      <c r="D74" s="61"/>
      <c r="E74" s="61"/>
      <c r="F74" s="61"/>
      <c r="G74" s="61"/>
      <c r="H74" s="62"/>
    </row>
    <row r="75" ht="15.75" customHeight="1"/>
    <row r="76" ht="15.75" customHeight="1"/>
    <row r="77" ht="15.75" customHeight="1">
      <c r="A77" s="91" t="s">
        <v>307</v>
      </c>
      <c r="E77" s="87" t="s">
        <v>211</v>
      </c>
      <c r="F77" s="92"/>
      <c r="G77" s="87" t="s">
        <v>284</v>
      </c>
      <c r="H77" s="92"/>
    </row>
    <row r="78" ht="15.75" customHeight="1">
      <c r="A78" s="103" t="s">
        <v>296</v>
      </c>
    </row>
    <row r="79" ht="15.75" customHeight="1">
      <c r="A79" s="97" t="s">
        <v>223</v>
      </c>
      <c r="B79" s="74"/>
      <c r="C79" s="33"/>
      <c r="D79" s="33"/>
      <c r="E79" s="33"/>
      <c r="F79" s="33"/>
      <c r="G79" s="33"/>
      <c r="H79" s="34"/>
    </row>
    <row r="80" ht="15.75" customHeight="1">
      <c r="A80" s="97" t="s">
        <v>223</v>
      </c>
      <c r="B80" s="74"/>
      <c r="C80" s="33"/>
      <c r="D80" s="33"/>
      <c r="E80" s="33"/>
      <c r="F80" s="33"/>
      <c r="G80" s="33"/>
      <c r="H80" s="34"/>
    </row>
    <row r="81" ht="15.75" customHeight="1">
      <c r="A81" s="97" t="s">
        <v>223</v>
      </c>
      <c r="B81" s="74"/>
      <c r="C81" s="33"/>
      <c r="D81" s="33"/>
      <c r="E81" s="33"/>
      <c r="F81" s="33"/>
      <c r="G81" s="33"/>
      <c r="H81" s="34"/>
    </row>
    <row r="82" ht="15.75" customHeight="1">
      <c r="A82" s="97" t="s">
        <v>285</v>
      </c>
      <c r="B82" s="74"/>
      <c r="C82" s="33"/>
      <c r="D82" s="33"/>
      <c r="E82" s="33"/>
      <c r="F82" s="33"/>
      <c r="G82" s="33"/>
      <c r="H82" s="34"/>
    </row>
    <row r="83" ht="15.75" customHeight="1">
      <c r="A83" s="94" t="s">
        <v>287</v>
      </c>
      <c r="B83" s="33"/>
      <c r="C83" s="33"/>
      <c r="D83" s="33"/>
      <c r="E83" s="33"/>
      <c r="F83" s="33"/>
      <c r="G83" s="33"/>
      <c r="H83" s="34"/>
    </row>
    <row r="84" ht="15.75" customHeight="1">
      <c r="A84" s="108"/>
      <c r="B84" s="58"/>
      <c r="C84" s="58"/>
      <c r="D84" s="58"/>
      <c r="E84" s="58"/>
      <c r="F84" s="58"/>
      <c r="G84" s="58"/>
      <c r="H84" s="59"/>
    </row>
    <row r="85" ht="15.75" customHeight="1">
      <c r="A85" s="105"/>
      <c r="H85" s="106"/>
    </row>
    <row r="86" ht="15.75" customHeight="1">
      <c r="A86" s="60"/>
      <c r="B86" s="61"/>
      <c r="C86" s="61"/>
      <c r="D86" s="61"/>
      <c r="E86" s="61"/>
      <c r="F86" s="61"/>
      <c r="G86" s="61"/>
      <c r="H86" s="62"/>
    </row>
    <row r="87" ht="15.75" customHeight="1">
      <c r="A87" s="94" t="s">
        <v>289</v>
      </c>
      <c r="B87" s="33"/>
      <c r="C87" s="33"/>
      <c r="D87" s="33"/>
      <c r="E87" s="33"/>
      <c r="F87" s="33"/>
      <c r="G87" s="33"/>
      <c r="H87" s="34"/>
    </row>
    <row r="88" ht="15.75" customHeight="1">
      <c r="A88" s="108"/>
      <c r="B88" s="58"/>
      <c r="C88" s="58"/>
      <c r="D88" s="58"/>
      <c r="E88" s="58"/>
      <c r="F88" s="58"/>
      <c r="G88" s="58"/>
      <c r="H88" s="59"/>
    </row>
    <row r="89" ht="15.75" customHeight="1">
      <c r="A89" s="105"/>
      <c r="H89" s="106"/>
    </row>
    <row r="90" ht="15.75" customHeight="1">
      <c r="A90" s="105"/>
      <c r="H90" s="106"/>
    </row>
    <row r="91" ht="15.75" customHeight="1">
      <c r="A91" s="60"/>
      <c r="B91" s="61"/>
      <c r="C91" s="61"/>
      <c r="D91" s="61"/>
      <c r="E91" s="61"/>
      <c r="F91" s="61"/>
      <c r="G91" s="61"/>
      <c r="H91" s="62"/>
    </row>
    <row r="92" ht="15.75" customHeight="1"/>
    <row r="93" ht="15.75" customHeight="1"/>
    <row r="94" ht="15.75" customHeight="1">
      <c r="A94" s="91" t="s">
        <v>308</v>
      </c>
      <c r="E94" s="87" t="s">
        <v>211</v>
      </c>
      <c r="F94" s="92"/>
      <c r="G94" s="87" t="s">
        <v>284</v>
      </c>
      <c r="H94" s="92"/>
    </row>
    <row r="95" ht="15.75" customHeight="1">
      <c r="A95" s="103" t="s">
        <v>296</v>
      </c>
    </row>
    <row r="96" ht="15.75" customHeight="1">
      <c r="A96" s="97" t="s">
        <v>223</v>
      </c>
      <c r="B96" s="74"/>
      <c r="C96" s="33"/>
      <c r="D96" s="33"/>
      <c r="E96" s="33"/>
      <c r="F96" s="33"/>
      <c r="G96" s="33"/>
      <c r="H96" s="34"/>
    </row>
    <row r="97" ht="15.75" customHeight="1">
      <c r="A97" s="97" t="s">
        <v>223</v>
      </c>
      <c r="B97" s="74"/>
      <c r="C97" s="33"/>
      <c r="D97" s="33"/>
      <c r="E97" s="33"/>
      <c r="F97" s="33"/>
      <c r="G97" s="33"/>
      <c r="H97" s="34"/>
    </row>
    <row r="98" ht="15.75" customHeight="1">
      <c r="A98" s="97" t="s">
        <v>223</v>
      </c>
      <c r="B98" s="74"/>
      <c r="C98" s="33"/>
      <c r="D98" s="33"/>
      <c r="E98" s="33"/>
      <c r="F98" s="33"/>
      <c r="G98" s="33"/>
      <c r="H98" s="34"/>
    </row>
    <row r="99" ht="15.75" customHeight="1">
      <c r="A99" s="97" t="s">
        <v>285</v>
      </c>
      <c r="B99" s="74"/>
      <c r="C99" s="33"/>
      <c r="D99" s="33"/>
      <c r="E99" s="33"/>
      <c r="F99" s="33"/>
      <c r="G99" s="33"/>
      <c r="H99" s="34"/>
    </row>
    <row r="100" ht="15.75" customHeight="1">
      <c r="A100" s="94" t="s">
        <v>287</v>
      </c>
      <c r="B100" s="33"/>
      <c r="C100" s="33"/>
      <c r="D100" s="33"/>
      <c r="E100" s="33"/>
      <c r="F100" s="33"/>
      <c r="G100" s="33"/>
      <c r="H100" s="34"/>
    </row>
    <row r="101" ht="15.75" customHeight="1">
      <c r="A101" s="108"/>
      <c r="B101" s="58"/>
      <c r="C101" s="58"/>
      <c r="D101" s="58"/>
      <c r="E101" s="58"/>
      <c r="F101" s="58"/>
      <c r="G101" s="58"/>
      <c r="H101" s="59"/>
    </row>
    <row r="102" ht="15.75" customHeight="1">
      <c r="A102" s="105"/>
      <c r="H102" s="106"/>
    </row>
    <row r="103" ht="15.75" customHeight="1">
      <c r="A103" s="60"/>
      <c r="B103" s="61"/>
      <c r="C103" s="61"/>
      <c r="D103" s="61"/>
      <c r="E103" s="61"/>
      <c r="F103" s="61"/>
      <c r="G103" s="61"/>
      <c r="H103" s="62"/>
    </row>
    <row r="104" ht="15.75" customHeight="1">
      <c r="A104" s="94" t="s">
        <v>289</v>
      </c>
      <c r="B104" s="33"/>
      <c r="C104" s="33"/>
      <c r="D104" s="33"/>
      <c r="E104" s="33"/>
      <c r="F104" s="33"/>
      <c r="G104" s="33"/>
      <c r="H104" s="34"/>
    </row>
    <row r="105" ht="15.75" customHeight="1">
      <c r="A105" s="108"/>
      <c r="B105" s="58"/>
      <c r="C105" s="58"/>
      <c r="D105" s="58"/>
      <c r="E105" s="58"/>
      <c r="F105" s="58"/>
      <c r="G105" s="58"/>
      <c r="H105" s="59"/>
    </row>
    <row r="106" ht="15.75" customHeight="1">
      <c r="A106" s="105"/>
      <c r="H106" s="106"/>
    </row>
    <row r="107" ht="15.75" customHeight="1">
      <c r="A107" s="105"/>
      <c r="H107" s="106"/>
    </row>
    <row r="108" ht="15.75" customHeight="1">
      <c r="A108" s="60"/>
      <c r="B108" s="61"/>
      <c r="C108" s="61"/>
      <c r="D108" s="61"/>
      <c r="E108" s="61"/>
      <c r="F108" s="61"/>
      <c r="G108" s="61"/>
      <c r="H108" s="62"/>
    </row>
    <row r="109" ht="15.75" customHeight="1"/>
    <row r="110" ht="15.75" customHeight="1"/>
    <row r="111" ht="15.75" customHeight="1">
      <c r="A111" s="91" t="s">
        <v>309</v>
      </c>
      <c r="E111" s="87" t="s">
        <v>211</v>
      </c>
      <c r="F111" s="92"/>
      <c r="G111" s="87" t="s">
        <v>284</v>
      </c>
      <c r="H111" s="92"/>
    </row>
    <row r="112" ht="15.75" customHeight="1">
      <c r="A112" s="103" t="s">
        <v>296</v>
      </c>
    </row>
    <row r="113" ht="15.75" customHeight="1">
      <c r="A113" s="97" t="s">
        <v>223</v>
      </c>
      <c r="B113" s="74"/>
      <c r="C113" s="33"/>
      <c r="D113" s="33"/>
      <c r="E113" s="33"/>
      <c r="F113" s="33"/>
      <c r="G113" s="33"/>
      <c r="H113" s="34"/>
    </row>
    <row r="114" ht="15.75" customHeight="1">
      <c r="A114" s="97" t="s">
        <v>223</v>
      </c>
      <c r="B114" s="74"/>
      <c r="C114" s="33"/>
      <c r="D114" s="33"/>
      <c r="E114" s="33"/>
      <c r="F114" s="33"/>
      <c r="G114" s="33"/>
      <c r="H114" s="34"/>
    </row>
    <row r="115" ht="15.75" customHeight="1">
      <c r="A115" s="97" t="s">
        <v>223</v>
      </c>
      <c r="B115" s="74"/>
      <c r="C115" s="33"/>
      <c r="D115" s="33"/>
      <c r="E115" s="33"/>
      <c r="F115" s="33"/>
      <c r="G115" s="33"/>
      <c r="H115" s="34"/>
    </row>
    <row r="116" ht="15.75" customHeight="1">
      <c r="A116" s="97" t="s">
        <v>285</v>
      </c>
      <c r="B116" s="74"/>
      <c r="C116" s="33"/>
      <c r="D116" s="33"/>
      <c r="E116" s="33"/>
      <c r="F116" s="33"/>
      <c r="G116" s="33"/>
      <c r="H116" s="34"/>
    </row>
    <row r="117" ht="15.75" customHeight="1">
      <c r="A117" s="94" t="s">
        <v>287</v>
      </c>
      <c r="B117" s="33"/>
      <c r="C117" s="33"/>
      <c r="D117" s="33"/>
      <c r="E117" s="33"/>
      <c r="F117" s="33"/>
      <c r="G117" s="33"/>
      <c r="H117" s="34"/>
    </row>
    <row r="118" ht="15.75" customHeight="1">
      <c r="A118" s="108"/>
      <c r="B118" s="58"/>
      <c r="C118" s="58"/>
      <c r="D118" s="58"/>
      <c r="E118" s="58"/>
      <c r="F118" s="58"/>
      <c r="G118" s="58"/>
      <c r="H118" s="59"/>
    </row>
    <row r="119" ht="15.75" customHeight="1">
      <c r="A119" s="105"/>
      <c r="H119" s="106"/>
    </row>
    <row r="120" ht="15.75" customHeight="1">
      <c r="A120" s="60"/>
      <c r="B120" s="61"/>
      <c r="C120" s="61"/>
      <c r="D120" s="61"/>
      <c r="E120" s="61"/>
      <c r="F120" s="61"/>
      <c r="G120" s="61"/>
      <c r="H120" s="62"/>
    </row>
    <row r="121" ht="15.75" customHeight="1">
      <c r="A121" s="94" t="s">
        <v>289</v>
      </c>
      <c r="B121" s="33"/>
      <c r="C121" s="33"/>
      <c r="D121" s="33"/>
      <c r="E121" s="33"/>
      <c r="F121" s="33"/>
      <c r="G121" s="33"/>
      <c r="H121" s="34"/>
    </row>
    <row r="122" ht="15.75" customHeight="1">
      <c r="A122" s="108"/>
      <c r="B122" s="58"/>
      <c r="C122" s="58"/>
      <c r="D122" s="58"/>
      <c r="E122" s="58"/>
      <c r="F122" s="58"/>
      <c r="G122" s="58"/>
      <c r="H122" s="59"/>
    </row>
    <row r="123" ht="15.75" customHeight="1">
      <c r="A123" s="105"/>
      <c r="H123" s="106"/>
    </row>
    <row r="124" ht="15.75" customHeight="1">
      <c r="A124" s="105"/>
      <c r="H124" s="106"/>
    </row>
    <row r="125" ht="15.75" customHeight="1">
      <c r="A125" s="60"/>
      <c r="B125" s="61"/>
      <c r="C125" s="61"/>
      <c r="D125" s="61"/>
      <c r="E125" s="61"/>
      <c r="F125" s="61"/>
      <c r="G125" s="61"/>
      <c r="H125" s="6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B2:H2"/>
    <mergeCell ref="C4:G4"/>
    <mergeCell ref="C5:G5"/>
    <mergeCell ref="C6:G6"/>
    <mergeCell ref="A9:D9"/>
    <mergeCell ref="B11:H11"/>
    <mergeCell ref="B12:H12"/>
    <mergeCell ref="B13:H13"/>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formula1>#REF!</formula1>
    </dataValidation>
    <dataValidation type="list" allowBlank="1" showErrorMessage="1" sqref="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8" t="s">
        <v>16</v>
      </c>
    </row>
    <row r="3" ht="15.75" customHeight="1"/>
    <row r="4" ht="15.75" customHeight="1">
      <c r="B4" s="73" t="s">
        <v>1</v>
      </c>
      <c r="C4" s="74" t="str">
        <f>'Diseño'!C4</f>
        <v>90 - Programacion de Computadoras 1</v>
      </c>
      <c r="D4" s="33"/>
      <c r="E4" s="33"/>
      <c r="F4" s="33"/>
      <c r="G4" s="34"/>
    </row>
    <row r="5" ht="15.75" customHeight="1">
      <c r="B5" s="89" t="s">
        <v>170</v>
      </c>
      <c r="C5" s="74">
        <f>H9+H26+H43+H60+H77+H94+H111+H128</f>
        <v>18</v>
      </c>
      <c r="D5" s="33"/>
      <c r="E5" s="33"/>
      <c r="F5" s="33"/>
      <c r="G5" s="34"/>
    </row>
    <row r="6" ht="15.75" customHeight="1">
      <c r="B6" s="89" t="s">
        <v>211</v>
      </c>
      <c r="C6" s="74">
        <f>F9+F26+F43+F60+F77+F94+F111+F128</f>
        <v>15</v>
      </c>
      <c r="D6" s="33"/>
      <c r="E6" s="33"/>
      <c r="F6" s="33"/>
      <c r="G6" s="34"/>
    </row>
    <row r="7" ht="15.75" customHeight="1">
      <c r="B7" s="65" t="s">
        <v>310</v>
      </c>
    </row>
    <row r="8" ht="15.75" customHeight="1"/>
    <row r="9" ht="15.75" customHeight="1">
      <c r="A9" s="91" t="s">
        <v>311</v>
      </c>
      <c r="E9" s="87" t="s">
        <v>211</v>
      </c>
      <c r="F9" s="114">
        <v>0.0</v>
      </c>
      <c r="G9" s="87" t="s">
        <v>284</v>
      </c>
      <c r="H9" s="114">
        <v>3.0</v>
      </c>
    </row>
    <row r="10" ht="15.75" customHeight="1">
      <c r="A10" s="65" t="s">
        <v>312</v>
      </c>
    </row>
    <row r="11" ht="15.75" customHeight="1">
      <c r="A11" s="97" t="s">
        <v>223</v>
      </c>
      <c r="B11" s="82" t="s">
        <v>88</v>
      </c>
      <c r="C11" s="33"/>
      <c r="D11" s="33"/>
      <c r="E11" s="33"/>
      <c r="F11" s="33"/>
      <c r="G11" s="33"/>
      <c r="H11" s="34"/>
    </row>
    <row r="12" ht="15.75" customHeight="1">
      <c r="A12" s="97" t="s">
        <v>223</v>
      </c>
      <c r="B12" s="82" t="s">
        <v>91</v>
      </c>
      <c r="C12" s="33"/>
      <c r="D12" s="33"/>
      <c r="E12" s="33"/>
      <c r="F12" s="33"/>
      <c r="G12" s="33"/>
      <c r="H12" s="34"/>
    </row>
    <row r="13" ht="15.75" customHeight="1">
      <c r="A13" s="97" t="s">
        <v>223</v>
      </c>
      <c r="B13" s="82" t="s">
        <v>80</v>
      </c>
      <c r="C13" s="33"/>
      <c r="D13" s="33"/>
      <c r="E13" s="33"/>
      <c r="F13" s="33"/>
      <c r="G13" s="33"/>
      <c r="H13" s="34"/>
    </row>
    <row r="14" ht="15.75" customHeight="1">
      <c r="A14" s="97" t="s">
        <v>285</v>
      </c>
      <c r="B14" s="85" t="s">
        <v>313</v>
      </c>
      <c r="C14" s="33"/>
      <c r="D14" s="33"/>
      <c r="E14" s="33"/>
      <c r="F14" s="33"/>
      <c r="G14" s="33"/>
      <c r="H14" s="34"/>
    </row>
    <row r="15" ht="15.75" customHeight="1">
      <c r="A15" s="94" t="s">
        <v>287</v>
      </c>
      <c r="B15" s="33"/>
      <c r="C15" s="33"/>
      <c r="D15" s="33"/>
      <c r="E15" s="33"/>
      <c r="F15" s="33"/>
      <c r="G15" s="33"/>
      <c r="H15" s="34"/>
    </row>
    <row r="16" ht="15.75" customHeight="1">
      <c r="A16" s="104" t="s">
        <v>314</v>
      </c>
      <c r="B16" s="58"/>
      <c r="C16" s="58"/>
      <c r="D16" s="58"/>
      <c r="E16" s="58"/>
      <c r="F16" s="58"/>
      <c r="G16" s="58"/>
      <c r="H16" s="59"/>
    </row>
    <row r="17" ht="15.75" customHeight="1">
      <c r="A17" s="105"/>
      <c r="H17" s="106"/>
    </row>
    <row r="18" ht="15.75" customHeight="1">
      <c r="A18" s="60"/>
      <c r="B18" s="61"/>
      <c r="C18" s="61"/>
      <c r="D18" s="61"/>
      <c r="E18" s="61"/>
      <c r="F18" s="61"/>
      <c r="G18" s="61"/>
      <c r="H18" s="62"/>
    </row>
    <row r="19" ht="15.75" customHeight="1">
      <c r="A19" s="94" t="s">
        <v>315</v>
      </c>
      <c r="B19" s="33"/>
      <c r="C19" s="33"/>
      <c r="D19" s="33"/>
      <c r="E19" s="33"/>
      <c r="F19" s="33"/>
      <c r="G19" s="33"/>
      <c r="H19" s="34"/>
    </row>
    <row r="20" ht="15.75" customHeight="1">
      <c r="A20" s="123" t="s">
        <v>316</v>
      </c>
      <c r="B20" s="58"/>
      <c r="C20" s="58"/>
      <c r="D20" s="58"/>
      <c r="E20" s="58"/>
      <c r="F20" s="58"/>
      <c r="G20" s="58"/>
      <c r="H20" s="59"/>
    </row>
    <row r="21" ht="15.75" customHeight="1">
      <c r="A21" s="105"/>
      <c r="H21" s="106"/>
    </row>
    <row r="22" ht="15.75" customHeight="1">
      <c r="A22" s="105"/>
      <c r="H22" s="106"/>
    </row>
    <row r="23" ht="15.75" customHeight="1">
      <c r="A23" s="60"/>
      <c r="B23" s="61"/>
      <c r="C23" s="61"/>
      <c r="D23" s="61"/>
      <c r="E23" s="61"/>
      <c r="F23" s="61"/>
      <c r="G23" s="61"/>
      <c r="H23" s="62"/>
    </row>
    <row r="24" ht="15.75" customHeight="1">
      <c r="A24" s="91"/>
      <c r="B24" s="91"/>
      <c r="C24" s="91"/>
      <c r="D24" s="91"/>
      <c r="E24" s="87"/>
      <c r="F24" s="124"/>
      <c r="G24" s="87"/>
      <c r="H24" s="124"/>
    </row>
    <row r="25" ht="15.75" customHeight="1">
      <c r="A25" s="91"/>
      <c r="B25" s="91"/>
      <c r="C25" s="91"/>
      <c r="D25" s="91"/>
      <c r="E25" s="87"/>
      <c r="F25" s="124"/>
      <c r="G25" s="87"/>
      <c r="H25" s="124"/>
    </row>
    <row r="26" ht="15.75" customHeight="1">
      <c r="A26" s="91" t="s">
        <v>317</v>
      </c>
      <c r="E26" s="87" t="s">
        <v>211</v>
      </c>
      <c r="F26" s="114">
        <v>3.0</v>
      </c>
      <c r="G26" s="87" t="s">
        <v>284</v>
      </c>
      <c r="H26" s="114">
        <v>3.0</v>
      </c>
    </row>
    <row r="27" ht="15.75" customHeight="1">
      <c r="A27" s="65" t="s">
        <v>300</v>
      </c>
    </row>
    <row r="28" ht="15.75" customHeight="1">
      <c r="A28" s="120" t="s">
        <v>223</v>
      </c>
      <c r="B28" s="82" t="s">
        <v>88</v>
      </c>
      <c r="C28" s="33"/>
      <c r="D28" s="33"/>
      <c r="E28" s="33"/>
      <c r="F28" s="33"/>
      <c r="G28" s="33"/>
      <c r="H28" s="34"/>
    </row>
    <row r="29" ht="15.75" customHeight="1">
      <c r="A29" s="120" t="s">
        <v>223</v>
      </c>
      <c r="B29" s="82" t="s">
        <v>91</v>
      </c>
      <c r="C29" s="33"/>
      <c r="D29" s="33"/>
      <c r="E29" s="33"/>
      <c r="F29" s="33"/>
      <c r="G29" s="33"/>
      <c r="H29" s="34"/>
    </row>
    <row r="30" ht="15.75" customHeight="1">
      <c r="A30" s="120" t="s">
        <v>223</v>
      </c>
      <c r="B30" s="82" t="s">
        <v>80</v>
      </c>
      <c r="C30" s="33"/>
      <c r="D30" s="33"/>
      <c r="E30" s="33"/>
      <c r="F30" s="33"/>
      <c r="G30" s="33"/>
      <c r="H30" s="34"/>
    </row>
    <row r="31" ht="15.75" customHeight="1">
      <c r="A31" s="120" t="s">
        <v>285</v>
      </c>
      <c r="B31" s="82" t="s">
        <v>318</v>
      </c>
      <c r="C31" s="33"/>
      <c r="D31" s="33"/>
      <c r="E31" s="33"/>
      <c r="F31" s="33"/>
      <c r="G31" s="33"/>
      <c r="H31" s="34"/>
    </row>
    <row r="32" ht="15.75" customHeight="1">
      <c r="A32" s="112" t="s">
        <v>287</v>
      </c>
      <c r="B32" s="33"/>
      <c r="C32" s="33"/>
      <c r="D32" s="33"/>
      <c r="E32" s="33"/>
      <c r="F32" s="33"/>
      <c r="G32" s="33"/>
      <c r="H32" s="34"/>
    </row>
    <row r="33" ht="15.75" customHeight="1">
      <c r="A33" s="95" t="s">
        <v>319</v>
      </c>
      <c r="B33" s="58"/>
      <c r="C33" s="58"/>
      <c r="D33" s="58"/>
      <c r="E33" s="58"/>
      <c r="F33" s="58"/>
      <c r="G33" s="58"/>
      <c r="H33" s="59"/>
    </row>
    <row r="34" ht="15.75" customHeight="1">
      <c r="A34" s="105"/>
      <c r="H34" s="106"/>
    </row>
    <row r="35" ht="15.75" customHeight="1">
      <c r="A35" s="60"/>
      <c r="B35" s="61"/>
      <c r="C35" s="61"/>
      <c r="D35" s="61"/>
      <c r="E35" s="61"/>
      <c r="F35" s="61"/>
      <c r="G35" s="61"/>
      <c r="H35" s="62"/>
    </row>
    <row r="36" ht="15.75" customHeight="1">
      <c r="A36" s="112" t="s">
        <v>289</v>
      </c>
      <c r="B36" s="33"/>
      <c r="C36" s="33"/>
      <c r="D36" s="33"/>
      <c r="E36" s="33"/>
      <c r="F36" s="33"/>
      <c r="G36" s="33"/>
      <c r="H36" s="34"/>
    </row>
    <row r="37" ht="15.75" customHeight="1">
      <c r="A37" s="108" t="s">
        <v>320</v>
      </c>
      <c r="B37" s="58"/>
      <c r="C37" s="58"/>
      <c r="D37" s="58"/>
      <c r="E37" s="58"/>
      <c r="F37" s="58"/>
      <c r="G37" s="58"/>
      <c r="H37" s="59"/>
    </row>
    <row r="38" ht="15.75" customHeight="1">
      <c r="A38" s="105"/>
      <c r="H38" s="106"/>
    </row>
    <row r="39" ht="15.75" customHeight="1">
      <c r="A39" s="105"/>
      <c r="H39" s="106"/>
    </row>
    <row r="40" ht="15.75" customHeight="1">
      <c r="A40" s="60"/>
      <c r="B40" s="61"/>
      <c r="C40" s="61"/>
      <c r="D40" s="61"/>
      <c r="E40" s="61"/>
      <c r="F40" s="61"/>
      <c r="G40" s="61"/>
      <c r="H40" s="62"/>
    </row>
    <row r="41" ht="15.75" customHeight="1"/>
    <row r="42" ht="15.75" customHeight="1"/>
    <row r="43" ht="15.75" customHeight="1">
      <c r="A43" s="91" t="s">
        <v>321</v>
      </c>
      <c r="E43" s="87" t="s">
        <v>211</v>
      </c>
      <c r="F43" s="114">
        <v>3.0</v>
      </c>
      <c r="G43" s="87" t="s">
        <v>284</v>
      </c>
      <c r="H43" s="114">
        <v>3.0</v>
      </c>
    </row>
    <row r="44" ht="15.75" customHeight="1">
      <c r="A44" s="65" t="s">
        <v>300</v>
      </c>
    </row>
    <row r="45" ht="15.75" customHeight="1">
      <c r="A45" s="120" t="s">
        <v>223</v>
      </c>
      <c r="B45" s="82" t="s">
        <v>93</v>
      </c>
      <c r="C45" s="33"/>
      <c r="D45" s="33"/>
      <c r="E45" s="33"/>
      <c r="F45" s="33"/>
      <c r="G45" s="33"/>
      <c r="H45" s="34"/>
    </row>
    <row r="46" ht="15.75" customHeight="1">
      <c r="A46" s="120" t="s">
        <v>223</v>
      </c>
      <c r="B46" s="82" t="s">
        <v>91</v>
      </c>
      <c r="C46" s="33"/>
      <c r="D46" s="33"/>
      <c r="E46" s="33"/>
      <c r="F46" s="33"/>
      <c r="G46" s="33"/>
      <c r="H46" s="34"/>
    </row>
    <row r="47" ht="15.75" customHeight="1">
      <c r="A47" s="120" t="s">
        <v>223</v>
      </c>
      <c r="B47" s="82" t="s">
        <v>145</v>
      </c>
      <c r="C47" s="33"/>
      <c r="D47" s="33"/>
      <c r="E47" s="33"/>
      <c r="F47" s="33"/>
      <c r="G47" s="33"/>
      <c r="H47" s="34"/>
    </row>
    <row r="48" ht="15.75" customHeight="1">
      <c r="A48" s="120" t="s">
        <v>285</v>
      </c>
      <c r="B48" s="82" t="s">
        <v>322</v>
      </c>
      <c r="C48" s="33"/>
      <c r="D48" s="33"/>
      <c r="E48" s="33"/>
      <c r="F48" s="33"/>
      <c r="G48" s="33"/>
      <c r="H48" s="34"/>
    </row>
    <row r="49" ht="15.75" customHeight="1">
      <c r="A49" s="112" t="s">
        <v>287</v>
      </c>
      <c r="B49" s="33"/>
      <c r="C49" s="33"/>
      <c r="D49" s="33"/>
      <c r="E49" s="33"/>
      <c r="F49" s="33"/>
      <c r="G49" s="33"/>
      <c r="H49" s="34"/>
    </row>
    <row r="50" ht="15.75" customHeight="1">
      <c r="A50" s="108" t="s">
        <v>323</v>
      </c>
      <c r="B50" s="58"/>
      <c r="C50" s="58"/>
      <c r="D50" s="58"/>
      <c r="E50" s="58"/>
      <c r="F50" s="58"/>
      <c r="G50" s="58"/>
      <c r="H50" s="59"/>
    </row>
    <row r="51" ht="15.75" customHeight="1">
      <c r="A51" s="105"/>
      <c r="H51" s="106"/>
    </row>
    <row r="52" ht="15.75" customHeight="1">
      <c r="A52" s="60"/>
      <c r="B52" s="61"/>
      <c r="C52" s="61"/>
      <c r="D52" s="61"/>
      <c r="E52" s="61"/>
      <c r="F52" s="61"/>
      <c r="G52" s="61"/>
      <c r="H52" s="62"/>
    </row>
    <row r="53" ht="15.75" customHeight="1">
      <c r="A53" s="112" t="s">
        <v>289</v>
      </c>
      <c r="B53" s="33"/>
      <c r="C53" s="33"/>
      <c r="D53" s="33"/>
      <c r="E53" s="33"/>
      <c r="F53" s="33"/>
      <c r="G53" s="33"/>
      <c r="H53" s="34"/>
    </row>
    <row r="54" ht="15.75" customHeight="1">
      <c r="A54" s="125" t="s">
        <v>324</v>
      </c>
      <c r="B54" s="58"/>
      <c r="C54" s="58"/>
      <c r="D54" s="58"/>
      <c r="E54" s="58"/>
      <c r="F54" s="58"/>
      <c r="G54" s="58"/>
      <c r="H54" s="59"/>
    </row>
    <row r="55" ht="15.75" customHeight="1">
      <c r="A55" s="105"/>
      <c r="H55" s="106"/>
    </row>
    <row r="56" ht="15.75" customHeight="1">
      <c r="A56" s="105"/>
      <c r="H56" s="106"/>
    </row>
    <row r="57" ht="15.75" customHeight="1">
      <c r="A57" s="60"/>
      <c r="B57" s="61"/>
      <c r="C57" s="61"/>
      <c r="D57" s="61"/>
      <c r="E57" s="61"/>
      <c r="F57" s="61"/>
      <c r="G57" s="61"/>
      <c r="H57" s="62"/>
    </row>
    <row r="58" ht="15.75" customHeight="1"/>
    <row r="59" ht="15.75" customHeight="1"/>
    <row r="60" ht="15.75" customHeight="1">
      <c r="A60" s="91" t="s">
        <v>325</v>
      </c>
      <c r="E60" s="87" t="s">
        <v>211</v>
      </c>
      <c r="F60" s="114">
        <v>3.0</v>
      </c>
      <c r="G60" s="87" t="s">
        <v>284</v>
      </c>
      <c r="H60" s="114">
        <v>3.0</v>
      </c>
    </row>
    <row r="61" ht="15.75" customHeight="1">
      <c r="A61" s="103" t="s">
        <v>296</v>
      </c>
    </row>
    <row r="62" ht="15.75" customHeight="1">
      <c r="A62" s="120" t="s">
        <v>223</v>
      </c>
      <c r="B62" s="82" t="s">
        <v>93</v>
      </c>
      <c r="C62" s="33"/>
      <c r="D62" s="33"/>
      <c r="E62" s="33"/>
      <c r="F62" s="33"/>
      <c r="G62" s="33"/>
      <c r="H62" s="34"/>
    </row>
    <row r="63" ht="15.75" customHeight="1">
      <c r="A63" s="120" t="s">
        <v>223</v>
      </c>
      <c r="B63" s="82" t="s">
        <v>91</v>
      </c>
      <c r="C63" s="33"/>
      <c r="D63" s="33"/>
      <c r="E63" s="33"/>
      <c r="F63" s="33"/>
      <c r="G63" s="33"/>
      <c r="H63" s="34"/>
    </row>
    <row r="64" ht="15.75" customHeight="1">
      <c r="A64" s="120" t="s">
        <v>223</v>
      </c>
      <c r="B64" s="82" t="s">
        <v>110</v>
      </c>
      <c r="C64" s="33"/>
      <c r="D64" s="33"/>
      <c r="E64" s="33"/>
      <c r="F64" s="33"/>
      <c r="G64" s="33"/>
      <c r="H64" s="34"/>
    </row>
    <row r="65" ht="15.75" customHeight="1">
      <c r="A65" s="120" t="s">
        <v>285</v>
      </c>
      <c r="B65" s="82" t="s">
        <v>326</v>
      </c>
      <c r="C65" s="33"/>
      <c r="D65" s="33"/>
      <c r="E65" s="33"/>
      <c r="F65" s="33"/>
      <c r="G65" s="33"/>
      <c r="H65" s="34"/>
    </row>
    <row r="66" ht="15.75" customHeight="1">
      <c r="A66" s="112" t="s">
        <v>287</v>
      </c>
      <c r="B66" s="33"/>
      <c r="C66" s="33"/>
      <c r="D66" s="33"/>
      <c r="E66" s="33"/>
      <c r="F66" s="33"/>
      <c r="G66" s="33"/>
      <c r="H66" s="34"/>
    </row>
    <row r="67" ht="15.75" customHeight="1">
      <c r="A67" s="108" t="s">
        <v>327</v>
      </c>
      <c r="B67" s="58"/>
      <c r="C67" s="58"/>
      <c r="D67" s="58"/>
      <c r="E67" s="58"/>
      <c r="F67" s="58"/>
      <c r="G67" s="58"/>
      <c r="H67" s="59"/>
    </row>
    <row r="68" ht="15.75" customHeight="1">
      <c r="A68" s="105"/>
      <c r="H68" s="106"/>
    </row>
    <row r="69" ht="15.75" customHeight="1">
      <c r="A69" s="60"/>
      <c r="B69" s="61"/>
      <c r="C69" s="61"/>
      <c r="D69" s="61"/>
      <c r="E69" s="61"/>
      <c r="F69" s="61"/>
      <c r="G69" s="61"/>
      <c r="H69" s="62"/>
    </row>
    <row r="70" ht="15.75" customHeight="1">
      <c r="A70" s="112" t="s">
        <v>289</v>
      </c>
      <c r="B70" s="33"/>
      <c r="C70" s="33"/>
      <c r="D70" s="33"/>
      <c r="E70" s="33"/>
      <c r="F70" s="33"/>
      <c r="G70" s="33"/>
      <c r="H70" s="34"/>
    </row>
    <row r="71" ht="15.75" customHeight="1">
      <c r="A71" s="125" t="s">
        <v>328</v>
      </c>
      <c r="B71" s="58"/>
      <c r="C71" s="58"/>
      <c r="D71" s="58"/>
      <c r="E71" s="58"/>
      <c r="F71" s="58"/>
      <c r="G71" s="58"/>
      <c r="H71" s="59"/>
    </row>
    <row r="72" ht="15.75" customHeight="1">
      <c r="A72" s="105"/>
      <c r="H72" s="106"/>
    </row>
    <row r="73" ht="15.75" customHeight="1">
      <c r="A73" s="105"/>
      <c r="H73" s="106"/>
    </row>
    <row r="74" ht="15.75" customHeight="1">
      <c r="A74" s="60"/>
      <c r="B74" s="61"/>
      <c r="C74" s="61"/>
      <c r="D74" s="61"/>
      <c r="E74" s="61"/>
      <c r="F74" s="61"/>
      <c r="G74" s="61"/>
      <c r="H74" s="62"/>
    </row>
    <row r="75" ht="15.75" customHeight="1"/>
    <row r="76" ht="15.75" customHeight="1"/>
    <row r="77" ht="15.75" customHeight="1">
      <c r="A77" s="91" t="s">
        <v>329</v>
      </c>
      <c r="E77" s="87" t="s">
        <v>211</v>
      </c>
      <c r="F77" s="114">
        <v>3.0</v>
      </c>
      <c r="G77" s="87" t="s">
        <v>284</v>
      </c>
      <c r="H77" s="114">
        <v>3.0</v>
      </c>
    </row>
    <row r="78" ht="15.75" customHeight="1">
      <c r="A78" s="103" t="s">
        <v>296</v>
      </c>
    </row>
    <row r="79" ht="15.75" customHeight="1">
      <c r="A79" s="120" t="s">
        <v>223</v>
      </c>
      <c r="B79" s="82" t="s">
        <v>88</v>
      </c>
      <c r="C79" s="33"/>
      <c r="D79" s="33"/>
      <c r="E79" s="33"/>
      <c r="F79" s="33"/>
      <c r="G79" s="33"/>
      <c r="H79" s="34"/>
    </row>
    <row r="80" ht="15.75" customHeight="1">
      <c r="A80" s="120" t="s">
        <v>223</v>
      </c>
      <c r="B80" s="82" t="s">
        <v>93</v>
      </c>
      <c r="C80" s="33"/>
      <c r="D80" s="33"/>
      <c r="E80" s="33"/>
      <c r="F80" s="33"/>
      <c r="G80" s="33"/>
      <c r="H80" s="34"/>
    </row>
    <row r="81" ht="15.75" customHeight="1">
      <c r="A81" s="120" t="s">
        <v>223</v>
      </c>
      <c r="B81" s="82" t="s">
        <v>145</v>
      </c>
      <c r="C81" s="33"/>
      <c r="D81" s="33"/>
      <c r="E81" s="33"/>
      <c r="F81" s="33"/>
      <c r="G81" s="33"/>
      <c r="H81" s="34"/>
    </row>
    <row r="82" ht="15.75" customHeight="1">
      <c r="A82" s="120" t="s">
        <v>285</v>
      </c>
      <c r="B82" s="82" t="s">
        <v>330</v>
      </c>
      <c r="C82" s="33"/>
      <c r="D82" s="33"/>
      <c r="E82" s="33"/>
      <c r="F82" s="33"/>
      <c r="G82" s="33"/>
      <c r="H82" s="34"/>
    </row>
    <row r="83" ht="15.75" customHeight="1">
      <c r="A83" s="112" t="s">
        <v>287</v>
      </c>
      <c r="B83" s="33"/>
      <c r="C83" s="33"/>
      <c r="D83" s="33"/>
      <c r="E83" s="33"/>
      <c r="F83" s="33"/>
      <c r="G83" s="33"/>
      <c r="H83" s="34"/>
    </row>
    <row r="84" ht="15.75" customHeight="1">
      <c r="A84" s="108" t="s">
        <v>331</v>
      </c>
      <c r="B84" s="58"/>
      <c r="C84" s="58"/>
      <c r="D84" s="58"/>
      <c r="E84" s="58"/>
      <c r="F84" s="58"/>
      <c r="G84" s="58"/>
      <c r="H84" s="59"/>
    </row>
    <row r="85" ht="15.75" customHeight="1">
      <c r="A85" s="105"/>
      <c r="H85" s="106"/>
    </row>
    <row r="86" ht="15.75" customHeight="1">
      <c r="A86" s="60"/>
      <c r="B86" s="61"/>
      <c r="C86" s="61"/>
      <c r="D86" s="61"/>
      <c r="E86" s="61"/>
      <c r="F86" s="61"/>
      <c r="G86" s="61"/>
      <c r="H86" s="62"/>
    </row>
    <row r="87" ht="15.75" customHeight="1">
      <c r="A87" s="112" t="s">
        <v>289</v>
      </c>
      <c r="B87" s="33"/>
      <c r="C87" s="33"/>
      <c r="D87" s="33"/>
      <c r="E87" s="33"/>
      <c r="F87" s="33"/>
      <c r="G87" s="33"/>
      <c r="H87" s="34"/>
    </row>
    <row r="88" ht="15.75" customHeight="1">
      <c r="A88" s="125" t="s">
        <v>332</v>
      </c>
      <c r="B88" s="58"/>
      <c r="C88" s="58"/>
      <c r="D88" s="58"/>
      <c r="E88" s="58"/>
      <c r="F88" s="58"/>
      <c r="G88" s="58"/>
      <c r="H88" s="59"/>
    </row>
    <row r="89" ht="15.75" customHeight="1">
      <c r="A89" s="105"/>
      <c r="H89" s="106"/>
    </row>
    <row r="90" ht="15.75" customHeight="1">
      <c r="A90" s="105"/>
      <c r="H90" s="106"/>
    </row>
    <row r="91" ht="15.75" customHeight="1">
      <c r="A91" s="60"/>
      <c r="B91" s="61"/>
      <c r="C91" s="61"/>
      <c r="D91" s="61"/>
      <c r="E91" s="61"/>
      <c r="F91" s="61"/>
      <c r="G91" s="61"/>
      <c r="H91" s="62"/>
    </row>
    <row r="92" ht="15.75" customHeight="1"/>
    <row r="93" ht="15.75" customHeight="1"/>
    <row r="94" ht="15.75" customHeight="1">
      <c r="A94" s="91" t="s">
        <v>333</v>
      </c>
      <c r="E94" s="87" t="s">
        <v>211</v>
      </c>
      <c r="F94" s="114">
        <v>3.0</v>
      </c>
      <c r="G94" s="87" t="s">
        <v>284</v>
      </c>
      <c r="H94" s="114">
        <v>3.0</v>
      </c>
    </row>
    <row r="95" ht="15.75" customHeight="1">
      <c r="A95" s="103" t="s">
        <v>296</v>
      </c>
    </row>
    <row r="96" ht="15.75" customHeight="1">
      <c r="A96" s="120" t="s">
        <v>223</v>
      </c>
      <c r="B96" s="82" t="s">
        <v>88</v>
      </c>
      <c r="C96" s="33"/>
      <c r="D96" s="33"/>
      <c r="E96" s="33"/>
      <c r="F96" s="33"/>
      <c r="G96" s="33"/>
      <c r="H96" s="34"/>
    </row>
    <row r="97" ht="15.75" customHeight="1">
      <c r="A97" s="120" t="s">
        <v>223</v>
      </c>
      <c r="B97" s="82" t="s">
        <v>93</v>
      </c>
      <c r="C97" s="33"/>
      <c r="D97" s="33"/>
      <c r="E97" s="33"/>
      <c r="F97" s="33"/>
      <c r="G97" s="33"/>
      <c r="H97" s="34"/>
    </row>
    <row r="98" ht="15.75" customHeight="1">
      <c r="A98" s="120" t="s">
        <v>223</v>
      </c>
      <c r="B98" s="82" t="s">
        <v>91</v>
      </c>
      <c r="C98" s="33"/>
      <c r="D98" s="33"/>
      <c r="E98" s="33"/>
      <c r="F98" s="33"/>
      <c r="G98" s="33"/>
      <c r="H98" s="34"/>
    </row>
    <row r="99" ht="15.75" customHeight="1">
      <c r="A99" s="120" t="s">
        <v>285</v>
      </c>
      <c r="B99" s="82" t="s">
        <v>334</v>
      </c>
      <c r="C99" s="33"/>
      <c r="D99" s="33"/>
      <c r="E99" s="33"/>
      <c r="F99" s="33"/>
      <c r="G99" s="33"/>
      <c r="H99" s="34"/>
    </row>
    <row r="100" ht="15.75" customHeight="1">
      <c r="A100" s="112" t="s">
        <v>287</v>
      </c>
      <c r="B100" s="33"/>
      <c r="C100" s="33"/>
      <c r="D100" s="33"/>
      <c r="E100" s="33"/>
      <c r="F100" s="33"/>
      <c r="G100" s="33"/>
      <c r="H100" s="34"/>
    </row>
    <row r="101" ht="15.75" customHeight="1">
      <c r="A101" s="125" t="s">
        <v>335</v>
      </c>
      <c r="B101" s="58"/>
      <c r="C101" s="58"/>
      <c r="D101" s="58"/>
      <c r="E101" s="58"/>
      <c r="F101" s="58"/>
      <c r="G101" s="58"/>
      <c r="H101" s="59"/>
    </row>
    <row r="102" ht="15.75" customHeight="1">
      <c r="A102" s="105"/>
      <c r="H102" s="106"/>
    </row>
    <row r="103" ht="15.75" customHeight="1">
      <c r="A103" s="60"/>
      <c r="B103" s="61"/>
      <c r="C103" s="61"/>
      <c r="D103" s="61"/>
      <c r="E103" s="61"/>
      <c r="F103" s="61"/>
      <c r="G103" s="61"/>
      <c r="H103" s="62"/>
    </row>
    <row r="104" ht="15.75" customHeight="1">
      <c r="A104" s="112" t="s">
        <v>289</v>
      </c>
      <c r="B104" s="33"/>
      <c r="C104" s="33"/>
      <c r="D104" s="33"/>
      <c r="E104" s="33"/>
      <c r="F104" s="33"/>
      <c r="G104" s="33"/>
      <c r="H104" s="34"/>
    </row>
    <row r="105" ht="15.75" customHeight="1">
      <c r="A105" s="125" t="s">
        <v>336</v>
      </c>
      <c r="B105" s="58"/>
      <c r="C105" s="58"/>
      <c r="D105" s="58"/>
      <c r="E105" s="58"/>
      <c r="F105" s="58"/>
      <c r="G105" s="58"/>
      <c r="H105" s="59"/>
    </row>
    <row r="106" ht="15.75" customHeight="1">
      <c r="A106" s="105"/>
      <c r="H106" s="106"/>
    </row>
    <row r="107" ht="15.75" customHeight="1">
      <c r="A107" s="105"/>
      <c r="H107" s="106"/>
    </row>
    <row r="108" ht="15.75" customHeight="1">
      <c r="A108" s="60"/>
      <c r="B108" s="61"/>
      <c r="C108" s="61"/>
      <c r="D108" s="61"/>
      <c r="E108" s="61"/>
      <c r="F108" s="61"/>
      <c r="G108" s="61"/>
      <c r="H108" s="62"/>
    </row>
    <row r="109" ht="15.75" customHeight="1"/>
    <row r="110" ht="15.75" customHeight="1"/>
    <row r="111" ht="15.75" customHeight="1">
      <c r="A111" s="91" t="s">
        <v>337</v>
      </c>
      <c r="E111" s="87" t="s">
        <v>211</v>
      </c>
      <c r="F111" s="92"/>
      <c r="G111" s="87" t="s">
        <v>284</v>
      </c>
      <c r="H111" s="92"/>
    </row>
    <row r="112" ht="15.75" customHeight="1">
      <c r="A112" s="103" t="s">
        <v>296</v>
      </c>
    </row>
    <row r="113" ht="15.75" customHeight="1">
      <c r="A113" s="97" t="s">
        <v>223</v>
      </c>
      <c r="B113" s="74"/>
      <c r="C113" s="33"/>
      <c r="D113" s="33"/>
      <c r="E113" s="33"/>
      <c r="F113" s="33"/>
      <c r="G113" s="33"/>
      <c r="H113" s="34"/>
    </row>
    <row r="114" ht="15.75" customHeight="1">
      <c r="A114" s="97" t="s">
        <v>223</v>
      </c>
      <c r="B114" s="74"/>
      <c r="C114" s="33"/>
      <c r="D114" s="33"/>
      <c r="E114" s="33"/>
      <c r="F114" s="33"/>
      <c r="G114" s="33"/>
      <c r="H114" s="34"/>
    </row>
    <row r="115" ht="15.75" customHeight="1">
      <c r="A115" s="97" t="s">
        <v>223</v>
      </c>
      <c r="B115" s="74"/>
      <c r="C115" s="33"/>
      <c r="D115" s="33"/>
      <c r="E115" s="33"/>
      <c r="F115" s="33"/>
      <c r="G115" s="33"/>
      <c r="H115" s="34"/>
    </row>
    <row r="116" ht="15.75" customHeight="1">
      <c r="A116" s="97" t="s">
        <v>285</v>
      </c>
      <c r="B116" s="74"/>
      <c r="C116" s="33"/>
      <c r="D116" s="33"/>
      <c r="E116" s="33"/>
      <c r="F116" s="33"/>
      <c r="G116" s="33"/>
      <c r="H116" s="34"/>
    </row>
    <row r="117" ht="15.75" customHeight="1">
      <c r="A117" s="94" t="s">
        <v>287</v>
      </c>
      <c r="B117" s="33"/>
      <c r="C117" s="33"/>
      <c r="D117" s="33"/>
      <c r="E117" s="33"/>
      <c r="F117" s="33"/>
      <c r="G117" s="33"/>
      <c r="H117" s="34"/>
    </row>
    <row r="118" ht="15.75" customHeight="1">
      <c r="A118" s="108"/>
      <c r="B118" s="58"/>
      <c r="C118" s="58"/>
      <c r="D118" s="58"/>
      <c r="E118" s="58"/>
      <c r="F118" s="58"/>
      <c r="G118" s="58"/>
      <c r="H118" s="59"/>
    </row>
    <row r="119" ht="15.75" customHeight="1">
      <c r="A119" s="105"/>
      <c r="H119" s="106"/>
    </row>
    <row r="120" ht="15.75" customHeight="1">
      <c r="A120" s="60"/>
      <c r="B120" s="61"/>
      <c r="C120" s="61"/>
      <c r="D120" s="61"/>
      <c r="E120" s="61"/>
      <c r="F120" s="61"/>
      <c r="G120" s="61"/>
      <c r="H120" s="62"/>
    </row>
    <row r="121" ht="15.75" customHeight="1">
      <c r="A121" s="94" t="s">
        <v>289</v>
      </c>
      <c r="B121" s="33"/>
      <c r="C121" s="33"/>
      <c r="D121" s="33"/>
      <c r="E121" s="33"/>
      <c r="F121" s="33"/>
      <c r="G121" s="33"/>
      <c r="H121" s="34"/>
    </row>
    <row r="122" ht="15.75" customHeight="1">
      <c r="A122" s="108"/>
      <c r="B122" s="58"/>
      <c r="C122" s="58"/>
      <c r="D122" s="58"/>
      <c r="E122" s="58"/>
      <c r="F122" s="58"/>
      <c r="G122" s="58"/>
      <c r="H122" s="59"/>
    </row>
    <row r="123" ht="15.75" customHeight="1">
      <c r="A123" s="105"/>
      <c r="H123" s="106"/>
    </row>
    <row r="124" ht="15.75" customHeight="1">
      <c r="A124" s="105"/>
      <c r="H124" s="106"/>
    </row>
    <row r="125" ht="15.75" customHeight="1">
      <c r="A125" s="60"/>
      <c r="B125" s="61"/>
      <c r="C125" s="61"/>
      <c r="D125" s="61"/>
      <c r="E125" s="61"/>
      <c r="F125" s="61"/>
      <c r="G125" s="61"/>
      <c r="H125" s="62"/>
    </row>
    <row r="126" ht="15.75" customHeight="1"/>
    <row r="127" ht="15.75" customHeight="1"/>
    <row r="128" ht="15.75" customHeight="1">
      <c r="A128" s="91" t="s">
        <v>338</v>
      </c>
      <c r="E128" s="87" t="s">
        <v>211</v>
      </c>
      <c r="F128" s="92"/>
      <c r="G128" s="87" t="s">
        <v>284</v>
      </c>
      <c r="H128" s="92"/>
    </row>
    <row r="129" ht="15.75" customHeight="1">
      <c r="A129" s="103" t="s">
        <v>296</v>
      </c>
    </row>
    <row r="130" ht="15.75" customHeight="1">
      <c r="A130" s="97" t="s">
        <v>223</v>
      </c>
      <c r="B130" s="74"/>
      <c r="C130" s="33"/>
      <c r="D130" s="33"/>
      <c r="E130" s="33"/>
      <c r="F130" s="33"/>
      <c r="G130" s="33"/>
      <c r="H130" s="34"/>
    </row>
    <row r="131" ht="15.75" customHeight="1">
      <c r="A131" s="97" t="s">
        <v>223</v>
      </c>
      <c r="B131" s="74"/>
      <c r="C131" s="33"/>
      <c r="D131" s="33"/>
      <c r="E131" s="33"/>
      <c r="F131" s="33"/>
      <c r="G131" s="33"/>
      <c r="H131" s="34"/>
    </row>
    <row r="132" ht="15.75" customHeight="1">
      <c r="A132" s="97" t="s">
        <v>223</v>
      </c>
      <c r="B132" s="74"/>
      <c r="C132" s="33"/>
      <c r="D132" s="33"/>
      <c r="E132" s="33"/>
      <c r="F132" s="33"/>
      <c r="G132" s="33"/>
      <c r="H132" s="34"/>
    </row>
    <row r="133" ht="15.75" customHeight="1">
      <c r="A133" s="97" t="s">
        <v>285</v>
      </c>
      <c r="B133" s="74"/>
      <c r="C133" s="33"/>
      <c r="D133" s="33"/>
      <c r="E133" s="33"/>
      <c r="F133" s="33"/>
      <c r="G133" s="33"/>
      <c r="H133" s="34"/>
    </row>
    <row r="134" ht="15.75" customHeight="1">
      <c r="A134" s="94" t="s">
        <v>287</v>
      </c>
      <c r="B134" s="33"/>
      <c r="C134" s="33"/>
      <c r="D134" s="33"/>
      <c r="E134" s="33"/>
      <c r="F134" s="33"/>
      <c r="G134" s="33"/>
      <c r="H134" s="34"/>
    </row>
    <row r="135" ht="15.75" customHeight="1">
      <c r="A135" s="108"/>
      <c r="B135" s="58"/>
      <c r="C135" s="58"/>
      <c r="D135" s="58"/>
      <c r="E135" s="58"/>
      <c r="F135" s="58"/>
      <c r="G135" s="58"/>
      <c r="H135" s="59"/>
    </row>
    <row r="136" ht="15.75" customHeight="1">
      <c r="A136" s="105"/>
      <c r="H136" s="106"/>
    </row>
    <row r="137" ht="15.75" customHeight="1">
      <c r="A137" s="60"/>
      <c r="B137" s="61"/>
      <c r="C137" s="61"/>
      <c r="D137" s="61"/>
      <c r="E137" s="61"/>
      <c r="F137" s="61"/>
      <c r="G137" s="61"/>
      <c r="H137" s="62"/>
    </row>
    <row r="138" ht="15.75" customHeight="1">
      <c r="A138" s="94" t="s">
        <v>289</v>
      </c>
      <c r="B138" s="33"/>
      <c r="C138" s="33"/>
      <c r="D138" s="33"/>
      <c r="E138" s="33"/>
      <c r="F138" s="33"/>
      <c r="G138" s="33"/>
      <c r="H138" s="34"/>
    </row>
    <row r="139" ht="15.75" customHeight="1">
      <c r="A139" s="108"/>
      <c r="B139" s="58"/>
      <c r="C139" s="58"/>
      <c r="D139" s="58"/>
      <c r="E139" s="58"/>
      <c r="F139" s="58"/>
      <c r="G139" s="58"/>
      <c r="H139" s="59"/>
    </row>
    <row r="140" ht="15.75" customHeight="1">
      <c r="A140" s="105"/>
      <c r="H140" s="106"/>
    </row>
    <row r="141" ht="15.75" customHeight="1">
      <c r="A141" s="105"/>
      <c r="H141" s="106"/>
    </row>
    <row r="142" ht="15.75" customHeight="1">
      <c r="A142" s="60"/>
      <c r="B142" s="61"/>
      <c r="C142" s="61"/>
      <c r="D142" s="61"/>
      <c r="E142" s="61"/>
      <c r="F142" s="61"/>
      <c r="G142" s="61"/>
      <c r="H142" s="62"/>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formula1>#REF!</formula1>
    </dataValidation>
    <dataValidation type="list" allowBlank="1" showErrorMessage="1" sqref="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339</v>
      </c>
      <c r="B1" s="6" t="s">
        <v>340</v>
      </c>
      <c r="C1" s="6" t="s">
        <v>20</v>
      </c>
      <c r="D1" s="6" t="s">
        <v>21</v>
      </c>
    </row>
    <row r="2">
      <c r="A2" s="6" t="s">
        <v>341</v>
      </c>
      <c r="B2" s="6" t="str">
        <f>Competencias!C13</f>
        <v>Aplica conceptos fundamentales de programación mediante ejercicios prácticos y análisis de código, en entornos virtuales de laboratorio para la toma de decisiones basada en información cuantitativa </v>
      </c>
      <c r="C2" s="30" t="s">
        <v>22</v>
      </c>
      <c r="D2" s="30" t="s">
        <v>23</v>
      </c>
    </row>
    <row r="3">
      <c r="A3" s="6" t="s">
        <v>342</v>
      </c>
      <c r="B3" s="6" t="str">
        <f>Competencias!C15</f>
        <v>Integra herramientas de ofimática  como Word, Excel, PowerPoint y Access en la resolución de tareas y proyectos con base en situaciones académicas y laborales comunes </v>
      </c>
      <c r="C3" s="30" t="s">
        <v>26</v>
      </c>
      <c r="D3" s="30" t="s">
        <v>343</v>
      </c>
    </row>
    <row r="4">
      <c r="A4" s="6" t="s">
        <v>344</v>
      </c>
      <c r="B4" s="6" t="str">
        <f>Competencias!C17</f>
        <v>Evalúa resultados obtenidos en procesos de programación y ofimática utilizando pruebas de funcionamiento, revisión crítica de errores y optimización de recursos bajo criterios de funcionalidad y eficiencia </v>
      </c>
      <c r="C4" s="30" t="s">
        <v>345</v>
      </c>
      <c r="D4" s="30" t="s">
        <v>25</v>
      </c>
    </row>
    <row r="5">
      <c r="A5" s="6" t="s">
        <v>346</v>
      </c>
      <c r="B5" s="6" t="str">
        <f>Competencias!C19</f>
        <v>Crea soluciones digitales utilizando entornos de programación visual y aplicaciones de ofimática con estrategias de automatización básica y diseño de bases de datos para resolver problemas reales de forma efectiva </v>
      </c>
      <c r="C5" s="30" t="s">
        <v>24</v>
      </c>
      <c r="D5" s="30" t="s">
        <v>27</v>
      </c>
    </row>
    <row r="6">
      <c r="A6" s="6" t="s">
        <v>347</v>
      </c>
      <c r="B6" s="6" t="str">
        <f>Competencias!C21</f>
        <v>Diseña macros automatizadas en hojas de cálculo utilizando Visual Basic para Aplicaciones (VBA) mediante la implementación de funciones y ciclos condicionales con conexión a bases de datos para optimizar tareas repetitivas </v>
      </c>
      <c r="C6" s="30" t="s">
        <v>348</v>
      </c>
      <c r="D6" s="30" t="s">
        <v>349</v>
      </c>
    </row>
    <row r="7">
      <c r="A7" s="6" t="s">
        <v>350</v>
      </c>
      <c r="B7" s="6" t="str">
        <f>Competencias!C23</f>
        <v>Formula consultas en bases de datos relacionales empleando herramientas de Access y modelos entidad-relación bajo criterios de integridad y relaciones correctas para organizar y extraer información relevante </v>
      </c>
      <c r="C7" s="30" t="s">
        <v>351</v>
      </c>
      <c r="D7" s="30" t="s">
        <v>352</v>
      </c>
    </row>
    <row r="8">
      <c r="A8" s="6" t="s">
        <v>353</v>
      </c>
      <c r="B8" s="6" t="str">
        <f>Competencias!C25</f>
        <v>Analiza funcionamiento y utilidad de máquinas virtuales elaborando entregables que integren conceptos sobre virtualización y gestión de información para las necesitdades concretas </v>
      </c>
      <c r="C8" s="30" t="s">
        <v>354</v>
      </c>
      <c r="D8" s="30" t="s">
        <v>355</v>
      </c>
    </row>
    <row r="9">
      <c r="A9" s="6" t="s">
        <v>356</v>
      </c>
      <c r="C9" s="30" t="s">
        <v>357</v>
      </c>
    </row>
    <row r="10">
      <c r="A10" s="6" t="s">
        <v>358</v>
      </c>
      <c r="C10" s="30" t="s">
        <v>359</v>
      </c>
    </row>
    <row r="11">
      <c r="A11" s="6" t="s">
        <v>360</v>
      </c>
    </row>
    <row r="12">
      <c r="A12" s="6" t="s">
        <v>361</v>
      </c>
    </row>
    <row r="13">
      <c r="A13" s="6" t="s">
        <v>362</v>
      </c>
    </row>
    <row r="14">
      <c r="A14" s="6" t="s">
        <v>363</v>
      </c>
    </row>
    <row r="15">
      <c r="A15" s="6" t="s">
        <v>364</v>
      </c>
    </row>
    <row r="16">
      <c r="A16" s="6" t="s">
        <v>365</v>
      </c>
    </row>
    <row r="17">
      <c r="A17" s="6" t="s">
        <v>366</v>
      </c>
    </row>
    <row r="18">
      <c r="A18" s="6" t="s">
        <v>367</v>
      </c>
    </row>
    <row r="19">
      <c r="A19" s="6" t="s">
        <v>368</v>
      </c>
    </row>
    <row r="20">
      <c r="A20" s="6" t="s">
        <v>369</v>
      </c>
    </row>
    <row r="21">
      <c r="A21" s="6" t="s">
        <v>370</v>
      </c>
    </row>
    <row r="22">
      <c r="A22" s="6" t="s">
        <v>371</v>
      </c>
    </row>
    <row r="23">
      <c r="A23" s="6" t="s">
        <v>372</v>
      </c>
    </row>
    <row r="24">
      <c r="A24" s="6" t="s">
        <v>373</v>
      </c>
    </row>
    <row r="25">
      <c r="A25" s="6" t="s">
        <v>374</v>
      </c>
    </row>
    <row r="26">
      <c r="A26" s="6" t="s">
        <v>375</v>
      </c>
    </row>
    <row r="27">
      <c r="A27" s="6" t="s">
        <v>376</v>
      </c>
    </row>
    <row r="28">
      <c r="A28" s="6" t="s">
        <v>377</v>
      </c>
    </row>
    <row r="29">
      <c r="A29" s="6" t="s">
        <v>378</v>
      </c>
    </row>
    <row r="30">
      <c r="A30" s="6" t="s">
        <v>379</v>
      </c>
    </row>
    <row r="31">
      <c r="A31" s="6" t="s">
        <v>380</v>
      </c>
    </row>
    <row r="32">
      <c r="A32" s="6" t="s">
        <v>381</v>
      </c>
    </row>
    <row r="33">
      <c r="A33" s="6" t="s">
        <v>382</v>
      </c>
    </row>
    <row r="34">
      <c r="A34" s="6" t="s">
        <v>383</v>
      </c>
    </row>
    <row r="35">
      <c r="A35" s="6" t="s">
        <v>384</v>
      </c>
    </row>
    <row r="36">
      <c r="A36" s="6" t="s">
        <v>385</v>
      </c>
    </row>
    <row r="37">
      <c r="A37" s="6" t="s">
        <v>386</v>
      </c>
    </row>
    <row r="38">
      <c r="A38" s="6" t="s">
        <v>387</v>
      </c>
    </row>
    <row r="39">
      <c r="A39" s="6" t="s">
        <v>388</v>
      </c>
    </row>
    <row r="40">
      <c r="A40" s="6" t="s">
        <v>389</v>
      </c>
    </row>
    <row r="41">
      <c r="A41" s="6" t="s">
        <v>390</v>
      </c>
    </row>
    <row r="42">
      <c r="A42" s="6" t="s">
        <v>391</v>
      </c>
    </row>
    <row r="43">
      <c r="A43" s="6" t="s">
        <v>392</v>
      </c>
    </row>
    <row r="44">
      <c r="A44" s="6" t="s">
        <v>393</v>
      </c>
    </row>
    <row r="45">
      <c r="A45" s="6" t="s">
        <v>394</v>
      </c>
    </row>
    <row r="46">
      <c r="A46" s="6" t="s">
        <v>395</v>
      </c>
    </row>
    <row r="47">
      <c r="A47" s="6" t="s">
        <v>396</v>
      </c>
    </row>
    <row r="48">
      <c r="A48" s="6" t="s">
        <v>397</v>
      </c>
    </row>
    <row r="49">
      <c r="A49" s="6" t="s">
        <v>398</v>
      </c>
    </row>
    <row r="50">
      <c r="A50" s="6" t="s">
        <v>399</v>
      </c>
    </row>
    <row r="51">
      <c r="A51" s="6" t="s">
        <v>400</v>
      </c>
    </row>
    <row r="52">
      <c r="A52" s="6" t="s">
        <v>401</v>
      </c>
    </row>
    <row r="53">
      <c r="A53" s="6" t="s">
        <v>402</v>
      </c>
    </row>
    <row r="54">
      <c r="A54" s="6" t="s">
        <v>403</v>
      </c>
    </row>
    <row r="55">
      <c r="A55" s="6" t="s">
        <v>404</v>
      </c>
    </row>
    <row r="56">
      <c r="A56" s="6" t="s">
        <v>405</v>
      </c>
    </row>
    <row r="57">
      <c r="A57" s="6" t="s">
        <v>406</v>
      </c>
    </row>
    <row r="58">
      <c r="A58" s="6" t="s">
        <v>407</v>
      </c>
    </row>
    <row r="59">
      <c r="A59" s="6" t="s">
        <v>408</v>
      </c>
    </row>
    <row r="60">
      <c r="A60" s="6" t="s">
        <v>409</v>
      </c>
    </row>
    <row r="61">
      <c r="A61" s="6" t="s">
        <v>410</v>
      </c>
    </row>
    <row r="62">
      <c r="A62" s="6" t="s">
        <v>411</v>
      </c>
    </row>
    <row r="63">
      <c r="A63" s="6" t="s">
        <v>412</v>
      </c>
    </row>
    <row r="64">
      <c r="A64" s="6" t="s">
        <v>413</v>
      </c>
    </row>
    <row r="65">
      <c r="A65" s="6" t="s">
        <v>414</v>
      </c>
    </row>
    <row r="66">
      <c r="A66" s="6" t="s">
        <v>415</v>
      </c>
    </row>
    <row r="67">
      <c r="A67" s="6" t="s">
        <v>416</v>
      </c>
    </row>
    <row r="68">
      <c r="A68" s="6" t="s">
        <v>417</v>
      </c>
    </row>
    <row r="69">
      <c r="A69" s="6" t="s">
        <v>418</v>
      </c>
    </row>
    <row r="70">
      <c r="A70" s="6" t="s">
        <v>419</v>
      </c>
    </row>
    <row r="71">
      <c r="A71" s="6" t="s">
        <v>420</v>
      </c>
    </row>
    <row r="72">
      <c r="A72" s="6" t="s">
        <v>421</v>
      </c>
    </row>
    <row r="73">
      <c r="A73" s="6" t="s">
        <v>422</v>
      </c>
    </row>
    <row r="74">
      <c r="A74" s="6" t="s">
        <v>423</v>
      </c>
    </row>
    <row r="75">
      <c r="A75" s="6" t="s">
        <v>424</v>
      </c>
    </row>
    <row r="76">
      <c r="A76" s="6" t="s">
        <v>425</v>
      </c>
    </row>
    <row r="77">
      <c r="A77" s="6" t="s">
        <v>2</v>
      </c>
    </row>
    <row r="78">
      <c r="A78" s="6" t="s">
        <v>426</v>
      </c>
    </row>
    <row r="79">
      <c r="A79" s="6" t="s">
        <v>427</v>
      </c>
    </row>
    <row r="80">
      <c r="A80" s="6" t="s">
        <v>428</v>
      </c>
    </row>
    <row r="81">
      <c r="A81" s="6" t="s">
        <v>429</v>
      </c>
    </row>
  </sheetData>
  <drawing r:id="rId1"/>
</worksheet>
</file>