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ue\Documents\USAC\PRACTICAS_FINALES_2S\"/>
    </mc:Choice>
  </mc:AlternateContent>
  <xr:revisionPtr revIDLastSave="0" documentId="13_ncr:1_{92BF9515-5B5B-46F5-AEE5-D64A9690A6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ase 2 — 100 pt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2" i="2" l="1"/>
  <c r="C62" i="2"/>
  <c r="H60" i="2"/>
  <c r="C60" i="2"/>
  <c r="H56" i="2"/>
  <c r="C56" i="2"/>
  <c r="H52" i="2"/>
  <c r="C52" i="2"/>
  <c r="H46" i="2"/>
  <c r="C46" i="2"/>
  <c r="H42" i="2"/>
  <c r="C42" i="2"/>
  <c r="H36" i="2"/>
  <c r="C36" i="2"/>
  <c r="H30" i="2"/>
  <c r="C30" i="2"/>
</calcChain>
</file>

<file path=xl/sharedStrings.xml><?xml version="1.0" encoding="utf-8"?>
<sst xmlns="http://schemas.openxmlformats.org/spreadsheetml/2006/main" count="180" uniqueCount="116">
  <si>
    <t>Universidad de San Carlos de Guatemala  |  Facultad de Ingeniería  |  Escuela de Ciencias y Sistemas</t>
  </si>
  <si>
    <t>Programación de Computadoras 1  —  Segundo Semestre 2026</t>
  </si>
  <si>
    <t>Nombre: _____________________________________________</t>
  </si>
  <si>
    <t>Carnet: _____________________________________________</t>
  </si>
  <si>
    <t>Fecha de calificación: ______ / ______ / ______</t>
  </si>
  <si>
    <t>Requisitos para optar a la calificación</t>
  </si>
  <si>
    <t>Tema</t>
  </si>
  <si>
    <t>Descripción</t>
  </si>
  <si>
    <t>Cumple (Sí/No)</t>
  </si>
  <si>
    <t>Tecnología establecida</t>
  </si>
  <si>
    <t>Entrega del ZIP</t>
  </si>
  <si>
    <t>Documentación obligatoria</t>
  </si>
  <si>
    <t>Manual técnico y manual de usuario incluidos en la entrega.</t>
  </si>
  <si>
    <t>Funcionalidad mínima</t>
  </si>
  <si>
    <t>Rúbrica de Calificación</t>
  </si>
  <si>
    <t>No.</t>
  </si>
  <si>
    <t>Criterio de Evaluación</t>
  </si>
  <si>
    <t>Pts</t>
  </si>
  <si>
    <t>Satisfactorio (100% – 61%)</t>
  </si>
  <si>
    <t>Necesita Mejorar (60% – 0%)</t>
  </si>
  <si>
    <t>Puntos
Obtenidos</t>
  </si>
  <si>
    <t>1.1</t>
  </si>
  <si>
    <t>10 – 6.1</t>
  </si>
  <si>
    <t>6.0 – 0</t>
  </si>
  <si>
    <t>Rango del punteo</t>
  </si>
  <si>
    <t>1.2</t>
  </si>
  <si>
    <t>1.3</t>
  </si>
  <si>
    <t>Sub-Total  1</t>
  </si>
  <si>
    <t>2.1</t>
  </si>
  <si>
    <t>2.2</t>
  </si>
  <si>
    <t>Sub-Total  2</t>
  </si>
  <si>
    <t>3.1</t>
  </si>
  <si>
    <t>Sub-Total  3</t>
  </si>
  <si>
    <t>4.1</t>
  </si>
  <si>
    <t>Sub-Total  4</t>
  </si>
  <si>
    <t>5.1</t>
  </si>
  <si>
    <t>5.2</t>
  </si>
  <si>
    <t>Sub-Total  5</t>
  </si>
  <si>
    <t>TOTAL</t>
  </si>
  <si>
    <t>* La calificación incluye aspectos técnicos y habilidades blandas demostradas durante el desarrollo.</t>
  </si>
  <si>
    <t>* Las copias detectadas tendrán una nota de cero puntos y serán reportadas a la Escuela de Ciencias y Sistemas.</t>
  </si>
  <si>
    <t>Estoy conforme con la nota obtenida.</t>
  </si>
  <si>
    <t>_______________________________
Firma Alumno</t>
  </si>
  <si>
    <t>_______________________________
Firma Auxiliar</t>
  </si>
  <si>
    <t>Hoja de Calificación — Proyecto 2  —  Patitas Felices APP F2  |  Sistema VBA + SQL Server</t>
  </si>
  <si>
    <t>VBA y SQL Server obligatorio para el desarrollo del sistema.</t>
  </si>
  <si>
    <t>Archivo [PDC1]VET_P2_#CARNET.zip entregado en UEDI dentro del plazo.</t>
  </si>
  <si>
    <t>El sistema debe ser funcional y cumplir con los requisitos obligatorios establecidos.</t>
  </si>
  <si>
    <t xml:space="preserve">  1. Aplicación en Excel   —   50 pts</t>
  </si>
  <si>
    <t>Pestaña Conexión funcionando</t>
  </si>
  <si>
    <t>Permite ingresar servidor y nombre de BD. El botón Conectar establece conexión ADO sin errores y muestra mensaje de confirmación.</t>
  </si>
  <si>
    <t>5 – 3.0</t>
  </si>
  <si>
    <t>La pestaña no conecta, presenta errores en ejecución, o no se entrega.</t>
  </si>
  <si>
    <t>3.0 – 0</t>
  </si>
  <si>
    <t>Pestaña Login con validación y control de roles</t>
  </si>
  <si>
    <t>Autentica contra SQL Server (tabla VETERINARIO), identifica el rol, oculta/muestra pestañas según rol (Recepcionista/Veterinario) mediante código VBA. Muestra error en credenciales incorrectas.</t>
  </si>
  <si>
    <t>El login no valida datos, no aplica control de pestañas por rol mediante VBA, el control se realizó manualmente, o no se entrega.</t>
  </si>
  <si>
    <t>Pestaña Registro de Dueños con todos los campos</t>
  </si>
  <si>
    <t>El formulario incluye todos los campos de DUEÑO. El botón Guardar inserta en SQL Server. Valida que el DPI no esté duplicado antes de insertar. Limpia campos tras registro exitoso.</t>
  </si>
  <si>
    <t>7 – 4.3</t>
  </si>
  <si>
    <t>Faltan campos obligatorios, no valida DPI duplicado, el botón no inserta datos correctamente, o no se entrega.</t>
  </si>
  <si>
    <t>4.2 – 0</t>
  </si>
  <si>
    <t>1.4</t>
  </si>
  <si>
    <t>Pestaña Registro de Mascotas con validación de dueño</t>
  </si>
  <si>
    <t>El formulario incluye todos los campos de MASCOTA más selección de dueño (id_dueno) y especie (id_especie). Valida que el dueño exista en la BD antes de insertar. Limpia campos tras registro exitoso.</t>
  </si>
  <si>
    <t>8 – 4.9</t>
  </si>
  <si>
    <t>Faltan campos, no valida que el dueño exista, el botón no inserta correctamente, o no se entrega.</t>
  </si>
  <si>
    <t>4.8 – 0</t>
  </si>
  <si>
    <t>1.5</t>
  </si>
  <si>
    <t>Pestaña Registrar Consulta con cálculo de total acumulado</t>
  </si>
  <si>
    <t>Valida que mascota y veterinario existan. Inserta en CONSULTA. Calcula el total acumulado de esa mascota con SELECT SUM(costo). Muestra confirmación con el total y limpia campos.</t>
  </si>
  <si>
    <t>12 – 7.3</t>
  </si>
  <si>
    <t>Faltan validaciones, el cálculo del total acumulado es incorrecto o ausente, no inserta correctamente en CONSULTA, o no se entrega.</t>
  </si>
  <si>
    <t>7.2 – 0</t>
  </si>
  <si>
    <t>1.6</t>
  </si>
  <si>
    <t>Pestaña Historial de Consultas por Mascota</t>
  </si>
  <si>
    <t>Busca por ID de mascota y muestra todas sus consultas (fecha, motivo, diagnóstico, costo, veterinario). Muestra el total acumulado cobrado al final. Solo lectura.</t>
  </si>
  <si>
    <t>No filtra por mascota, muestra datos de otras mascotas, falta el totalizador, o no se entrega.</t>
  </si>
  <si>
    <t xml:space="preserve">  2. Programación en VBA   —   10 pts</t>
  </si>
  <si>
    <t>Lógica VBA (variables, manejo de errores y funciones reutilizables)</t>
  </si>
  <si>
    <t>Variables con nombres descriptivos y tipos explícitos. Manejo de errores explícito en subrutinas críticas (On Error GoTo). Lógica común encapsulada en funciones reutilizables sin duplicación de código.</t>
  </si>
  <si>
    <t>Variables genéricas o sin tipo. Sin manejo de errores o uso de On Error Resume Next sin control. Código duplicado en múltiples módulos.</t>
  </si>
  <si>
    <t>Automatización y macros</t>
  </si>
  <si>
    <t>Todos los botones tienen macros asignadas. Los procesos completos (registro, consulta, actualización) se ejecutan sin intervención manual adicional.</t>
  </si>
  <si>
    <t>Botones sin macro asignada, macros incompletas, o procesos que requieren pasos manuales adicionales para completarse.</t>
  </si>
  <si>
    <t xml:space="preserve">  3. Diseño de Formularios   —   10 pts</t>
  </si>
  <si>
    <t>Formularios visualmente atractivos y campos etiquetados</t>
  </si>
  <si>
    <t>Hojas/UserForms con diseño consistente, colores coherentes y etiquetas descriptivas para cada campo de entrada.</t>
  </si>
  <si>
    <t>Sin estilo, campos sin etiqueta o diseño inconsistente entre pestañas.</t>
  </si>
  <si>
    <t>3.2</t>
  </si>
  <si>
    <t>Validación de datos en formularios</t>
  </si>
  <si>
    <t>Se validan campos obligatorios antes de ejecutar operaciones: campos vacíos, tipos de dato y existencia de registros relacionados. Mensajes de error claros.</t>
  </si>
  <si>
    <t>Sin validación de campos o validación parcial que permite insertar datos incorrectos o incompletos.</t>
  </si>
  <si>
    <t xml:space="preserve">  4. Conexión Excel – SQL Server   —   5 pts</t>
  </si>
  <si>
    <t>Conexión ADO y consultas SQL funcionales</t>
  </si>
  <si>
    <t>Conexión ADO funcional usando los datos ingresados en la pestaña Conexión. Consultas SELECT, INSERT y SELECT SUM ejecutan correctamente contra SQL Server.</t>
  </si>
  <si>
    <t>Conexión hardcodeada, falla en ejecución, o consultas SQL con errores de sintaxis que impiden la operación.</t>
  </si>
  <si>
    <t xml:space="preserve">  5. Manual Técnico   —   10 pts</t>
  </si>
  <si>
    <t>Estructura del documento</t>
  </si>
  <si>
    <t>El manual incluye: introducción, descripción del sistema, tecnologías utilizadas (Excel, VBA, SQL Server, ADO) y descripción general de los módulos VBA principales.</t>
  </si>
  <si>
    <t>Faltan secciones requeridas, documento incompleto o desorganizado, o no se entrega.</t>
  </si>
  <si>
    <t>Diagrama E-R y descripción del código</t>
  </si>
  <si>
    <t>Incluye diagrama E-R con las 5 tablas y descripción general de los módulos VBA principales sin necesidad de detallar línea por línea.</t>
  </si>
  <si>
    <t>Diagrama E-R ausente o incorrecto, descripción de módulos ausente, o no corresponde a la implementación entregada.</t>
  </si>
  <si>
    <t xml:space="preserve">  6. Manual de Usuario   —   10 pts</t>
  </si>
  <si>
    <t>6.1</t>
  </si>
  <si>
    <t>Documento completo y comprensible para el usuario final</t>
  </si>
  <si>
    <t>Explica el uso de cada pestaña con capturas de pantalla propias, pasos detallados y flujos de operación. Comprensible para usuario no técnico.</t>
  </si>
  <si>
    <t>Manual incompleto, sin capturas de pantalla, pasos confusos, o no se entrega.</t>
  </si>
  <si>
    <t>Sub-Total  6</t>
  </si>
  <si>
    <t xml:space="preserve">  7. Pregunta de Evaluación   —   5 pts</t>
  </si>
  <si>
    <t>7.1</t>
  </si>
  <si>
    <t>Pregunta de evaluación oral</t>
  </si>
  <si>
    <t>Responde correctamente y demuestra comprensión del sistema implementado: modelo de datos, lógica VBA o flujo de consultas.</t>
  </si>
  <si>
    <t>Respuesta incorrecta, incompleta o el estudiante no puede sustentar su solución.</t>
  </si>
  <si>
    <t>Sub-Total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</si>
</sst>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i/>
      <sz val="9"/>
      <color rgb="FF039BE5"/>
      <name val="Calibri"/>
      <charset val="1"/>
    </font>
    <font>
      <b/>
      <sz val="12"/>
      <color rgb="FFFFFFFF"/>
      <name val="Calibri"/>
      <charset val="1"/>
    </font>
    <font>
      <sz val="9"/>
      <color rgb="FF212121"/>
      <name val="Calibri"/>
      <charset val="1"/>
    </font>
    <font>
      <b/>
      <sz val="9"/>
      <color rgb="FFFFFFFF"/>
      <name val="Calibri"/>
      <charset val="1"/>
    </font>
    <font>
      <b/>
      <sz val="9"/>
      <color rgb="FF212121"/>
      <name val="Calibri"/>
      <charset val="1"/>
    </font>
    <font>
      <b/>
      <sz val="11"/>
      <color rgb="FFFFFFFF"/>
      <name val="Calibri"/>
      <charset val="1"/>
    </font>
    <font>
      <sz val="9"/>
      <color rgb="FFFFFFFF"/>
      <name val="Calibri"/>
      <charset val="1"/>
    </font>
    <font>
      <b/>
      <sz val="10"/>
      <color rgb="FF212121"/>
      <name val="Calibri"/>
      <charset val="1"/>
    </font>
    <font>
      <i/>
      <sz val="8"/>
      <color rgb="FF666666"/>
      <name val="Calibri"/>
      <charset val="1"/>
    </font>
    <font>
      <b/>
      <sz val="13"/>
      <color rgb="FFFFFFFF"/>
      <name val="Calibri"/>
      <charset val="1"/>
    </font>
    <font>
      <b/>
      <sz val="8"/>
      <color rgb="FFCC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39BE5"/>
        <bgColor rgb="FF008080"/>
      </patternFill>
    </fill>
    <fill>
      <patternFill patternType="solid">
        <fgColor rgb="FFE3F2FD"/>
        <bgColor rgb="FFF2F2F2"/>
      </patternFill>
    </fill>
    <fill>
      <patternFill patternType="solid">
        <fgColor rgb="FFBF9000"/>
        <bgColor rgb="FF808000"/>
      </patternFill>
    </fill>
    <fill>
      <patternFill patternType="solid">
        <fgColor rgb="FFFFFFFF"/>
        <bgColor rgb="FFFFF8E1"/>
      </patternFill>
    </fill>
    <fill>
      <patternFill patternType="solid">
        <fgColor rgb="FFB7B7B7"/>
        <bgColor rgb="FFAAAAAA"/>
      </patternFill>
    </fill>
    <fill>
      <patternFill patternType="solid">
        <fgColor rgb="FFF2F2F2"/>
        <bgColor rgb="FFE3F2FD"/>
      </patternFill>
    </fill>
    <fill>
      <patternFill patternType="solid">
        <fgColor rgb="FFD9EAD3"/>
        <bgColor rgb="FFE3F2FD"/>
      </patternFill>
    </fill>
    <fill>
      <patternFill patternType="solid">
        <fgColor rgb="FFFCE5CD"/>
        <bgColor rgb="FFFFF8E1"/>
      </patternFill>
    </fill>
    <fill>
      <patternFill patternType="solid">
        <fgColor rgb="FFFFF8E1"/>
        <b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0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39BE5"/>
      <rgbColor rgb="FFF2F2F2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BF90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1" width="5" customWidth="1"/>
    <col min="2" max="2" width="36" customWidth="1"/>
    <col min="3" max="3" width="8" customWidth="1"/>
    <col min="4" max="4" width="26" customWidth="1"/>
    <col min="5" max="5" width="12" customWidth="1"/>
    <col min="6" max="6" width="26" customWidth="1"/>
    <col min="7" max="7" width="12" customWidth="1"/>
    <col min="8" max="8" width="10" customWidth="1"/>
  </cols>
  <sheetData>
    <row r="1" spans="1:8" ht="19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24" customHeight="1" x14ac:dyDescent="0.3">
      <c r="A3" s="12" t="s">
        <v>44</v>
      </c>
      <c r="B3" s="12"/>
      <c r="C3" s="12"/>
      <c r="D3" s="12"/>
      <c r="E3" s="12"/>
      <c r="F3" s="12"/>
      <c r="G3" s="12"/>
      <c r="H3" s="12"/>
    </row>
    <row r="5" spans="1:8" ht="18" customHeight="1" x14ac:dyDescent="0.3">
      <c r="A5" s="11" t="s">
        <v>2</v>
      </c>
      <c r="B5" s="11"/>
      <c r="C5" s="11"/>
      <c r="D5" s="11"/>
      <c r="E5" s="11" t="s">
        <v>3</v>
      </c>
      <c r="F5" s="11"/>
      <c r="G5" s="11"/>
      <c r="H5" s="11"/>
    </row>
    <row r="6" spans="1:8" ht="18" customHeight="1" x14ac:dyDescent="0.3">
      <c r="A6" s="11" t="s">
        <v>4</v>
      </c>
      <c r="B6" s="11"/>
      <c r="C6" s="11"/>
      <c r="D6" s="11"/>
      <c r="E6" s="11"/>
      <c r="F6" s="11"/>
      <c r="G6" s="11"/>
      <c r="H6" s="11"/>
    </row>
    <row r="8" spans="1:8" ht="19.5" customHeight="1" x14ac:dyDescent="0.3">
      <c r="A8" s="10" t="s">
        <v>5</v>
      </c>
      <c r="B8" s="10"/>
      <c r="C8" s="10"/>
      <c r="D8" s="10"/>
      <c r="E8" s="10"/>
      <c r="F8" s="10"/>
      <c r="G8" s="10"/>
      <c r="H8" s="10"/>
    </row>
    <row r="9" spans="1:8" ht="18" customHeight="1" x14ac:dyDescent="0.3">
      <c r="A9" s="9" t="s">
        <v>6</v>
      </c>
      <c r="B9" s="9"/>
      <c r="C9" s="9" t="s">
        <v>7</v>
      </c>
      <c r="D9" s="9"/>
      <c r="E9" s="9"/>
      <c r="F9" s="9"/>
      <c r="G9" s="9"/>
      <c r="H9" s="16" t="s">
        <v>8</v>
      </c>
    </row>
    <row r="10" spans="1:8" ht="27.75" customHeight="1" x14ac:dyDescent="0.3">
      <c r="A10" s="8" t="s">
        <v>9</v>
      </c>
      <c r="B10" s="8"/>
      <c r="C10" s="11" t="s">
        <v>45</v>
      </c>
      <c r="D10" s="11"/>
      <c r="E10" s="11"/>
      <c r="F10" s="11"/>
      <c r="G10" s="11"/>
      <c r="H10" s="18"/>
    </row>
    <row r="11" spans="1:8" ht="27.75" customHeight="1" x14ac:dyDescent="0.3">
      <c r="A11" s="8" t="s">
        <v>10</v>
      </c>
      <c r="B11" s="8"/>
      <c r="C11" s="11" t="s">
        <v>46</v>
      </c>
      <c r="D11" s="11"/>
      <c r="E11" s="11"/>
      <c r="F11" s="11"/>
      <c r="G11" s="11"/>
      <c r="H11" s="18"/>
    </row>
    <row r="12" spans="1:8" ht="27.75" customHeight="1" x14ac:dyDescent="0.3">
      <c r="A12" s="8" t="s">
        <v>11</v>
      </c>
      <c r="B12" s="8"/>
      <c r="C12" s="11" t="s">
        <v>12</v>
      </c>
      <c r="D12" s="11"/>
      <c r="E12" s="11"/>
      <c r="F12" s="11"/>
      <c r="G12" s="11"/>
      <c r="H12" s="18"/>
    </row>
    <row r="13" spans="1:8" ht="27.75" customHeight="1" x14ac:dyDescent="0.3">
      <c r="A13" s="8" t="s">
        <v>13</v>
      </c>
      <c r="B13" s="8"/>
      <c r="C13" s="11" t="s">
        <v>47</v>
      </c>
      <c r="D13" s="11"/>
      <c r="E13" s="11"/>
      <c r="F13" s="11"/>
      <c r="G13" s="11"/>
      <c r="H13" s="18"/>
    </row>
    <row r="15" spans="1:8" ht="19.5" customHeight="1" x14ac:dyDescent="0.3">
      <c r="A15" s="7" t="s">
        <v>14</v>
      </c>
      <c r="B15" s="7"/>
      <c r="C15" s="7"/>
      <c r="D15" s="7"/>
      <c r="E15" s="7"/>
      <c r="F15" s="7"/>
      <c r="G15" s="7"/>
      <c r="H15" s="7"/>
    </row>
    <row r="16" spans="1:8" ht="27.75" customHeight="1" x14ac:dyDescent="0.3">
      <c r="A16" s="16" t="s">
        <v>15</v>
      </c>
      <c r="B16" s="16" t="s">
        <v>16</v>
      </c>
      <c r="C16" s="16" t="s">
        <v>17</v>
      </c>
      <c r="D16" s="6" t="s">
        <v>18</v>
      </c>
      <c r="E16" s="6"/>
      <c r="F16" s="5" t="s">
        <v>19</v>
      </c>
      <c r="G16" s="5"/>
      <c r="H16" s="16" t="s">
        <v>20</v>
      </c>
    </row>
    <row r="17" spans="1:8" ht="21.75" customHeight="1" x14ac:dyDescent="0.3">
      <c r="A17" s="4" t="s">
        <v>48</v>
      </c>
      <c r="B17" s="4"/>
      <c r="C17" s="4"/>
      <c r="D17" s="4"/>
      <c r="E17" s="4"/>
      <c r="F17" s="4"/>
      <c r="G17" s="4"/>
      <c r="H17" s="21"/>
    </row>
    <row r="18" spans="1:8" ht="60" customHeight="1" x14ac:dyDescent="0.3">
      <c r="A18" s="22" t="s">
        <v>21</v>
      </c>
      <c r="B18" s="17" t="s">
        <v>49</v>
      </c>
      <c r="C18" s="23">
        <v>5</v>
      </c>
      <c r="D18" s="24" t="s">
        <v>50</v>
      </c>
      <c r="E18" s="19" t="s">
        <v>51</v>
      </c>
      <c r="F18" s="25" t="s">
        <v>52</v>
      </c>
      <c r="G18" s="20" t="s">
        <v>53</v>
      </c>
      <c r="H18" s="26"/>
    </row>
    <row r="19" spans="1:8" ht="13.5" customHeight="1" x14ac:dyDescent="0.3">
      <c r="A19" s="27"/>
      <c r="B19" s="28" t="s">
        <v>24</v>
      </c>
      <c r="C19" s="27"/>
      <c r="D19" s="24"/>
      <c r="E19" s="19" t="s">
        <v>51</v>
      </c>
      <c r="F19" s="25"/>
      <c r="G19" s="20" t="s">
        <v>53</v>
      </c>
      <c r="H19" s="27"/>
    </row>
    <row r="20" spans="1:8" ht="60" customHeight="1" x14ac:dyDescent="0.3">
      <c r="A20" s="29" t="s">
        <v>25</v>
      </c>
      <c r="B20" s="30" t="s">
        <v>54</v>
      </c>
      <c r="C20" s="31">
        <v>10</v>
      </c>
      <c r="D20" s="24" t="s">
        <v>55</v>
      </c>
      <c r="E20" s="19" t="s">
        <v>22</v>
      </c>
      <c r="F20" s="25" t="s">
        <v>56</v>
      </c>
      <c r="G20" s="20" t="s">
        <v>23</v>
      </c>
      <c r="H20" s="26"/>
    </row>
    <row r="21" spans="1:8" ht="13.5" customHeight="1" x14ac:dyDescent="0.3">
      <c r="A21" s="15"/>
      <c r="B21" s="32" t="s">
        <v>24</v>
      </c>
      <c r="C21" s="15"/>
      <c r="D21" s="24"/>
      <c r="E21" s="19" t="s">
        <v>22</v>
      </c>
      <c r="F21" s="25"/>
      <c r="G21" s="20" t="s">
        <v>23</v>
      </c>
      <c r="H21" s="27"/>
    </row>
    <row r="22" spans="1:8" ht="60" customHeight="1" x14ac:dyDescent="0.3">
      <c r="A22" s="22" t="s">
        <v>26</v>
      </c>
      <c r="B22" s="17" t="s">
        <v>57</v>
      </c>
      <c r="C22" s="23">
        <v>7</v>
      </c>
      <c r="D22" s="24" t="s">
        <v>58</v>
      </c>
      <c r="E22" s="19" t="s">
        <v>59</v>
      </c>
      <c r="F22" s="25" t="s">
        <v>60</v>
      </c>
      <c r="G22" s="20" t="s">
        <v>61</v>
      </c>
      <c r="H22" s="26"/>
    </row>
    <row r="23" spans="1:8" ht="13.5" customHeight="1" x14ac:dyDescent="0.3">
      <c r="A23" s="27"/>
      <c r="B23" s="28" t="s">
        <v>24</v>
      </c>
      <c r="C23" s="27"/>
      <c r="D23" s="24"/>
      <c r="E23" s="19" t="s">
        <v>59</v>
      </c>
      <c r="F23" s="25"/>
      <c r="G23" s="20" t="s">
        <v>61</v>
      </c>
      <c r="H23" s="27"/>
    </row>
    <row r="24" spans="1:8" ht="60" customHeight="1" x14ac:dyDescent="0.3">
      <c r="A24" s="29" t="s">
        <v>62</v>
      </c>
      <c r="B24" s="30" t="s">
        <v>63</v>
      </c>
      <c r="C24" s="31">
        <v>8</v>
      </c>
      <c r="D24" s="24" t="s">
        <v>64</v>
      </c>
      <c r="E24" s="19" t="s">
        <v>65</v>
      </c>
      <c r="F24" s="25" t="s">
        <v>66</v>
      </c>
      <c r="G24" s="20" t="s">
        <v>67</v>
      </c>
      <c r="H24" s="26"/>
    </row>
    <row r="25" spans="1:8" ht="13.5" customHeight="1" x14ac:dyDescent="0.3">
      <c r="A25" s="15"/>
      <c r="B25" s="32" t="s">
        <v>24</v>
      </c>
      <c r="C25" s="15"/>
      <c r="D25" s="24"/>
      <c r="E25" s="19" t="s">
        <v>65</v>
      </c>
      <c r="F25" s="25"/>
      <c r="G25" s="20" t="s">
        <v>67</v>
      </c>
      <c r="H25" s="27"/>
    </row>
    <row r="26" spans="1:8" ht="60" customHeight="1" x14ac:dyDescent="0.3">
      <c r="A26" s="22" t="s">
        <v>68</v>
      </c>
      <c r="B26" s="17" t="s">
        <v>69</v>
      </c>
      <c r="C26" s="23">
        <v>12</v>
      </c>
      <c r="D26" s="24" t="s">
        <v>70</v>
      </c>
      <c r="E26" s="19" t="s">
        <v>71</v>
      </c>
      <c r="F26" s="25" t="s">
        <v>72</v>
      </c>
      <c r="G26" s="20" t="s">
        <v>73</v>
      </c>
      <c r="H26" s="26"/>
    </row>
    <row r="27" spans="1:8" ht="13.5" customHeight="1" x14ac:dyDescent="0.3">
      <c r="A27" s="27"/>
      <c r="B27" s="28" t="s">
        <v>24</v>
      </c>
      <c r="C27" s="27"/>
      <c r="D27" s="24"/>
      <c r="E27" s="19" t="s">
        <v>71</v>
      </c>
      <c r="F27" s="25"/>
      <c r="G27" s="20" t="s">
        <v>73</v>
      </c>
      <c r="H27" s="27"/>
    </row>
    <row r="28" spans="1:8" ht="60" customHeight="1" x14ac:dyDescent="0.3">
      <c r="A28" s="29" t="s">
        <v>74</v>
      </c>
      <c r="B28" s="30" t="s">
        <v>75</v>
      </c>
      <c r="C28" s="31">
        <v>8</v>
      </c>
      <c r="D28" s="24" t="s">
        <v>76</v>
      </c>
      <c r="E28" s="19" t="s">
        <v>65</v>
      </c>
      <c r="F28" s="25" t="s">
        <v>77</v>
      </c>
      <c r="G28" s="20" t="s">
        <v>67</v>
      </c>
      <c r="H28" s="26"/>
    </row>
    <row r="29" spans="1:8" ht="13.5" customHeight="1" x14ac:dyDescent="0.3">
      <c r="A29" s="15"/>
      <c r="B29" s="32" t="s">
        <v>24</v>
      </c>
      <c r="C29" s="15"/>
      <c r="D29" s="24"/>
      <c r="E29" s="19" t="s">
        <v>65</v>
      </c>
      <c r="F29" s="25"/>
      <c r="G29" s="20" t="s">
        <v>67</v>
      </c>
      <c r="H29" s="27"/>
    </row>
    <row r="30" spans="1:8" ht="18" customHeight="1" x14ac:dyDescent="0.3">
      <c r="A30" s="3" t="s">
        <v>27</v>
      </c>
      <c r="B30" s="3"/>
      <c r="C30" s="33">
        <f>SUM(C18,C20,C22,C24,C26,C28)</f>
        <v>50</v>
      </c>
      <c r="D30" s="34"/>
      <c r="E30" s="34"/>
      <c r="F30" s="34"/>
      <c r="G30" s="34"/>
      <c r="H30" s="33">
        <f>SUM(H18,H20,H22,H24,H26,H28)</f>
        <v>0</v>
      </c>
    </row>
    <row r="31" spans="1:8" ht="21.75" customHeight="1" x14ac:dyDescent="0.3">
      <c r="A31" s="4" t="s">
        <v>78</v>
      </c>
      <c r="B31" s="4"/>
      <c r="C31" s="4"/>
      <c r="D31" s="4"/>
      <c r="E31" s="4"/>
      <c r="F31" s="4"/>
      <c r="G31" s="4"/>
      <c r="H31" s="21"/>
    </row>
    <row r="32" spans="1:8" ht="60" customHeight="1" x14ac:dyDescent="0.3">
      <c r="A32" s="22" t="s">
        <v>28</v>
      </c>
      <c r="B32" s="17" t="s">
        <v>79</v>
      </c>
      <c r="C32" s="23">
        <v>5</v>
      </c>
      <c r="D32" s="24" t="s">
        <v>80</v>
      </c>
      <c r="E32" s="19" t="s">
        <v>51</v>
      </c>
      <c r="F32" s="25" t="s">
        <v>81</v>
      </c>
      <c r="G32" s="20" t="s">
        <v>53</v>
      </c>
      <c r="H32" s="26"/>
    </row>
    <row r="33" spans="1:8" ht="13.5" customHeight="1" x14ac:dyDescent="0.3">
      <c r="A33" s="27"/>
      <c r="B33" s="28" t="s">
        <v>24</v>
      </c>
      <c r="C33" s="27"/>
      <c r="D33" s="24"/>
      <c r="E33" s="19" t="s">
        <v>51</v>
      </c>
      <c r="F33" s="25"/>
      <c r="G33" s="20" t="s">
        <v>53</v>
      </c>
      <c r="H33" s="27"/>
    </row>
    <row r="34" spans="1:8" ht="60" customHeight="1" x14ac:dyDescent="0.3">
      <c r="A34" s="29" t="s">
        <v>29</v>
      </c>
      <c r="B34" s="30" t="s">
        <v>82</v>
      </c>
      <c r="C34" s="31">
        <v>5</v>
      </c>
      <c r="D34" s="24" t="s">
        <v>83</v>
      </c>
      <c r="E34" s="19" t="s">
        <v>51</v>
      </c>
      <c r="F34" s="25" t="s">
        <v>84</v>
      </c>
      <c r="G34" s="20" t="s">
        <v>53</v>
      </c>
      <c r="H34" s="26"/>
    </row>
    <row r="35" spans="1:8" ht="13.5" customHeight="1" x14ac:dyDescent="0.3">
      <c r="A35" s="15"/>
      <c r="B35" s="32" t="s">
        <v>24</v>
      </c>
      <c r="C35" s="15"/>
      <c r="D35" s="24"/>
      <c r="E35" s="19" t="s">
        <v>51</v>
      </c>
      <c r="F35" s="25"/>
      <c r="G35" s="20" t="s">
        <v>53</v>
      </c>
      <c r="H35" s="27"/>
    </row>
    <row r="36" spans="1:8" ht="18" customHeight="1" x14ac:dyDescent="0.3">
      <c r="A36" s="3" t="s">
        <v>30</v>
      </c>
      <c r="B36" s="3"/>
      <c r="C36" s="33">
        <f>SUM(C32,C34)</f>
        <v>10</v>
      </c>
      <c r="D36" s="34"/>
      <c r="E36" s="34"/>
      <c r="F36" s="34"/>
      <c r="G36" s="34"/>
      <c r="H36" s="33">
        <f>SUM(H32,H34)</f>
        <v>0</v>
      </c>
    </row>
    <row r="37" spans="1:8" ht="21.75" customHeight="1" x14ac:dyDescent="0.3">
      <c r="A37" s="4" t="s">
        <v>85</v>
      </c>
      <c r="B37" s="4"/>
      <c r="C37" s="4"/>
      <c r="D37" s="4"/>
      <c r="E37" s="4"/>
      <c r="F37" s="4"/>
      <c r="G37" s="4"/>
      <c r="H37" s="21"/>
    </row>
    <row r="38" spans="1:8" ht="60" customHeight="1" x14ac:dyDescent="0.3">
      <c r="A38" s="22" t="s">
        <v>31</v>
      </c>
      <c r="B38" s="17" t="s">
        <v>86</v>
      </c>
      <c r="C38" s="23">
        <v>5</v>
      </c>
      <c r="D38" s="24" t="s">
        <v>87</v>
      </c>
      <c r="E38" s="19" t="s">
        <v>51</v>
      </c>
      <c r="F38" s="25" t="s">
        <v>88</v>
      </c>
      <c r="G38" s="20" t="s">
        <v>53</v>
      </c>
      <c r="H38" s="26"/>
    </row>
    <row r="39" spans="1:8" ht="13.5" customHeight="1" x14ac:dyDescent="0.3">
      <c r="A39" s="27"/>
      <c r="B39" s="28" t="s">
        <v>24</v>
      </c>
      <c r="C39" s="27"/>
      <c r="D39" s="24"/>
      <c r="E39" s="19" t="s">
        <v>51</v>
      </c>
      <c r="F39" s="25"/>
      <c r="G39" s="20" t="s">
        <v>53</v>
      </c>
      <c r="H39" s="27"/>
    </row>
    <row r="40" spans="1:8" ht="60" customHeight="1" x14ac:dyDescent="0.3">
      <c r="A40" s="29" t="s">
        <v>89</v>
      </c>
      <c r="B40" s="30" t="s">
        <v>90</v>
      </c>
      <c r="C40" s="31">
        <v>5</v>
      </c>
      <c r="D40" s="24" t="s">
        <v>91</v>
      </c>
      <c r="E40" s="19" t="s">
        <v>51</v>
      </c>
      <c r="F40" s="25" t="s">
        <v>92</v>
      </c>
      <c r="G40" s="20" t="s">
        <v>53</v>
      </c>
      <c r="H40" s="26"/>
    </row>
    <row r="41" spans="1:8" ht="13.5" customHeight="1" x14ac:dyDescent="0.3">
      <c r="A41" s="15"/>
      <c r="B41" s="32" t="s">
        <v>24</v>
      </c>
      <c r="C41" s="15"/>
      <c r="D41" s="24"/>
      <c r="E41" s="19" t="s">
        <v>51</v>
      </c>
      <c r="F41" s="25"/>
      <c r="G41" s="20" t="s">
        <v>53</v>
      </c>
      <c r="H41" s="27"/>
    </row>
    <row r="42" spans="1:8" ht="18" customHeight="1" x14ac:dyDescent="0.3">
      <c r="A42" s="3" t="s">
        <v>32</v>
      </c>
      <c r="B42" s="3"/>
      <c r="C42" s="33">
        <f>SUM(C38,C40)</f>
        <v>10</v>
      </c>
      <c r="D42" s="34"/>
      <c r="E42" s="34"/>
      <c r="F42" s="34"/>
      <c r="G42" s="34"/>
      <c r="H42" s="33">
        <f>SUM(H38,H40)</f>
        <v>0</v>
      </c>
    </row>
    <row r="43" spans="1:8" ht="21.75" customHeight="1" x14ac:dyDescent="0.3">
      <c r="A43" s="4" t="s">
        <v>93</v>
      </c>
      <c r="B43" s="4"/>
      <c r="C43" s="4"/>
      <c r="D43" s="4"/>
      <c r="E43" s="4"/>
      <c r="F43" s="4"/>
      <c r="G43" s="4"/>
      <c r="H43" s="21"/>
    </row>
    <row r="44" spans="1:8" ht="60" customHeight="1" x14ac:dyDescent="0.3">
      <c r="A44" s="22" t="s">
        <v>33</v>
      </c>
      <c r="B44" s="17" t="s">
        <v>94</v>
      </c>
      <c r="C44" s="23">
        <v>5</v>
      </c>
      <c r="D44" s="24" t="s">
        <v>95</v>
      </c>
      <c r="E44" s="19" t="s">
        <v>51</v>
      </c>
      <c r="F44" s="25" t="s">
        <v>96</v>
      </c>
      <c r="G44" s="20" t="s">
        <v>53</v>
      </c>
      <c r="H44" s="26"/>
    </row>
    <row r="45" spans="1:8" ht="13.5" customHeight="1" x14ac:dyDescent="0.3">
      <c r="A45" s="27"/>
      <c r="B45" s="28" t="s">
        <v>24</v>
      </c>
      <c r="C45" s="27"/>
      <c r="D45" s="24"/>
      <c r="E45" s="19" t="s">
        <v>51</v>
      </c>
      <c r="F45" s="25"/>
      <c r="G45" s="20" t="s">
        <v>53</v>
      </c>
      <c r="H45" s="27"/>
    </row>
    <row r="46" spans="1:8" ht="18" customHeight="1" x14ac:dyDescent="0.3">
      <c r="A46" s="3" t="s">
        <v>34</v>
      </c>
      <c r="B46" s="3"/>
      <c r="C46" s="33">
        <f>SUM(C44)</f>
        <v>5</v>
      </c>
      <c r="D46" s="34"/>
      <c r="E46" s="34"/>
      <c r="F46" s="34"/>
      <c r="G46" s="34"/>
      <c r="H46" s="33">
        <f>SUM(H44)</f>
        <v>0</v>
      </c>
    </row>
    <row r="47" spans="1:8" ht="21.75" customHeight="1" x14ac:dyDescent="0.3">
      <c r="A47" s="4" t="s">
        <v>97</v>
      </c>
      <c r="B47" s="4"/>
      <c r="C47" s="4"/>
      <c r="D47" s="4"/>
      <c r="E47" s="4"/>
      <c r="F47" s="4"/>
      <c r="G47" s="4"/>
      <c r="H47" s="21"/>
    </row>
    <row r="48" spans="1:8" ht="60" customHeight="1" x14ac:dyDescent="0.3">
      <c r="A48" s="22" t="s">
        <v>35</v>
      </c>
      <c r="B48" s="17" t="s">
        <v>98</v>
      </c>
      <c r="C48" s="23">
        <v>5</v>
      </c>
      <c r="D48" s="24" t="s">
        <v>99</v>
      </c>
      <c r="E48" s="19" t="s">
        <v>51</v>
      </c>
      <c r="F48" s="25" t="s">
        <v>100</v>
      </c>
      <c r="G48" s="20" t="s">
        <v>53</v>
      </c>
      <c r="H48" s="26"/>
    </row>
    <row r="49" spans="1:8" ht="13.5" customHeight="1" x14ac:dyDescent="0.3">
      <c r="A49" s="27"/>
      <c r="B49" s="28" t="s">
        <v>24</v>
      </c>
      <c r="C49" s="27"/>
      <c r="D49" s="24"/>
      <c r="E49" s="19" t="s">
        <v>51</v>
      </c>
      <c r="F49" s="25"/>
      <c r="G49" s="20" t="s">
        <v>53</v>
      </c>
      <c r="H49" s="27"/>
    </row>
    <row r="50" spans="1:8" ht="60" customHeight="1" x14ac:dyDescent="0.3">
      <c r="A50" s="29" t="s">
        <v>36</v>
      </c>
      <c r="B50" s="30" t="s">
        <v>101</v>
      </c>
      <c r="C50" s="31">
        <v>5</v>
      </c>
      <c r="D50" s="24" t="s">
        <v>102</v>
      </c>
      <c r="E50" s="19" t="s">
        <v>51</v>
      </c>
      <c r="F50" s="25" t="s">
        <v>103</v>
      </c>
      <c r="G50" s="20" t="s">
        <v>53</v>
      </c>
      <c r="H50" s="26"/>
    </row>
    <row r="51" spans="1:8" ht="13.5" customHeight="1" x14ac:dyDescent="0.3">
      <c r="A51" s="15"/>
      <c r="B51" s="32" t="s">
        <v>24</v>
      </c>
      <c r="C51" s="15"/>
      <c r="D51" s="24"/>
      <c r="E51" s="19" t="s">
        <v>51</v>
      </c>
      <c r="F51" s="25"/>
      <c r="G51" s="20" t="s">
        <v>53</v>
      </c>
      <c r="H51" s="27"/>
    </row>
    <row r="52" spans="1:8" ht="18" customHeight="1" x14ac:dyDescent="0.3">
      <c r="A52" s="3" t="s">
        <v>37</v>
      </c>
      <c r="B52" s="3"/>
      <c r="C52" s="33">
        <f>SUM(C48,C50)</f>
        <v>10</v>
      </c>
      <c r="D52" s="34"/>
      <c r="E52" s="34"/>
      <c r="F52" s="34"/>
      <c r="G52" s="34"/>
      <c r="H52" s="33">
        <f>SUM(H48,H50)</f>
        <v>0</v>
      </c>
    </row>
    <row r="53" spans="1:8" ht="21.75" customHeight="1" x14ac:dyDescent="0.3">
      <c r="A53" s="4" t="s">
        <v>104</v>
      </c>
      <c r="B53" s="4"/>
      <c r="C53" s="4"/>
      <c r="D53" s="4"/>
      <c r="E53" s="4"/>
      <c r="F53" s="4"/>
      <c r="G53" s="4"/>
      <c r="H53" s="21"/>
    </row>
    <row r="54" spans="1:8" ht="60" customHeight="1" x14ac:dyDescent="0.3">
      <c r="A54" s="22" t="s">
        <v>105</v>
      </c>
      <c r="B54" s="17" t="s">
        <v>106</v>
      </c>
      <c r="C54" s="23">
        <v>10</v>
      </c>
      <c r="D54" s="24" t="s">
        <v>107</v>
      </c>
      <c r="E54" s="19" t="s">
        <v>22</v>
      </c>
      <c r="F54" s="25" t="s">
        <v>108</v>
      </c>
      <c r="G54" s="20" t="s">
        <v>23</v>
      </c>
      <c r="H54" s="26"/>
    </row>
    <row r="55" spans="1:8" ht="13.5" customHeight="1" x14ac:dyDescent="0.3">
      <c r="A55" s="27"/>
      <c r="B55" s="28" t="s">
        <v>24</v>
      </c>
      <c r="C55" s="27"/>
      <c r="D55" s="24"/>
      <c r="E55" s="19" t="s">
        <v>22</v>
      </c>
      <c r="F55" s="25"/>
      <c r="G55" s="20" t="s">
        <v>23</v>
      </c>
      <c r="H55" s="27"/>
    </row>
    <row r="56" spans="1:8" ht="18" customHeight="1" x14ac:dyDescent="0.3">
      <c r="A56" s="3" t="s">
        <v>109</v>
      </c>
      <c r="B56" s="3"/>
      <c r="C56" s="33">
        <f>SUM(C54)</f>
        <v>10</v>
      </c>
      <c r="D56" s="34"/>
      <c r="E56" s="34"/>
      <c r="F56" s="34"/>
      <c r="G56" s="34"/>
      <c r="H56" s="33">
        <f>SUM(H54)</f>
        <v>0</v>
      </c>
    </row>
    <row r="57" spans="1:8" ht="21.75" customHeight="1" x14ac:dyDescent="0.3">
      <c r="A57" s="4" t="s">
        <v>110</v>
      </c>
      <c r="B57" s="4"/>
      <c r="C57" s="4"/>
      <c r="D57" s="4"/>
      <c r="E57" s="4"/>
      <c r="F57" s="4"/>
      <c r="G57" s="4"/>
      <c r="H57" s="21"/>
    </row>
    <row r="58" spans="1:8" ht="60" customHeight="1" x14ac:dyDescent="0.3">
      <c r="A58" s="22" t="s">
        <v>111</v>
      </c>
      <c r="B58" s="17" t="s">
        <v>112</v>
      </c>
      <c r="C58" s="23">
        <v>5</v>
      </c>
      <c r="D58" s="24" t="s">
        <v>113</v>
      </c>
      <c r="E58" s="19" t="s">
        <v>51</v>
      </c>
      <c r="F58" s="25" t="s">
        <v>114</v>
      </c>
      <c r="G58" s="20" t="s">
        <v>53</v>
      </c>
      <c r="H58" s="26"/>
    </row>
    <row r="59" spans="1:8" ht="13.5" customHeight="1" x14ac:dyDescent="0.3">
      <c r="A59" s="27"/>
      <c r="B59" s="28" t="s">
        <v>24</v>
      </c>
      <c r="C59" s="27"/>
      <c r="D59" s="24"/>
      <c r="E59" s="19" t="s">
        <v>51</v>
      </c>
      <c r="F59" s="25"/>
      <c r="G59" s="20" t="s">
        <v>53</v>
      </c>
      <c r="H59" s="27"/>
    </row>
    <row r="60" spans="1:8" ht="18" customHeight="1" x14ac:dyDescent="0.3">
      <c r="A60" s="3" t="s">
        <v>115</v>
      </c>
      <c r="B60" s="3"/>
      <c r="C60" s="33">
        <f>SUM(C58)</f>
        <v>5</v>
      </c>
      <c r="D60" s="34"/>
      <c r="E60" s="34"/>
      <c r="F60" s="34"/>
      <c r="G60" s="34"/>
      <c r="H60" s="33">
        <f>SUM(H58)</f>
        <v>0</v>
      </c>
    </row>
    <row r="62" spans="1:8" ht="25.5" customHeight="1" x14ac:dyDescent="0.3">
      <c r="A62" s="2" t="s">
        <v>38</v>
      </c>
      <c r="B62" s="2"/>
      <c r="C62" s="35">
        <f>SUM(C18,C20,C22,C24,C26,C28,C32,C34,C38,C40,C44,C48,C50,C54,C58)</f>
        <v>100</v>
      </c>
      <c r="D62" s="36"/>
      <c r="E62" s="36"/>
      <c r="F62" s="36"/>
      <c r="G62" s="36"/>
      <c r="H62" s="37">
        <f>SUM(H18,H20,H22,H24,H26,H28,H32,H34,H38,H40,H44,H48,H50,H54,H58)</f>
        <v>0</v>
      </c>
    </row>
    <row r="64" spans="1:8" ht="13.5" customHeight="1" x14ac:dyDescent="0.3">
      <c r="A64" s="1" t="s">
        <v>39</v>
      </c>
      <c r="B64" s="1"/>
      <c r="C64" s="1"/>
      <c r="D64" s="1"/>
      <c r="E64" s="1"/>
      <c r="F64" s="1"/>
      <c r="G64" s="1"/>
      <c r="H64" s="1"/>
    </row>
    <row r="65" spans="1:8" ht="13.5" customHeight="1" x14ac:dyDescent="0.3">
      <c r="A65" s="38" t="s">
        <v>40</v>
      </c>
      <c r="B65" s="38"/>
      <c r="C65" s="38"/>
      <c r="D65" s="38"/>
      <c r="E65" s="38"/>
      <c r="F65" s="38"/>
      <c r="G65" s="38"/>
      <c r="H65" s="38"/>
    </row>
    <row r="68" spans="1:8" ht="13.5" customHeight="1" x14ac:dyDescent="0.3">
      <c r="A68" s="11" t="s">
        <v>41</v>
      </c>
      <c r="B68" s="11"/>
      <c r="C68" s="11"/>
      <c r="D68" s="11"/>
    </row>
    <row r="70" spans="1:8" ht="30" customHeight="1" x14ac:dyDescent="0.3">
      <c r="A70" s="39" t="s">
        <v>42</v>
      </c>
      <c r="B70" s="39"/>
      <c r="C70" s="39"/>
      <c r="E70" s="39" t="s">
        <v>43</v>
      </c>
      <c r="F70" s="39"/>
      <c r="G70" s="39"/>
    </row>
  </sheetData>
  <mergeCells count="40">
    <mergeCell ref="A68:D68"/>
    <mergeCell ref="A70:C70"/>
    <mergeCell ref="E70:G70"/>
    <mergeCell ref="A57:G57"/>
    <mergeCell ref="A60:B60"/>
    <mergeCell ref="A62:B62"/>
    <mergeCell ref="A64:H64"/>
    <mergeCell ref="A65:H65"/>
    <mergeCell ref="A46:B46"/>
    <mergeCell ref="A47:G47"/>
    <mergeCell ref="A52:B52"/>
    <mergeCell ref="A53:G53"/>
    <mergeCell ref="A56:B56"/>
    <mergeCell ref="A31:G31"/>
    <mergeCell ref="A36:B36"/>
    <mergeCell ref="A37:G37"/>
    <mergeCell ref="A42:B42"/>
    <mergeCell ref="A43:G43"/>
    <mergeCell ref="A15:H15"/>
    <mergeCell ref="D16:E16"/>
    <mergeCell ref="F16:G16"/>
    <mergeCell ref="A17:G17"/>
    <mergeCell ref="A30:B30"/>
    <mergeCell ref="A11:B11"/>
    <mergeCell ref="C11:G11"/>
    <mergeCell ref="A12:B12"/>
    <mergeCell ref="C12:G12"/>
    <mergeCell ref="A13:B13"/>
    <mergeCell ref="C13:G13"/>
    <mergeCell ref="A6:H6"/>
    <mergeCell ref="A8:H8"/>
    <mergeCell ref="A9:B9"/>
    <mergeCell ref="C9:G9"/>
    <mergeCell ref="A10:B10"/>
    <mergeCell ref="C10:G10"/>
    <mergeCell ref="A1:H1"/>
    <mergeCell ref="A2:H2"/>
    <mergeCell ref="A3:H3"/>
    <mergeCell ref="A5:D5"/>
    <mergeCell ref="E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Fase 2 — 100 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Josue Xiloj Subuyu</cp:lastModifiedBy>
  <cp:revision>0</cp:revision>
  <dcterms:created xsi:type="dcterms:W3CDTF">2026-05-10T21:13:31Z</dcterms:created>
  <dcterms:modified xsi:type="dcterms:W3CDTF">2026-05-10T21:19:47Z</dcterms:modified>
  <dc:language>en-US</dc:language>
</cp:coreProperties>
</file>