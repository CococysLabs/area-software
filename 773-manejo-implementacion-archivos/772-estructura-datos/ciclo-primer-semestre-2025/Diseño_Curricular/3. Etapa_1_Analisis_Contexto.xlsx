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formación General" sheetId="1" r:id="rId5"/>
    <sheet state="visible" name="DC Lab Prerrequisito" sheetId="2" r:id="rId6"/>
    <sheet state="visible" name="DC laboratorio" sheetId="3" r:id="rId7"/>
    <sheet state="visible" name="Analisis Curso Vrs Laboratorio" sheetId="4" r:id="rId8"/>
    <sheet state="visible" name="DC Lab Posterior" sheetId="5" r:id="rId9"/>
    <sheet state="visible" name="Competencias" sheetId="6" r:id="rId10"/>
    <sheet state="hidden" name="MetaData" sheetId="7" r:id="rId11"/>
  </sheets>
  <definedNames>
    <definedName name="MY_FUNCTION1">LAMBDA(QUERY(#REF!,
"SELECT B, C WHERE A = '" &amp;
LOOKUP('Información General'!$C$3,#REF!,5,FALSE) &amp; "'", 0))</definedName>
  </definedNames>
  <calcPr/>
</workbook>
</file>

<file path=xl/sharedStrings.xml><?xml version="1.0" encoding="utf-8"?>
<sst xmlns="http://schemas.openxmlformats.org/spreadsheetml/2006/main" count="272" uniqueCount="200">
  <si>
    <t>Nombre del Curso</t>
  </si>
  <si>
    <t>↖️</t>
  </si>
  <si>
    <t>Código del Curso</t>
  </si>
  <si>
    <t>772 - Estructuras de Datos</t>
  </si>
  <si>
    <t>Semestre</t>
  </si>
  <si>
    <t>Nota: Para ver la descripción del contexto solamente debes seleccionar el curso del cual deseas ver y podrá observar todo el análisis de este.</t>
  </si>
  <si>
    <t>Área de Conocimiento</t>
  </si>
  <si>
    <t>Cantidad de Creditos</t>
  </si>
  <si>
    <t>Horas de aprendizaje</t>
  </si>
  <si>
    <t>Descripción del Contexto</t>
  </si>
  <si>
    <t xml:space="preserve">Que cursos prerrequisito tiene
</t>
  </si>
  <si>
    <t>Cursos que lleva en el mismo semestre</t>
  </si>
  <si>
    <t>Qué cursos posteriores dependen de este</t>
  </si>
  <si>
    <t>No.</t>
  </si>
  <si>
    <t>Codigo</t>
  </si>
  <si>
    <t>Nombre</t>
  </si>
  <si>
    <t>Expectativas  y/o Criterios del laboratorio</t>
  </si>
  <si>
    <t>Nombre del Catedratico</t>
  </si>
  <si>
    <t>Nombre - Apellido</t>
  </si>
  <si>
    <t>Expectativa</t>
  </si>
  <si>
    <t>Criterio</t>
  </si>
  <si>
    <t>Nota: Seleccione el nombre del catedrático para proceder a su diagnóstico.</t>
  </si>
  <si>
    <t>Curso Anterior</t>
  </si>
  <si>
    <r>
      <rPr>
        <rFont val="Arial"/>
        <color theme="1"/>
      </rPr>
      <t xml:space="preserve">Para ver el contenido de un curso </t>
    </r>
    <r>
      <rPr>
        <rFont val="Arial"/>
        <b/>
        <color theme="1"/>
        <sz val="11.0"/>
      </rPr>
      <t xml:space="preserve">Predecesor </t>
    </r>
    <r>
      <rPr>
        <rFont val="Arial"/>
        <color theme="1"/>
      </rPr>
      <t>a este debe seleccionar el curso que desea ver.</t>
    </r>
  </si>
  <si>
    <t>Introducción a la Programación y Computación 2</t>
  </si>
  <si>
    <t>⬅️</t>
  </si>
  <si>
    <t>Competencia</t>
  </si>
  <si>
    <t>Unidad</t>
  </si>
  <si>
    <t>Tema</t>
  </si>
  <si>
    <t>Subtema</t>
  </si>
  <si>
    <t>Mes</t>
  </si>
  <si>
    <t>Semana</t>
  </si>
  <si>
    <t>Temas Laboratorio</t>
  </si>
  <si>
    <t>Curso vs Laboratorio</t>
  </si>
  <si>
    <t>Curso Magistral</t>
  </si>
  <si>
    <t>Curso Laboratorio</t>
  </si>
  <si>
    <t>Alineación</t>
  </si>
  <si>
    <t>Analisis</t>
  </si>
  <si>
    <t>Recomendación</t>
  </si>
  <si>
    <t>1. Introducción a la Memoria y Análisis de Algoritmos</t>
  </si>
  <si>
    <t>Unidad 1</t>
  </si>
  <si>
    <t>1. Análisis de algoritmos                                                                                               - Algoritmos y eficiencia                                                                                                - Análisis de casos                                                                                                - Notación O grande                                                                                                - Desarrollo de pruebas</t>
  </si>
  <si>
    <t>Semana 1-2: Introducción a TDA y Principios del Lenguaje                                                                                                - Tipos de datos primitivos y compuestos                                                                                                - TDA                                                                                                - Instalación y configuración                                                                                                - Tipos de datos básicos</t>
  </si>
  <si>
    <t>Media</t>
  </si>
  <si>
    <t>El laboratorio inicia con conceptos de TDA y lenguaje de programación mientras la clase magistral se enfoca en análisis de algoritmos y eficiencia. Existe un desfase entre la teoría algorítmica y su implementación práctica.</t>
  </si>
  <si>
    <t>Incluir en las primeras semanas del laboratorio ejemplos concretos de análisis de eficiencia algorítmica, midiendo tiempos de ejecución para diferentes tamaños de entrada. Desarrollar ejercicios donde los estudiantes analicen la complejidad temporal de sus implementaciones.</t>
  </si>
  <si>
    <t>2. Arreglos                                                                                                 - Arreglos lexicográficos                                                                                                - Row-major y Col-major                                                                                                - Matrices dispersas</t>
  </si>
  <si>
    <t>Semana 3-7: Listas, Pilas, Colas y Matrices                                                                                                - Lista simplemente enlazada                                                                                                - Pila y cola                                                                                                - Lista doblemente enlazada                                                                                                - Lista circular                                                                                                - Matriz dispersa y ortogonal</t>
  </si>
  <si>
    <t>Alta</t>
  </si>
  <si>
    <t>Buena alineación temporal entre la teoría de matrices dispersas y su implementación, aunque se abordan muchas otras estructuras lineales en laboratorio que no tienen contraparte explícita en la teoría.</t>
  </si>
  <si>
    <t>Mantener esta alineación y ampliarla incluyendo en la parte teórica un tratamiento más extenso de las estructuras lineales (listas, pilas, colas) que ya se implementan en el laboratorio. Añadir comparativas de eficiencia entre diferentes implementaciones.</t>
  </si>
  <si>
    <t>2. Conceptos Avanzados y Estructuras No Lineales Básicas</t>
  </si>
  <si>
    <t>Unidad 2</t>
  </si>
  <si>
    <t>3. Árboles                                                                                                - Definición                                                                                                - Árboles binarios de búsqueda                                                                                                - Recorridos                                                                                                - AVL y HB[k]                                                                                                - Árboles B                                                                                                - Variantes de árboles B                                                                                               - Otros árboles</t>
  </si>
  <si>
    <t>Semana 8-10: Árboles                                                                                                - Árbol binario de búsqueda                                                                                                - Árbol binario balanceado (AVL)                                                                                                - Árbol B</t>
  </si>
  <si>
    <t>Excelente alineación entre la teoría de árboles y su implementación práctica. La secuencia de temas y el nivel de detalle son muy similares.</t>
  </si>
  <si>
    <t>Mantener esta alineación. Reforzar la conexión entre los aspectos teóricos de equilibrado y la implementación práctica, posiblemente con visualizaciones gráficas del funcionamiento de los algoritmos de balanceo.</t>
  </si>
  <si>
    <t>4. Tablas Hash                                                                                                - Función Hash                                                                                                - Resolución de colisiones                                                                                                - Redimensionamiento</t>
  </si>
  <si>
    <t>Semana 12: Tabla Hash                                                                                                - Introducción a Tablas de Dispersión                                                                                                - Función de Dispersión                                                                                                - Resolución de Colisiones                                                                                                - Tamaño y Redispersión</t>
  </si>
  <si>
    <t>Muy buena alineación entre el contenido teórico y práctico de tablas hash.</t>
  </si>
  <si>
    <t>Mantener esta fortaleza y potenciarla con análisis comparativos de diferentes funciones hash y métodos de resolución de colisiones, midiendo su eficiencia con conjuntos de datos reales.</t>
  </si>
  <si>
    <t>3. Otras Estructuras y Algoritmos</t>
  </si>
  <si>
    <t>Unidad 3</t>
  </si>
  <si>
    <t>5. Grafos                                                                                                - Definición                                                                                                - Representación por matrices y listas                                                                                               - Algoritmos de árboles de recubrimiento                                                                                                - Algoritmos de rutas cortas</t>
  </si>
  <si>
    <t>Semana 11: Grafos                                                                                                - Introducción a Grafos                                                                                                - Representación de Grafos                                                                                                - Algoritmos de Caminos Mínimos                                                                                                - Aplicaciones de Grafos</t>
  </si>
  <si>
    <t>Alineación muy fuerte entre teoría y práctica en el tema de grafos.</t>
  </si>
  <si>
    <t>Mantener esta alineación y potenciarla con ejemplos de aplicaciones reales de grafos para resolver problemas complejos. Considerar incluir implementaciones prácticas de diferentes algoritmos de caminos mínimos (Dijkstra, Bellman-Ford, Floyd-Warshall) para comparar su rendimiento.</t>
  </si>
  <si>
    <t>6. Textos                                                                                                - Representaciones                                                                                                - Algoritmos de codificación y corrección                                                                                                - Búsqueda de patrones                                                                                                - Algoritmos de compresión</t>
  </si>
  <si>
    <t>Semana 15: Compresión                                                                                                - Introducción a la Compresión de Datos                                                                                                - Compresión sin Pérdida                                                                                                - Algoritmo de Codificación Huffman                                                                                                - Aplicaciones y Eficiencia</t>
  </si>
  <si>
    <t>El laboratorio se enfoca específicamente en compresión, mientras la parte teórica abarca un espectro más amplio de procesamiento de textos.</t>
  </si>
  <si>
    <t>Expandir el contenido del laboratorio para incluir otras áreas del procesamiento de textos, como algoritmos de búsqueda de patrones (KMP, Boyer-Moore) y técnicas de codificación/detección de errores. Alternativamente, redistribuir el contenido teórico para enfocarse más en compresión.</t>
  </si>
  <si>
    <t>4. Seguridad y Calidad en el Software</t>
  </si>
  <si>
    <t>Unidad 4</t>
  </si>
  <si>
    <t>1. Seguridad en software y patrones                                                                                                - Criptografía                                                                                                - Políticas de Seguridad                                                                                                - Patrones de Seguridad                                                                                                - Blockchain                                                                                                - Calidad del software</t>
  </si>
  <si>
    <t>Semana 13-14: Blockchain y Encriptación                                                                                                - Introducción a Blockchain                                                                                                - Estructura de un Bloque                                                                                                - Codificación y Encriptación                                                                                                - Árbol de Merkle                                                                                                 - Seguridad y Eficiencia</t>
  </si>
  <si>
    <t>Excelente alineación entre los temas de seguridad, blockchain y encriptación.</t>
  </si>
  <si>
    <t>Mantener esta alineación y reforzarla incorporando ejercicios prácticos que integren conceptos de calidad del software con las implementaciones de blockchain y encriptación. Desarrollar rúbricas que evalúen explícitamente aspectos de seguridad y calidad en el proyecto.</t>
  </si>
  <si>
    <t>Curso Posterior</t>
  </si>
  <si>
    <r>
      <rPr>
        <rFont val="Arial"/>
        <color theme="1"/>
        <sz val="12.0"/>
      </rPr>
      <t xml:space="preserve">Para ver el contenido de un curso </t>
    </r>
    <r>
      <rPr>
        <rFont val="Arial"/>
        <b/>
        <color theme="1"/>
        <sz val="12.0"/>
      </rPr>
      <t xml:space="preserve">posterior </t>
    </r>
    <r>
      <rPr>
        <rFont val="Arial"/>
        <color theme="1"/>
        <sz val="12.0"/>
      </rPr>
      <t xml:space="preserve">a este debe seleccionar el curso que desea ver. </t>
    </r>
  </si>
  <si>
    <t>Manejo e Implementación de Archivos</t>
  </si>
  <si>
    <t>Competencias relacionadas al perfil del egresado (Especifica)</t>
  </si>
  <si>
    <t>Competencias relacionadas al perfil del egresado (General)</t>
  </si>
  <si>
    <t>Aplica los conocimientos de su disciplina en la elaboración, fundamentación
 y defensa de argumentos para prevenir y resolver problemas complejos en
 su campo profesional, identificando y aplicando innovaciones.</t>
  </si>
  <si>
    <t>Aplica principios básicos de ingeniería, ciencias de computación y sistemas
 de información y comunicación, en la formulación y resolución adecuada de
 problemas complejos.</t>
  </si>
  <si>
    <t>Demuestra pensamiento crítico, actitud investigativa y rigor analítico en el
 planteamiento y la resolución de problemas complejos.</t>
  </si>
  <si>
    <t>Aplica estándares de calidad, eficiencia y seguridad en la implementación
 adecuada de soluciones de software, hardware y TIC en general.</t>
  </si>
  <si>
    <t>Toma decisiones profesionales con base en fundamentos teóricos, datos e
 información pertinente, válida y confiable.</t>
  </si>
  <si>
    <t>Maneja e Interpreta adecuadamente datos masivos, sean estos
 estructurados o no estructurados, facilitando su visualización e interpretación
 de forma eficaz en apoyo a la toma de decisiones.</t>
  </si>
  <si>
    <t>Identifica sus necesidades de actualización, capacitación y formación,
 durante su proceso formativo y en el ejercicio profesional, y busca los medios
 para cubrirlas por medios formales e informales, nacionales e
 internacionales, presenciales y en línea.</t>
  </si>
  <si>
    <t>Construye soluciones integrales trabajando en forma colaborativa y
 propositiva en equipos interdisciplinarios, en forma presencial o utilizando
 plataformas virtuales.</t>
  </si>
  <si>
    <t xml:space="preserve">Competencias </t>
  </si>
  <si>
    <t>El estudiante ...</t>
  </si>
  <si>
    <t xml:space="preserve">Ejemplo Guiado </t>
  </si>
  <si>
    <t>No</t>
  </si>
  <si>
    <t>Tipo</t>
  </si>
  <si>
    <t>Verbo en Presente</t>
  </si>
  <si>
    <t>Objeto de la acción</t>
  </si>
  <si>
    <t>[Palabras conectoreas] Herramientas o metodología</t>
  </si>
  <si>
    <t>[Palabras conectoreas] Condiciones específicas</t>
  </si>
  <si>
    <t>Nivel</t>
  </si>
  <si>
    <t>Especifica</t>
  </si>
  <si>
    <t>Implementa</t>
  </si>
  <si>
    <t xml:space="preserve"> procesos de desarrollo de software</t>
  </si>
  <si>
    <t xml:space="preserve"> integrando sistemas de control de versiones, metodologías ágiles y técnicas de modelado</t>
  </si>
  <si>
    <t>para construir soluciones informáticas que cumplan con requerimientos funcionales y no funcionales en entornos colaborativos</t>
  </si>
  <si>
    <t xml:space="preserve">Aplicar </t>
  </si>
  <si>
    <t>Ahora Define las competencias</t>
  </si>
  <si>
    <t>General</t>
  </si>
  <si>
    <t>Aplica</t>
  </si>
  <si>
    <t>principios de programacion y estructuras de datos</t>
  </si>
  <si>
    <t>utilizando distintos lenguajes y control de versiones</t>
  </si>
  <si>
    <t>para resolver problemas de organización y almacenamiento de datos de forma eficiente</t>
  </si>
  <si>
    <t>Aplicar</t>
  </si>
  <si>
    <t>Maneja</t>
  </si>
  <si>
    <t>grandes volúmenes de datos estructurados y no estructurados</t>
  </si>
  <si>
    <t>aplicando estructuras de arboles, grafos y tablas hash</t>
  </si>
  <si>
    <t>para optimizar procesos y búsqueda y toma de decisiones</t>
  </si>
  <si>
    <t>estructuras de datos como listas, pilas, colas y árobles</t>
  </si>
  <si>
    <t xml:space="preserve">empleando programación orientada a objetos y puntos </t>
  </si>
  <si>
    <t>para desarrollar soluciones modulares y eficienteas</t>
  </si>
  <si>
    <t>Diseña</t>
  </si>
  <si>
    <t>algoritmos de búsqueda, ordenamiento y comprensión de datos</t>
  </si>
  <si>
    <t>integrando análisis de complejidad y estructuras eficientes</t>
  </si>
  <si>
    <t>para mejorar el rendimiento en el procesamiento de información</t>
  </si>
  <si>
    <t>Crear</t>
  </si>
  <si>
    <t>Analiza</t>
  </si>
  <si>
    <t>el comportamiento de algoritmos sobre distintas estructuras de datos</t>
  </si>
  <si>
    <t>utilizando técnicas de análisis de casos y notración O grande</t>
  </si>
  <si>
    <t xml:space="preserve">para seleccionar solucioens ótimas </t>
  </si>
  <si>
    <t>Analizar</t>
  </si>
  <si>
    <t>Utiliza</t>
  </si>
  <si>
    <t xml:space="preserve">técnias de hashing y comprensión </t>
  </si>
  <si>
    <t>aplicando algoritmos como Huffman y Tablas Hash</t>
  </si>
  <si>
    <t>para optimizar el almacenamiento y recuperación de datos</t>
  </si>
  <si>
    <t>Desarrolla</t>
  </si>
  <si>
    <t>soluciones que integran blockchain y criptografía</t>
  </si>
  <si>
    <t>implementando algoritmos de consenso y cifrado</t>
  </si>
  <si>
    <t>para asegurar la integridad y seguridad de los datos</t>
  </si>
  <si>
    <t>Recomendaciónes para la Creacion de las competencias</t>
  </si>
  <si>
    <t>Asegurar que las competencias sean específicas, medibles y aplicables
Define competencias claras y alineadas con el perfil del egresado.
Utiliza la estructura "saber + saber hacer + ser" (conocimiento, habilidades prácticas y actitudes).
Ejemplo: "El estudiante será capaz de diseñar, implementar y optimizar una red local segura utilizando herramientas de simulación como Cisco Packet Tracer."</t>
  </si>
  <si>
    <t>Fomentar la autonomía y el aprendizaje colaborativo
Diseña competencias que requieran trabajo en equipo y toma de decisiones.
Usa metodologías activas como aprendizaje basado en proyectos (ABP) o aprendizaje basado en problemas (PBL).
Implementa herramientas como simuladores, entornos de programación colaborativa y revisión por pares.</t>
  </si>
  <si>
    <t>Seleccionar los verbos adecuados según el nivel de aprendizaje
Usa verbos observables y medibles para que la competencia sea clara y evaluable. Puedes basarte en la Taxonomía de Bloom para definir el nivel de profundidad:
Nivel básico (Conocimiento y comprensión): Identificar, reconocer, describir, explicar.
Nivel intermedio (Aplicación y análisis): Implementar, desarrollar, programar, configurar, probar, analizar.
Nivel avanzado (Evaluación y creación): Diseñar, optimizar, modelar, construir, integrar, solucionar.</t>
  </si>
  <si>
    <t>Incluir herramientas y tecnologías específicas
Para que la competencia sea aplicable, menciona las herramientas, software o entornos que el estudiante usará en el laboratorio. Ejemplo:
❌ “El estudiante comprenderá el diseño de redes.” (Muy general y difícil de evaluar).
✅ “El estudiante será capaz de diseñar y configurar una red LAN utilizando Cisco Packet Tracer, asegurando la conectividad entre dispositivos y aplicando protocolos de seguridad básicos.” (Competencia clara, práctica y evaluable).</t>
  </si>
  <si>
    <t>Ejemplo de Competencias
🔹 Para un laboratorio de programación:
"El estudiante será capaz de desarrollar aplicaciones en Python aplicando estructuras de datos eficientes y técnicas de optimización de código en un entorno colaborativo utilizando Jupyter Notebook."
🔹 Para un laboratorio de redes:
"El estudiante será capaz de diseñar e implementar una red local segura en Cisco Packet Tracer, aplicando protocolos de comunicación y asegurando conectividad entre dispositivos."
🔹 Para un laboratorio de bases de datos:
"El estudiante será capaz de modelar y gestionar bases de datos SQL utilizando MySQL Workbench, asegurando integridad de datos y optimización de consultas."
🔹 Para un laboratorio de programación:
"El estudiante será capaz de desarrollar aplicaciones en Python aplicando estructuras de datos eficientes y técnicas de optimización de código en un entorno colaborativo utilizando Jupyter Notebook."</t>
  </si>
  <si>
    <t xml:space="preserve">Cursos </t>
  </si>
  <si>
    <t>Perfil egresado - General</t>
  </si>
  <si>
    <t>LAB vs Curso</t>
  </si>
  <si>
    <t>Perfil egresado - Especifica</t>
  </si>
  <si>
    <t>Taxonomia - Verbos</t>
  </si>
  <si>
    <t>Verbo</t>
  </si>
  <si>
    <t>Definir</t>
  </si>
  <si>
    <t>Identificar</t>
  </si>
  <si>
    <t>Listar</t>
  </si>
  <si>
    <t>Nombrar</t>
  </si>
  <si>
    <t>Reconocer</t>
  </si>
  <si>
    <t>Recuperar</t>
  </si>
  <si>
    <t>Enumerar</t>
  </si>
  <si>
    <t>Memorizar</t>
  </si>
  <si>
    <t>Registrar</t>
  </si>
  <si>
    <t>Reproducir</t>
  </si>
  <si>
    <t>Explicar</t>
  </si>
  <si>
    <t>Describir</t>
  </si>
  <si>
    <t>Interpretar</t>
  </si>
  <si>
    <t>Parafrasear</t>
  </si>
  <si>
    <t>Resumir</t>
  </si>
  <si>
    <t>Clasificar</t>
  </si>
  <si>
    <t>Ejemplificar</t>
  </si>
  <si>
    <t>Inferir</t>
  </si>
  <si>
    <t>Comparar</t>
  </si>
  <si>
    <t>Traducir</t>
  </si>
  <si>
    <t>Implementar</t>
  </si>
  <si>
    <t>Ejecutar</t>
  </si>
  <si>
    <t>Usar</t>
  </si>
  <si>
    <t>Operar</t>
  </si>
  <si>
    <t>Calcular</t>
  </si>
  <si>
    <t>Resolver</t>
  </si>
  <si>
    <t>Demostrar</t>
  </si>
  <si>
    <t>Desarrollar</t>
  </si>
  <si>
    <t>Programar</t>
  </si>
  <si>
    <t>Depurar</t>
  </si>
  <si>
    <t>Comprobar</t>
  </si>
  <si>
    <t>Criticar</t>
  </si>
  <si>
    <t>Revisar</t>
  </si>
  <si>
    <t>Justificar</t>
  </si>
  <si>
    <t>Validar</t>
  </si>
  <si>
    <t>Verificar</t>
  </si>
  <si>
    <t>Optimizar</t>
  </si>
  <si>
    <t>Monitorear</t>
  </si>
  <si>
    <t>Testear</t>
  </si>
  <si>
    <t>Determinar</t>
  </si>
  <si>
    <t>Diseñar</t>
  </si>
  <si>
    <t>Construir</t>
  </si>
  <si>
    <t>Producir</t>
  </si>
  <si>
    <t>Planificar</t>
  </si>
  <si>
    <t>Elaborar</t>
  </si>
  <si>
    <t>Formular</t>
  </si>
  <si>
    <t>Generar</t>
  </si>
  <si>
    <t>Integrar</t>
  </si>
  <si>
    <t>Sintetizar</t>
  </si>
  <si>
    <t>Arquitecturar</t>
  </si>
</sst>
</file>

<file path=xl/styles.xml><?xml version="1.0" encoding="utf-8"?>
<styleSheet xmlns="http://schemas.openxmlformats.org/spreadsheetml/2006/main" xmlns:x14ac="http://schemas.microsoft.com/office/spreadsheetml/2009/9/ac" xmlns:mc="http://schemas.openxmlformats.org/markup-compatibility/2006">
  <fonts count="47">
    <font>
      <sz val="10.0"/>
      <color rgb="FF000000"/>
      <name val="Arial"/>
      <scheme val="minor"/>
    </font>
    <font>
      <color rgb="FFFFFFFF"/>
      <name val="Arial"/>
      <scheme val="minor"/>
    </font>
    <font>
      <b/>
      <sz val="11.0"/>
      <color rgb="FF404040"/>
      <name val="Roboto"/>
    </font>
    <font>
      <sz val="11.0"/>
      <color rgb="FF000000"/>
      <name val="&quot;Ȫptos Narrow\&quot;&quot;"/>
    </font>
    <font>
      <color theme="1"/>
      <name val="Arial"/>
      <scheme val="minor"/>
    </font>
    <font>
      <b/>
      <sz val="12.0"/>
      <color rgb="FF404040"/>
      <name val="Roboto"/>
    </font>
    <font/>
    <font>
      <sz val="12.0"/>
      <color rgb="FF000000"/>
      <name val="Arial"/>
    </font>
    <font>
      <sz val="53.0"/>
      <color theme="1"/>
      <name val="Arial"/>
      <scheme val="minor"/>
    </font>
    <font>
      <b/>
      <sz val="11.0"/>
      <color rgb="FF000000"/>
      <name val="Roboto"/>
    </font>
    <font>
      <b/>
      <sz val="12.0"/>
      <color rgb="FF000000"/>
      <name val="Roboto"/>
    </font>
    <font>
      <b/>
      <sz val="16.0"/>
      <color rgb="FF404040"/>
      <name val="Roboto"/>
    </font>
    <font>
      <sz val="11.0"/>
      <color rgb="FF000000"/>
      <name val="Roboto"/>
    </font>
    <font>
      <b/>
      <sz val="12.0"/>
      <color rgb="FF000000"/>
      <name val="Arial"/>
    </font>
    <font>
      <color theme="1"/>
      <name val="Arial"/>
    </font>
    <font>
      <b/>
      <sz val="12.0"/>
      <color theme="1"/>
      <name val="Arial"/>
    </font>
    <font>
      <b/>
      <sz val="11.0"/>
      <color rgb="FF000000"/>
      <name val="Arial"/>
    </font>
    <font>
      <b/>
      <sz val="11.0"/>
      <color rgb="FF404040"/>
      <name val="Arial"/>
    </font>
    <font>
      <b/>
      <color rgb="FF000000"/>
      <name val="Arial"/>
    </font>
    <font>
      <b/>
      <color theme="1"/>
      <name val="Arial"/>
    </font>
    <font>
      <sz val="10.0"/>
      <color rgb="FF000000"/>
      <name val="Arial"/>
    </font>
    <font>
      <color rgb="FF000000"/>
      <name val="Arial"/>
    </font>
    <font>
      <sz val="10.0"/>
      <color theme="1"/>
      <name val="Arial"/>
    </font>
    <font>
      <color rgb="FF000000"/>
      <name val="Calibri"/>
    </font>
    <font>
      <b/>
      <sz val="16.0"/>
      <color rgb="FF000000"/>
      <name val="Arial"/>
    </font>
    <font>
      <b/>
      <sz val="12.0"/>
      <color rgb="FF000000"/>
      <name val="Calibri"/>
    </font>
    <font>
      <b/>
      <sz val="15.0"/>
      <color rgb="FF000000"/>
      <name val="Calibri"/>
    </font>
    <font>
      <sz val="21.0"/>
      <color theme="1"/>
      <name val="Arial"/>
      <scheme val="minor"/>
    </font>
    <font>
      <b/>
      <color rgb="FF000000"/>
      <name val="Calibri"/>
    </font>
    <font>
      <sz val="36.0"/>
      <color theme="1"/>
      <name val="Arial"/>
      <scheme val="minor"/>
    </font>
    <font>
      <sz val="11.0"/>
      <color theme="1"/>
      <name val="Arial"/>
      <scheme val="minor"/>
    </font>
    <font>
      <b/>
      <sz val="12.0"/>
      <color theme="1"/>
      <name val="Arial"/>
      <scheme val="minor"/>
    </font>
    <font>
      <color theme="0"/>
      <name val="Arial"/>
      <scheme val="minor"/>
    </font>
    <font>
      <sz val="23.0"/>
      <color theme="1"/>
      <name val="Arial"/>
      <scheme val="minor"/>
    </font>
    <font>
      <sz val="14.0"/>
      <color theme="1"/>
      <name val="Arial"/>
      <scheme val="minor"/>
    </font>
    <font>
      <b/>
      <sz val="13.0"/>
      <color theme="1"/>
      <name val="Arial"/>
      <scheme val="minor"/>
    </font>
    <font>
      <b/>
      <sz val="13.0"/>
      <color theme="1"/>
      <name val="Arial"/>
    </font>
    <font>
      <sz val="12.0"/>
      <color theme="1"/>
      <name val="Arial"/>
    </font>
    <font>
      <sz val="12.0"/>
      <color theme="1"/>
      <name val="Arial"/>
      <scheme val="minor"/>
    </font>
    <font>
      <sz val="26.0"/>
      <color theme="1"/>
      <name val="Arial"/>
      <scheme val="minor"/>
    </font>
    <font>
      <sz val="12.0"/>
      <color rgb="FF404040"/>
      <name val="Inter"/>
    </font>
    <font>
      <b/>
      <sz val="14.0"/>
      <color theme="1"/>
      <name val="Arial"/>
    </font>
    <font>
      <b/>
      <sz val="11.0"/>
      <color theme="1"/>
      <name val="Arial"/>
    </font>
    <font>
      <sz val="11.0"/>
      <color theme="1"/>
      <name val="Arial"/>
    </font>
    <font>
      <b/>
      <color theme="1"/>
      <name val="Arial"/>
      <scheme val="minor"/>
    </font>
    <font>
      <b/>
      <sz val="14.0"/>
      <color theme="1"/>
      <name val="Arial"/>
      <scheme val="minor"/>
    </font>
    <font>
      <b/>
      <sz val="11.0"/>
      <color theme="1"/>
      <name val="Arial"/>
      <scheme val="minor"/>
    </font>
  </fonts>
  <fills count="20">
    <fill>
      <patternFill patternType="none"/>
    </fill>
    <fill>
      <patternFill patternType="lightGray"/>
    </fill>
    <fill>
      <patternFill patternType="solid">
        <fgColor rgb="FFFFFFFF"/>
        <bgColor rgb="FFFFFFFF"/>
      </patternFill>
    </fill>
    <fill>
      <patternFill patternType="solid">
        <fgColor rgb="FFFFF2CC"/>
        <bgColor rgb="FFFFF2CC"/>
      </patternFill>
    </fill>
    <fill>
      <patternFill patternType="solid">
        <fgColor rgb="FFD9EAD3"/>
        <bgColor rgb="FFD9EAD3"/>
      </patternFill>
    </fill>
    <fill>
      <patternFill patternType="solid">
        <fgColor theme="0"/>
        <bgColor theme="0"/>
      </patternFill>
    </fill>
    <fill>
      <patternFill patternType="solid">
        <fgColor rgb="FFFCE5CD"/>
        <bgColor rgb="FFFCE5CD"/>
      </patternFill>
    </fill>
    <fill>
      <patternFill patternType="solid">
        <fgColor rgb="FFD9D2E9"/>
        <bgColor rgb="FFD9D2E9"/>
      </patternFill>
    </fill>
    <fill>
      <patternFill patternType="solid">
        <fgColor rgb="FFCFE2F3"/>
        <bgColor rgb="FFCFE2F3"/>
      </patternFill>
    </fill>
    <fill>
      <patternFill patternType="solid">
        <fgColor rgb="FFE6B8AF"/>
        <bgColor rgb="FFE6B8AF"/>
      </patternFill>
    </fill>
    <fill>
      <patternFill patternType="solid">
        <fgColor rgb="FFB6D7A8"/>
        <bgColor rgb="FFB6D7A8"/>
      </patternFill>
    </fill>
    <fill>
      <patternFill patternType="solid">
        <fgColor rgb="FFC9DAF8"/>
        <bgColor rgb="FFC9DAF8"/>
      </patternFill>
    </fill>
    <fill>
      <patternFill patternType="solid">
        <fgColor rgb="FFEAD1DC"/>
        <bgColor rgb="FFEAD1DC"/>
      </patternFill>
    </fill>
    <fill>
      <patternFill patternType="solid">
        <fgColor rgb="FFD0E0E3"/>
        <bgColor rgb="FFD0E0E3"/>
      </patternFill>
    </fill>
    <fill>
      <patternFill patternType="solid">
        <fgColor rgb="FFFFFF00"/>
        <bgColor rgb="FFFFFF00"/>
      </patternFill>
    </fill>
    <fill>
      <patternFill patternType="solid">
        <fgColor rgb="FFFF0000"/>
        <bgColor rgb="FFFF0000"/>
      </patternFill>
    </fill>
    <fill>
      <patternFill patternType="solid">
        <fgColor rgb="FFFF00FF"/>
        <bgColor rgb="FFFF00FF"/>
      </patternFill>
    </fill>
    <fill>
      <patternFill patternType="solid">
        <fgColor rgb="FF00FF00"/>
        <bgColor rgb="FF00FF00"/>
      </patternFill>
    </fill>
    <fill>
      <patternFill patternType="solid">
        <fgColor rgb="FF4A86E8"/>
        <bgColor rgb="FF4A86E8"/>
      </patternFill>
    </fill>
    <fill>
      <patternFill patternType="solid">
        <fgColor rgb="FFF4CCCC"/>
        <bgColor rgb="FFF4CCCC"/>
      </patternFill>
    </fill>
  </fills>
  <borders count="5">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34">
    <xf borderId="0" fillId="0" fontId="0" numFmtId="0" xfId="0" applyAlignment="1" applyFont="1">
      <alignment readingOrder="0" shrinkToFit="0" vertical="bottom" wrapText="0"/>
    </xf>
    <xf borderId="0" fillId="0" fontId="1" numFmtId="0" xfId="0" applyFont="1"/>
    <xf borderId="0" fillId="2" fontId="2" numFmtId="0" xfId="0" applyAlignment="1" applyFill="1" applyFont="1">
      <alignment horizontal="left" readingOrder="0" shrinkToFit="0" vertical="bottom" wrapText="0"/>
    </xf>
    <xf borderId="0" fillId="2" fontId="3" numFmtId="0" xfId="0" applyAlignment="1" applyFont="1">
      <alignment horizontal="center" readingOrder="0" vertical="bottom"/>
    </xf>
    <xf borderId="0" fillId="0" fontId="4" numFmtId="0" xfId="0" applyAlignment="1" applyFont="1">
      <alignment horizontal="center" vertical="bottom"/>
    </xf>
    <xf borderId="1" fillId="3" fontId="5" numFmtId="0" xfId="0" applyAlignment="1" applyBorder="1" applyFill="1" applyFont="1">
      <alignment horizontal="left" readingOrder="0" shrinkToFit="0" vertical="bottom" wrapText="0"/>
    </xf>
    <xf borderId="2" fillId="0" fontId="6" numFmtId="0" xfId="0" applyBorder="1" applyFont="1"/>
    <xf borderId="1" fillId="2" fontId="7" numFmtId="0" xfId="0" applyAlignment="1" applyBorder="1" applyFont="1">
      <alignment horizontal="center" readingOrder="0" vertical="bottom"/>
    </xf>
    <xf borderId="3" fillId="0" fontId="6" numFmtId="0" xfId="0" applyBorder="1" applyFont="1"/>
    <xf borderId="0" fillId="0" fontId="8" numFmtId="0" xfId="0" applyAlignment="1" applyFont="1">
      <alignment horizontal="center" readingOrder="0" vertical="center"/>
    </xf>
    <xf borderId="0" fillId="0" fontId="4" numFmtId="0" xfId="0" applyAlignment="1" applyFont="1">
      <alignment readingOrder="0" shrinkToFit="0" vertical="center" wrapText="1"/>
    </xf>
    <xf borderId="1" fillId="4" fontId="7" numFmtId="0" xfId="0" applyAlignment="1" applyBorder="1" applyFill="1" applyFont="1">
      <alignment horizontal="center" readingOrder="0" shrinkToFit="0" vertical="bottom" wrapText="0"/>
    </xf>
    <xf borderId="1" fillId="0" fontId="7" numFmtId="0" xfId="0" applyAlignment="1" applyBorder="1" applyFont="1">
      <alignment horizontal="center" readingOrder="0" shrinkToFit="0" vertical="bottom" wrapText="0"/>
    </xf>
    <xf borderId="0" fillId="5" fontId="4" numFmtId="0" xfId="0" applyAlignment="1" applyFill="1" applyFont="1">
      <alignment readingOrder="0" shrinkToFit="0" vertical="center" wrapText="1"/>
    </xf>
    <xf borderId="0" fillId="0" fontId="9" numFmtId="0" xfId="0" applyAlignment="1" applyFont="1">
      <alignment readingOrder="0" shrinkToFit="0" vertical="bottom" wrapText="0"/>
    </xf>
    <xf borderId="1" fillId="3" fontId="10" numFmtId="0" xfId="0" applyAlignment="1" applyBorder="1" applyFont="1">
      <alignment readingOrder="0" shrinkToFit="0" vertical="bottom" wrapText="0"/>
    </xf>
    <xf borderId="0" fillId="6" fontId="11" numFmtId="0" xfId="0" applyAlignment="1" applyFill="1" applyFont="1">
      <alignment horizontal="center" readingOrder="0" shrinkToFit="0" vertical="bottom" wrapText="0"/>
    </xf>
    <xf borderId="0" fillId="0" fontId="12" numFmtId="0" xfId="0" applyAlignment="1" applyFont="1">
      <alignment readingOrder="0" shrinkToFit="0" vertical="bottom" wrapText="0"/>
    </xf>
    <xf borderId="0" fillId="7" fontId="13" numFmtId="0" xfId="0" applyAlignment="1" applyFill="1" applyFont="1">
      <alignment horizontal="center" readingOrder="0" shrinkToFit="0" vertical="center" wrapText="0"/>
    </xf>
    <xf borderId="0" fillId="0" fontId="14" numFmtId="0" xfId="0" applyFont="1"/>
    <xf borderId="0" fillId="8" fontId="13" numFmtId="0" xfId="0" applyAlignment="1" applyFill="1" applyFont="1">
      <alignment horizontal="center" readingOrder="0" vertical="center"/>
    </xf>
    <xf borderId="0" fillId="9" fontId="15" numFmtId="0" xfId="0" applyAlignment="1" applyFill="1" applyFont="1">
      <alignment horizontal="center" readingOrder="0" vertical="center"/>
    </xf>
    <xf borderId="4" fillId="0" fontId="16" numFmtId="0" xfId="0" applyAlignment="1" applyBorder="1" applyFont="1">
      <alignment readingOrder="0" shrinkToFit="0" vertical="bottom" wrapText="0"/>
    </xf>
    <xf borderId="4" fillId="0" fontId="16" numFmtId="0" xfId="0" applyAlignment="1" applyBorder="1" applyFont="1">
      <alignment horizontal="center" readingOrder="0" shrinkToFit="0" vertical="bottom" wrapText="0"/>
    </xf>
    <xf borderId="4" fillId="2" fontId="17" numFmtId="0" xfId="0" applyAlignment="1" applyBorder="1" applyFont="1">
      <alignment horizontal="left" readingOrder="0" shrinkToFit="0" vertical="bottom" wrapText="0"/>
    </xf>
    <xf borderId="4" fillId="0" fontId="18" numFmtId="0" xfId="0" applyAlignment="1" applyBorder="1" applyFont="1">
      <alignment readingOrder="0" shrinkToFit="0" vertical="bottom" wrapText="0"/>
    </xf>
    <xf borderId="4" fillId="0" fontId="19" numFmtId="0" xfId="0" applyAlignment="1" applyBorder="1" applyFont="1">
      <alignment readingOrder="0"/>
    </xf>
    <xf borderId="4" fillId="0" fontId="20" numFmtId="0" xfId="0" applyAlignment="1" applyBorder="1" applyFont="1">
      <alignment horizontal="center" readingOrder="0" shrinkToFit="0" vertical="bottom" wrapText="1"/>
    </xf>
    <xf borderId="4" fillId="0" fontId="21" numFmtId="0" xfId="0" applyAlignment="1" applyBorder="1" applyFont="1">
      <alignment readingOrder="0" shrinkToFit="0" vertical="bottom" wrapText="0"/>
    </xf>
    <xf borderId="4" fillId="0" fontId="21" numFmtId="0" xfId="0" applyAlignment="1" applyBorder="1" applyFont="1">
      <alignment shrinkToFit="0" vertical="bottom" wrapText="0"/>
    </xf>
    <xf borderId="4" fillId="2" fontId="20" numFmtId="0" xfId="0" applyAlignment="1" applyBorder="1" applyFont="1">
      <alignment horizontal="left" readingOrder="0" shrinkToFit="0" vertical="bottom" wrapText="1"/>
    </xf>
    <xf borderId="4" fillId="2" fontId="20" numFmtId="0" xfId="0" applyAlignment="1" applyBorder="1" applyFont="1">
      <alignment horizontal="left" readingOrder="0" shrinkToFit="0" vertical="bottom" wrapText="1"/>
    </xf>
    <xf borderId="4" fillId="0" fontId="14" numFmtId="0" xfId="0" applyBorder="1" applyFont="1"/>
    <xf borderId="4" fillId="0" fontId="14" numFmtId="0" xfId="0" applyBorder="1" applyFont="1"/>
    <xf borderId="4" fillId="0" fontId="4" numFmtId="0" xfId="0" applyBorder="1" applyFont="1"/>
    <xf borderId="4" fillId="0" fontId="14" numFmtId="0" xfId="0" applyAlignment="1" applyBorder="1" applyFont="1">
      <alignment shrinkToFit="0" vertical="bottom" wrapText="1"/>
    </xf>
    <xf borderId="4" fillId="0" fontId="21" numFmtId="0" xfId="0" applyAlignment="1" applyBorder="1" applyFont="1">
      <alignment shrinkToFit="0" vertical="bottom" wrapText="0"/>
    </xf>
    <xf borderId="4" fillId="0" fontId="20" numFmtId="0" xfId="0" applyAlignment="1" applyBorder="1" applyFont="1">
      <alignment horizontal="left" shrinkToFit="0" vertical="bottom" wrapText="1"/>
    </xf>
    <xf borderId="4" fillId="0" fontId="4" numFmtId="0" xfId="0" applyBorder="1" applyFont="1"/>
    <xf borderId="4" fillId="0" fontId="22" numFmtId="0" xfId="0" applyAlignment="1" applyBorder="1" applyFont="1">
      <alignment horizontal="left"/>
    </xf>
    <xf borderId="4" fillId="0" fontId="23" numFmtId="0" xfId="0" applyAlignment="1" applyBorder="1" applyFont="1">
      <alignment horizontal="center" readingOrder="0" vertical="bottom"/>
    </xf>
    <xf borderId="4" fillId="0" fontId="23" numFmtId="0" xfId="0" applyAlignment="1" applyBorder="1" applyFont="1">
      <alignment readingOrder="0" shrinkToFit="0" vertical="bottom" wrapText="0"/>
    </xf>
    <xf borderId="4" fillId="2" fontId="3" numFmtId="0" xfId="0" applyAlignment="1" applyBorder="1" applyFont="1">
      <alignment horizontal="left" readingOrder="0" shrinkToFit="0" vertical="bottom" wrapText="1"/>
    </xf>
    <xf borderId="0" fillId="0" fontId="23" numFmtId="0" xfId="0" applyAlignment="1" applyFont="1">
      <alignment horizontal="right" readingOrder="0" shrinkToFit="0" vertical="bottom" wrapText="1"/>
    </xf>
    <xf borderId="0" fillId="2" fontId="3" numFmtId="0" xfId="0" applyAlignment="1" applyFont="1">
      <alignment horizontal="left" readingOrder="0" shrinkToFit="0" vertical="bottom" wrapText="1"/>
    </xf>
    <xf borderId="0" fillId="2" fontId="3" numFmtId="0" xfId="0" applyAlignment="1" applyFont="1">
      <alignment horizontal="right" readingOrder="0" shrinkToFit="0" vertical="bottom" wrapText="1"/>
    </xf>
    <xf borderId="0" fillId="0" fontId="23" numFmtId="0" xfId="0" applyAlignment="1" applyFont="1">
      <alignment horizontal="center" readingOrder="0" shrinkToFit="0" vertical="bottom" wrapText="0"/>
    </xf>
    <xf borderId="0" fillId="0" fontId="12" numFmtId="0" xfId="0" applyAlignment="1" applyFont="1">
      <alignment horizontal="right" readingOrder="0" shrinkToFit="0" vertical="center" wrapText="1"/>
    </xf>
    <xf borderId="0" fillId="3" fontId="24" numFmtId="0" xfId="0" applyAlignment="1" applyFont="1">
      <alignment horizontal="center" readingOrder="0" shrinkToFit="0" vertical="bottom" wrapText="0"/>
    </xf>
    <xf borderId="1" fillId="10" fontId="25" numFmtId="0" xfId="0" applyAlignment="1" applyBorder="1" applyFill="1" applyFont="1">
      <alignment horizontal="center" readingOrder="0" shrinkToFit="0" vertical="bottom" wrapText="0"/>
    </xf>
    <xf borderId="1" fillId="0" fontId="25" numFmtId="0" xfId="0" applyAlignment="1" applyBorder="1" applyFont="1">
      <alignment horizontal="center" readingOrder="0" shrinkToFit="0" vertical="bottom" wrapText="0"/>
    </xf>
    <xf borderId="1" fillId="0" fontId="26" numFmtId="0" xfId="0" applyAlignment="1" applyBorder="1" applyFont="1">
      <alignment horizontal="center" readingOrder="0" shrinkToFit="0" vertical="center" wrapText="0"/>
    </xf>
    <xf borderId="1" fillId="0" fontId="23" numFmtId="0" xfId="0" applyAlignment="1" applyBorder="1" applyFont="1">
      <alignment horizontal="center" readingOrder="0" shrinkToFit="0" vertical="center" wrapText="1"/>
    </xf>
    <xf borderId="0" fillId="0" fontId="23" numFmtId="0" xfId="0" applyAlignment="1" applyFont="1">
      <alignment readingOrder="0" shrinkToFit="0" vertical="center" wrapText="1"/>
    </xf>
    <xf borderId="0" fillId="0" fontId="27" numFmtId="0" xfId="0" applyAlignment="1" applyFont="1">
      <alignment readingOrder="0"/>
    </xf>
    <xf borderId="0" fillId="0" fontId="23" numFmtId="0" xfId="0" applyAlignment="1" applyFont="1">
      <alignment shrinkToFit="0" vertical="center" wrapText="1"/>
    </xf>
    <xf borderId="0" fillId="5" fontId="28" numFmtId="0" xfId="0" applyAlignment="1" applyFont="1">
      <alignment horizontal="center" readingOrder="0" shrinkToFit="0" vertical="bottom" wrapText="0"/>
    </xf>
    <xf borderId="0" fillId="0" fontId="29" numFmtId="0" xfId="0" applyAlignment="1" applyFont="1">
      <alignment readingOrder="0" vertical="top"/>
    </xf>
    <xf borderId="0" fillId="0" fontId="30" numFmtId="0" xfId="0" applyAlignment="1" applyFont="1">
      <alignment horizontal="center" readingOrder="0" shrinkToFit="0" vertical="center" wrapText="1"/>
    </xf>
    <xf borderId="0" fillId="4" fontId="31" numFmtId="0" xfId="0" applyAlignment="1" applyFont="1">
      <alignment horizontal="center" readingOrder="0"/>
    </xf>
    <xf borderId="0" fillId="0" fontId="4" numFmtId="0" xfId="0" applyAlignment="1" applyFont="1">
      <alignment horizontal="center" readingOrder="0" shrinkToFit="0" vertical="center" wrapText="1"/>
    </xf>
    <xf borderId="0" fillId="0" fontId="4" numFmtId="0" xfId="0" applyAlignment="1" applyFont="1">
      <alignment shrinkToFit="0" wrapText="1"/>
    </xf>
    <xf borderId="0" fillId="11" fontId="4" numFmtId="0" xfId="0" applyAlignment="1" applyFill="1" applyFont="1">
      <alignment readingOrder="0"/>
    </xf>
    <xf borderId="0" fillId="5" fontId="32" numFmtId="0" xfId="0" applyAlignment="1" applyFont="1">
      <alignment readingOrder="0"/>
    </xf>
    <xf borderId="0" fillId="0" fontId="32" numFmtId="0" xfId="0" applyAlignment="1" applyFont="1">
      <alignment shrinkToFit="0" wrapText="1"/>
    </xf>
    <xf borderId="0" fillId="0" fontId="33" numFmtId="0" xfId="0" applyAlignment="1" applyFont="1">
      <alignment horizontal="center" readingOrder="0" shrinkToFit="0" vertical="center" wrapText="1"/>
    </xf>
    <xf borderId="4" fillId="12" fontId="15" numFmtId="0" xfId="0" applyAlignment="1" applyBorder="1" applyFill="1" applyFont="1">
      <alignment vertical="bottom"/>
    </xf>
    <xf borderId="4" fillId="12" fontId="15" numFmtId="0" xfId="0" applyAlignment="1" applyBorder="1" applyFont="1">
      <alignment readingOrder="0" shrinkToFit="0" vertical="bottom" wrapText="1"/>
    </xf>
    <xf borderId="4" fillId="12" fontId="15" numFmtId="0" xfId="0" applyAlignment="1" applyBorder="1" applyFont="1">
      <alignment shrinkToFit="0" vertical="bottom" wrapText="1"/>
    </xf>
    <xf borderId="0" fillId="0" fontId="4" numFmtId="0" xfId="0" applyAlignment="1" applyFont="1">
      <alignment readingOrder="0"/>
    </xf>
    <xf borderId="0" fillId="0" fontId="4" numFmtId="0" xfId="0" applyFont="1"/>
    <xf borderId="0" fillId="4" fontId="34" numFmtId="0" xfId="0" applyAlignment="1" applyFont="1">
      <alignment horizontal="center" readingOrder="0"/>
    </xf>
    <xf borderId="0" fillId="13" fontId="35" numFmtId="0" xfId="0" applyAlignment="1" applyFill="1" applyFont="1">
      <alignment horizontal="center" readingOrder="0" shrinkToFit="0" vertical="center" wrapText="1"/>
    </xf>
    <xf borderId="0" fillId="0" fontId="4" numFmtId="0" xfId="0" applyAlignment="1" applyFont="1">
      <alignment horizontal="center" shrinkToFit="0" vertical="center" wrapText="1"/>
    </xf>
    <xf borderId="4" fillId="12" fontId="15" numFmtId="0" xfId="0" applyAlignment="1" applyBorder="1" applyFont="1">
      <alignment horizontal="center" readingOrder="0" shrinkToFit="0" vertical="center" wrapText="1"/>
    </xf>
    <xf borderId="1" fillId="0" fontId="36" numFmtId="0" xfId="0" applyAlignment="1" applyBorder="1" applyFont="1">
      <alignment horizontal="center" shrinkToFit="0" wrapText="1"/>
    </xf>
    <xf borderId="4" fillId="0" fontId="14" numFmtId="0" xfId="0" applyAlignment="1" applyBorder="1" applyFont="1">
      <alignment horizontal="center"/>
    </xf>
    <xf borderId="4" fillId="0" fontId="37" numFmtId="0" xfId="0" applyAlignment="1" applyBorder="1" applyFont="1">
      <alignment shrinkToFit="0" wrapText="1"/>
    </xf>
    <xf borderId="4" fillId="0" fontId="30" numFmtId="0" xfId="0" applyAlignment="1" applyBorder="1" applyFont="1">
      <alignment horizontal="center" readingOrder="0" shrinkToFit="0" vertical="center" wrapText="1"/>
    </xf>
    <xf borderId="0" fillId="0" fontId="38" numFmtId="0" xfId="0" applyAlignment="1" applyFont="1">
      <alignment horizontal="center" readingOrder="0" shrinkToFit="0" vertical="center" wrapText="1"/>
    </xf>
    <xf borderId="0" fillId="0" fontId="39" numFmtId="0" xfId="0" applyAlignment="1" applyFont="1">
      <alignment horizontal="center" readingOrder="0" shrinkToFit="0" vertical="center" wrapText="1"/>
    </xf>
    <xf borderId="0" fillId="13" fontId="4" numFmtId="0" xfId="0" applyAlignment="1" applyFont="1">
      <alignment readingOrder="0"/>
    </xf>
    <xf borderId="0" fillId="0" fontId="32" numFmtId="0" xfId="0" applyFont="1"/>
    <xf borderId="0" fillId="0" fontId="32" numFmtId="0" xfId="0" applyFont="1"/>
    <xf borderId="4" fillId="12" fontId="15" numFmtId="0" xfId="0" applyAlignment="1" applyBorder="1" applyFont="1">
      <alignment horizontal="center" readingOrder="0" vertical="bottom"/>
    </xf>
    <xf borderId="4" fillId="12" fontId="15" numFmtId="0" xfId="0" applyAlignment="1" applyBorder="1" applyFont="1">
      <alignment horizontal="center" readingOrder="0" shrinkToFit="0" vertical="bottom" wrapText="1"/>
    </xf>
    <xf borderId="4" fillId="12" fontId="15" numFmtId="0" xfId="0" applyAlignment="1" applyBorder="1" applyFont="1">
      <alignment readingOrder="0" vertical="bottom"/>
    </xf>
    <xf borderId="1" fillId="3" fontId="40" numFmtId="0" xfId="0" applyAlignment="1" applyBorder="1" applyFont="1">
      <alignment horizontal="center" readingOrder="0" shrinkToFit="0" vertical="center" wrapText="1"/>
    </xf>
    <xf borderId="4" fillId="5" fontId="40" numFmtId="0" xfId="0" applyAlignment="1" applyBorder="1" applyFont="1">
      <alignment horizontal="center" readingOrder="0" shrinkToFit="0" vertical="center" wrapText="1"/>
    </xf>
    <xf borderId="1" fillId="5" fontId="40" numFmtId="0" xfId="0" applyAlignment="1" applyBorder="1" applyFont="1">
      <alignment horizontal="center" readingOrder="0" shrinkToFit="0" vertical="center" wrapText="1"/>
    </xf>
    <xf borderId="0" fillId="5" fontId="40" numFmtId="0" xfId="0" applyAlignment="1" applyFont="1">
      <alignment horizontal="center" readingOrder="0" shrinkToFit="0" vertical="center" wrapText="1"/>
    </xf>
    <xf borderId="4" fillId="2" fontId="40" numFmtId="0" xfId="0" applyAlignment="1" applyBorder="1" applyFont="1">
      <alignment horizontal="center" readingOrder="0" shrinkToFit="0" vertical="bottom" wrapText="0"/>
    </xf>
    <xf borderId="4" fillId="0" fontId="38" numFmtId="0" xfId="0" applyAlignment="1" applyBorder="1" applyFont="1">
      <alignment horizontal="center" readingOrder="0"/>
    </xf>
    <xf borderId="0" fillId="2" fontId="40" numFmtId="0" xfId="0" applyAlignment="1" applyFont="1">
      <alignment horizontal="left" readingOrder="0" shrinkToFit="0" vertical="bottom" wrapText="0"/>
    </xf>
    <xf borderId="0" fillId="0" fontId="21" numFmtId="0" xfId="0" applyAlignment="1" applyFont="1">
      <alignment shrinkToFit="0" vertical="bottom" wrapText="0"/>
    </xf>
    <xf borderId="0" fillId="0" fontId="21" numFmtId="0" xfId="0" applyAlignment="1" applyFont="1">
      <alignment readingOrder="0" shrinkToFit="0" vertical="bottom" wrapText="0"/>
    </xf>
    <xf borderId="0" fillId="3" fontId="41" numFmtId="0" xfId="0" applyAlignment="1" applyFont="1">
      <alignment horizontal="center" vertical="bottom"/>
    </xf>
    <xf borderId="0" fillId="10" fontId="41" numFmtId="0" xfId="0" applyAlignment="1" applyFont="1">
      <alignment horizontal="center" vertical="bottom"/>
    </xf>
    <xf borderId="0" fillId="0" fontId="14" numFmtId="0" xfId="0" applyAlignment="1" applyFont="1">
      <alignment vertical="bottom"/>
    </xf>
    <xf borderId="0" fillId="0" fontId="14" numFmtId="0" xfId="0" applyAlignment="1" applyFont="1">
      <alignment vertical="bottom"/>
    </xf>
    <xf borderId="4" fillId="8" fontId="42" numFmtId="0" xfId="0" applyAlignment="1" applyBorder="1" applyFont="1">
      <alignment horizontal="center" vertical="bottom"/>
    </xf>
    <xf borderId="1" fillId="8" fontId="42" numFmtId="0" xfId="0" applyAlignment="1" applyBorder="1" applyFont="1">
      <alignment horizontal="center" vertical="bottom"/>
    </xf>
    <xf borderId="4" fillId="8" fontId="42" numFmtId="0" xfId="0" applyAlignment="1" applyBorder="1" applyFont="1">
      <alignment horizontal="center" shrinkToFit="0" vertical="bottom" wrapText="1"/>
    </xf>
    <xf borderId="1" fillId="8" fontId="42" numFmtId="0" xfId="0" applyAlignment="1" applyBorder="1" applyFont="1">
      <alignment horizontal="center" shrinkToFit="0" vertical="bottom" wrapText="1"/>
    </xf>
    <xf borderId="4" fillId="0" fontId="14" numFmtId="0" xfId="0" applyAlignment="1" applyBorder="1" applyFont="1">
      <alignment horizontal="right" vertical="bottom"/>
    </xf>
    <xf borderId="4" fillId="0" fontId="42" numFmtId="0" xfId="0" applyAlignment="1" applyBorder="1" applyFont="1">
      <alignment vertical="bottom"/>
    </xf>
    <xf borderId="4" fillId="14" fontId="19" numFmtId="0" xfId="0" applyAlignment="1" applyBorder="1" applyFill="1" applyFont="1">
      <alignment horizontal="center" vertical="bottom"/>
    </xf>
    <xf borderId="1" fillId="15" fontId="19" numFmtId="0" xfId="0" applyAlignment="1" applyBorder="1" applyFill="1" applyFont="1">
      <alignment horizontal="center" vertical="bottom"/>
    </xf>
    <xf borderId="4" fillId="16" fontId="19" numFmtId="0" xfId="0" applyAlignment="1" applyBorder="1" applyFill="1" applyFont="1">
      <alignment horizontal="center" vertical="bottom"/>
    </xf>
    <xf borderId="1" fillId="17" fontId="19" numFmtId="0" xfId="0" applyAlignment="1" applyBorder="1" applyFill="1" applyFont="1">
      <alignment horizontal="center" vertical="bottom"/>
    </xf>
    <xf borderId="4" fillId="18" fontId="19" numFmtId="0" xfId="0" applyAlignment="1" applyBorder="1" applyFill="1" applyFont="1">
      <alignment horizontal="center" vertical="bottom"/>
    </xf>
    <xf borderId="4" fillId="2" fontId="14" numFmtId="0" xfId="0" applyAlignment="1" applyBorder="1" applyFont="1">
      <alignment vertical="bottom"/>
    </xf>
    <xf borderId="1" fillId="4" fontId="43" numFmtId="0" xfId="0" applyAlignment="1" applyBorder="1" applyFont="1">
      <alignment horizontal="center" shrinkToFit="0" vertical="bottom" wrapText="1"/>
    </xf>
    <xf borderId="4" fillId="0" fontId="42" numFmtId="0" xfId="0" applyAlignment="1" applyBorder="1" applyFont="1">
      <alignment readingOrder="0" vertical="bottom"/>
    </xf>
    <xf borderId="4" fillId="14" fontId="14" numFmtId="0" xfId="0" applyAlignment="1" applyBorder="1" applyFont="1">
      <alignment readingOrder="0" vertical="bottom"/>
    </xf>
    <xf borderId="1" fillId="15" fontId="14" numFmtId="0" xfId="0" applyAlignment="1" applyBorder="1" applyFont="1">
      <alignment readingOrder="0" vertical="bottom"/>
    </xf>
    <xf borderId="4" fillId="16" fontId="14" numFmtId="0" xfId="0" applyAlignment="1" applyBorder="1" applyFont="1">
      <alignment readingOrder="0" vertical="bottom"/>
    </xf>
    <xf borderId="1" fillId="17" fontId="14" numFmtId="0" xfId="0" applyAlignment="1" applyBorder="1" applyFont="1">
      <alignment readingOrder="0" vertical="bottom"/>
    </xf>
    <xf borderId="4" fillId="18" fontId="14" numFmtId="0" xfId="0" applyAlignment="1" applyBorder="1" applyFont="1">
      <alignment readingOrder="0" vertical="bottom"/>
    </xf>
    <xf borderId="0" fillId="3" fontId="44" numFmtId="0" xfId="0" applyFont="1"/>
    <xf borderId="0" fillId="3" fontId="45" numFmtId="0" xfId="0" applyAlignment="1" applyFont="1">
      <alignment horizontal="center" readingOrder="0"/>
    </xf>
    <xf borderId="0" fillId="3" fontId="4" numFmtId="0" xfId="0" applyFont="1"/>
    <xf borderId="4" fillId="0" fontId="46" numFmtId="0" xfId="0" applyAlignment="1" applyBorder="1" applyFont="1">
      <alignment horizontal="center" readingOrder="0" shrinkToFit="0" vertical="center" wrapText="1"/>
    </xf>
    <xf borderId="1" fillId="0" fontId="46" numFmtId="0" xfId="0" applyAlignment="1" applyBorder="1" applyFont="1">
      <alignment horizontal="center" readingOrder="0" shrinkToFit="0" vertical="center" wrapText="1"/>
    </xf>
    <xf borderId="4" fillId="14" fontId="4" numFmtId="0" xfId="0" applyAlignment="1" applyBorder="1" applyFont="1">
      <alignment horizontal="center" readingOrder="0" shrinkToFit="0" vertical="center" wrapText="1"/>
    </xf>
    <xf borderId="1" fillId="14" fontId="4" numFmtId="0" xfId="0" applyAlignment="1" applyBorder="1" applyFont="1">
      <alignment horizontal="left" readingOrder="0" shrinkToFit="0" vertical="center" wrapText="1"/>
    </xf>
    <xf borderId="4" fillId="0" fontId="4" numFmtId="0" xfId="0" applyAlignment="1" applyBorder="1" applyFont="1">
      <alignment horizontal="center" readingOrder="0" shrinkToFit="0" vertical="center" wrapText="1"/>
    </xf>
    <xf borderId="1" fillId="0" fontId="4" numFmtId="0" xfId="0" applyAlignment="1" applyBorder="1" applyFont="1">
      <alignment horizontal="left" readingOrder="0" shrinkToFit="0" vertical="center" wrapText="1"/>
    </xf>
    <xf borderId="0" fillId="9" fontId="4" numFmtId="0" xfId="0" applyAlignment="1" applyFont="1">
      <alignment horizontal="center" readingOrder="0"/>
    </xf>
    <xf borderId="0" fillId="9" fontId="4" numFmtId="0" xfId="0" applyAlignment="1" applyFont="1">
      <alignment readingOrder="0"/>
    </xf>
    <xf borderId="0" fillId="19" fontId="46" numFmtId="0" xfId="0" applyFill="1" applyFont="1"/>
    <xf borderId="0" fillId="0" fontId="46" numFmtId="49" xfId="0" applyFont="1" applyNumberFormat="1"/>
    <xf borderId="0" fillId="0" fontId="46" numFmtId="0" xfId="0" applyAlignment="1" applyFont="1">
      <alignment readingOrder="0"/>
    </xf>
    <xf borderId="0" fillId="0" fontId="46"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400050</xdr:colOff>
      <xdr:row>10</xdr:row>
      <xdr:rowOff>123825</xdr:rowOff>
    </xdr:from>
    <xdr:ext cx="8220075" cy="591502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5"/>
    <col customWidth="1" min="2" max="2" width="6.25"/>
    <col customWidth="1" min="3" max="3" width="7.25"/>
    <col customWidth="1" min="4" max="4" width="37.5"/>
    <col customWidth="1" min="5" max="5" width="7.25"/>
    <col customWidth="1" min="6" max="6" width="7.13"/>
    <col customWidth="1" min="7" max="7" width="8.75"/>
    <col customWidth="1" min="8" max="8" width="42.38"/>
    <col customWidth="1" min="9" max="9" width="9.25"/>
    <col customWidth="1" min="10" max="10" width="5.63"/>
    <col customWidth="1" min="11" max="11" width="10.63"/>
    <col customWidth="1" min="12" max="12" width="42.63"/>
  </cols>
  <sheetData>
    <row r="1">
      <c r="A1" s="1">
        <f>VALUE(LEFT(F3,FIND(" - ",F3)-1))</f>
        <v>772</v>
      </c>
      <c r="B1" s="2"/>
      <c r="C1" s="3"/>
      <c r="D1" s="3"/>
      <c r="E1" s="3"/>
      <c r="F1" s="3"/>
      <c r="L1" s="4"/>
    </row>
    <row r="2">
      <c r="B2" s="2"/>
      <c r="C2" s="2"/>
      <c r="D2" s="5" t="s">
        <v>0</v>
      </c>
      <c r="E2" s="6"/>
      <c r="F2" s="7" t="str">
        <f>IFERROR(__xludf.DUMMYFUNCTION("VLOOKUP(A1,IMPORTRANGE(""1--DGkU5oDw3gpAa_rQkeu1olWCf2iv8Pm7BNjqiyiuY"", ""Listado Cursos!$A$2:$H$100""),2,FALSE)"),"Estructuras de Datos")</f>
        <v>Estructuras de Datos</v>
      </c>
      <c r="G2" s="8"/>
      <c r="H2" s="8"/>
      <c r="I2" s="8"/>
      <c r="J2" s="6"/>
      <c r="K2" s="9" t="s">
        <v>1</v>
      </c>
      <c r="L2" s="10"/>
      <c r="M2" s="10"/>
      <c r="O2" s="1"/>
    </row>
    <row r="3">
      <c r="B3" s="2"/>
      <c r="C3" s="2"/>
      <c r="D3" s="5" t="s">
        <v>2</v>
      </c>
      <c r="E3" s="6"/>
      <c r="F3" s="11" t="s">
        <v>3</v>
      </c>
      <c r="G3" s="8"/>
      <c r="H3" s="8"/>
      <c r="I3" s="8"/>
      <c r="J3" s="6"/>
      <c r="L3" s="10"/>
      <c r="M3" s="10"/>
    </row>
    <row r="4">
      <c r="B4" s="2"/>
      <c r="C4" s="2"/>
      <c r="D4" s="5" t="s">
        <v>4</v>
      </c>
      <c r="E4" s="6"/>
      <c r="F4" s="12">
        <f>IFERROR(__xludf.DUMMYFUNCTION("VLOOKUP(A1,IMPORTRANGE(""1--DGkU5oDw3gpAa_rQkeu1olWCf2iv8Pm7BNjqiyiuY"", ""Listado Cursos!A:G""),4,FALSE)"),5.0)</f>
        <v>5</v>
      </c>
      <c r="G4" s="8"/>
      <c r="H4" s="8"/>
      <c r="I4" s="8"/>
      <c r="J4" s="6"/>
      <c r="L4" s="13" t="s">
        <v>5</v>
      </c>
      <c r="M4" s="10"/>
    </row>
    <row r="5">
      <c r="B5" s="2"/>
      <c r="C5" s="2"/>
      <c r="D5" s="5" t="s">
        <v>6</v>
      </c>
      <c r="E5" s="6"/>
      <c r="F5" s="12" t="str">
        <f>IFERROR(__xludf.DUMMYFUNCTION("VLOOKUP(A1,IMPORTRANGE(""1--DGkU5oDw3gpAa_rQkeu1olWCf2iv8Pm7BNjqiyiuY"", ""Listado Cursos!A:G""),6,FALSE)"),"Software")</f>
        <v>Software</v>
      </c>
      <c r="G5" s="8"/>
      <c r="H5" s="8"/>
      <c r="I5" s="8"/>
      <c r="J5" s="6"/>
      <c r="M5" s="10"/>
    </row>
    <row r="6">
      <c r="B6" s="14"/>
      <c r="C6" s="14"/>
      <c r="D6" s="15" t="s">
        <v>7</v>
      </c>
      <c r="E6" s="6"/>
      <c r="F6" s="12">
        <f>IFERROR(__xludf.DUMMYFUNCTION("VLOOKUP(A1,IMPORTRANGE(""1MOUTlliQSqGb2Oce5pNnwpPxIepu3Xne86_Tkp7F-Y4"", ""Listado Cursos!A:G""),3,FALSE)"),6.0)</f>
        <v>6</v>
      </c>
      <c r="G6" s="8"/>
      <c r="H6" s="8"/>
      <c r="I6" s="8"/>
      <c r="J6" s="6"/>
      <c r="M6" s="10"/>
    </row>
    <row r="7">
      <c r="B7" s="14"/>
      <c r="C7" s="14"/>
      <c r="D7" s="15" t="s">
        <v>8</v>
      </c>
      <c r="E7" s="6"/>
      <c r="F7" s="12">
        <v>4.0</v>
      </c>
      <c r="G7" s="8"/>
      <c r="H7" s="8"/>
      <c r="I7" s="8"/>
      <c r="J7" s="6"/>
      <c r="M7" s="10"/>
    </row>
    <row r="8">
      <c r="M8" s="10"/>
    </row>
    <row r="10">
      <c r="B10" s="16" t="s">
        <v>9</v>
      </c>
    </row>
    <row r="11">
      <c r="B11" s="17"/>
      <c r="C11" s="17"/>
      <c r="D11" s="17"/>
    </row>
    <row r="12">
      <c r="B12" s="18" t="s">
        <v>10</v>
      </c>
      <c r="E12" s="19"/>
      <c r="F12" s="20" t="s">
        <v>11</v>
      </c>
      <c r="I12" s="19"/>
      <c r="J12" s="21" t="s">
        <v>12</v>
      </c>
    </row>
    <row r="13">
      <c r="B13" s="22" t="s">
        <v>13</v>
      </c>
      <c r="C13" s="22" t="s">
        <v>14</v>
      </c>
      <c r="D13" s="22" t="s">
        <v>15</v>
      </c>
      <c r="F13" s="23" t="s">
        <v>13</v>
      </c>
      <c r="G13" s="22" t="s">
        <v>14</v>
      </c>
      <c r="H13" s="22" t="s">
        <v>15</v>
      </c>
      <c r="J13" s="24" t="s">
        <v>13</v>
      </c>
      <c r="K13" s="25" t="s">
        <v>14</v>
      </c>
      <c r="L13" s="26" t="s">
        <v>15</v>
      </c>
    </row>
    <row r="14">
      <c r="B14" s="27">
        <v>1.0</v>
      </c>
      <c r="C14" s="28">
        <f>IFERROR(__xludf.DUMMYFUNCTION("ARRAYFORMULA(TRANSPOSE(SPLIT(FILTER(IMPORTRANGE(""1MOUTlliQSqGb2Oce5pNnwpPxIepu3Xne86_Tkp7F-Y4"", ""Listado Cursos!E:E""), IMPORTRANGE(""1MOUTlliQSqGb2Oce5pNnwpPxIepu3Xne86_Tkp7F-Y4"", ""Listado Cursos!A:A"")=A1), "","")))"),771.0)</f>
        <v>771</v>
      </c>
      <c r="D14" s="29" t="str">
        <f>IFERROR(__xludf.DUMMYFUNCTION("IF(C14="""","""",VLOOKUP(C14,IMPORTRANGE(""1MOUTlliQSqGb2Oce5pNnwpPxIepu3Xne86_Tkp7F-Y4"", ""Listado Cursos!A:B""),2,FALSE))"),"Introducción a la Programación y Computación 2")</f>
        <v>Introducción a la Programación y Computación 2</v>
      </c>
      <c r="F14" s="27">
        <v>1.0</v>
      </c>
      <c r="G14" s="30">
        <f>IFERROR(__xludf.DUMMYFUNCTION("FILTER(IMPORTRANGE(""1MOUTlliQSqGb2Oce5pNnwpPxIepu3Xne86_Tkp7F-Y4"", ""Listado Cursos!A:B""),IMPORTRANGE(""1MOUTlliQSqGb2Oce5pNnwpPxIepu3Xne86_Tkp7F-Y4"", ""Listado Cursos!D:D"")=F4,IMPORTRANGE(""1MOUTlliQSqGb2Oce5pNnwpPxIepu3Xne86_Tkp7F-Y4"", ""Listado C"&amp;"ursos!A:A"")&lt;&gt;150)"),732.0)</f>
        <v>732</v>
      </c>
      <c r="H14" s="31" t="str">
        <f>IFERROR(__xludf.DUMMYFUNCTION("""COMPUTED_VALUE"""),"Estadística 1")</f>
        <v>Estadística 1</v>
      </c>
      <c r="J14" s="27">
        <v>1.0</v>
      </c>
      <c r="K14" s="32">
        <f>IFERROR(__xludf.DUMMYFUNCTION("FILTER(IMPORTRANGE(""1MOUTlliQSqGb2Oce5pNnwpPxIepu3Xne86_Tkp7F-Y4"", ""Listado Cursos!A:B""), ISNUMBER(SEARCH(A1, IMPORTRANGE(""1MOUTlliQSqGb2Oce5pNnwpPxIepu3Xne86_Tkp7F-Y4"", ""Listado Cursos!E:E""))))"),722.0)</f>
        <v>722</v>
      </c>
      <c r="L14" s="33" t="str">
        <f>IFERROR(__xludf.DUMMYFUNCTION("""COMPUTED_VALUE"""),"Teoría de Sistemas 1")</f>
        <v>Teoría de Sistemas 1</v>
      </c>
    </row>
    <row r="15">
      <c r="B15" s="27">
        <v>2.0</v>
      </c>
      <c r="C15" s="29">
        <f>IFERROR(__xludf.DUMMYFUNCTION("""COMPUTED_VALUE"""),796.0)</f>
        <v>796</v>
      </c>
      <c r="D15" s="29" t="str">
        <f>IFERROR(__xludf.DUMMYFUNCTION("IF(C15="""","""",VLOOKUP(C15,IMPORTRANGE(""1MOUTlliQSqGb2Oce5pNnwpPxIepu3Xne86_Tkp7F-Y4"", ""Listado Cursos!A:B""),2,FALSE))"),"Lenguajes Formales y de Programación")</f>
        <v>Lenguajes Formales y de Programación</v>
      </c>
      <c r="F15" s="27">
        <v>2.0</v>
      </c>
      <c r="G15" s="30">
        <f>IFERROR(__xludf.DUMMYFUNCTION("""COMPUTED_VALUE"""),777.0)</f>
        <v>777</v>
      </c>
      <c r="H15" s="31" t="str">
        <f>IFERROR(__xludf.DUMMYFUNCTION("""COMPUTED_VALUE"""),"Organización de Lenguajes y Compiladores 1")</f>
        <v>Organización de Lenguajes y Compiladores 1</v>
      </c>
      <c r="J15" s="27">
        <v>2.0</v>
      </c>
      <c r="K15" s="34">
        <f>IFERROR(__xludf.DUMMYFUNCTION("""COMPUTED_VALUE"""),781.0)</f>
        <v>781</v>
      </c>
      <c r="L15" s="35" t="str">
        <f>IFERROR(__xludf.DUMMYFUNCTION("""COMPUTED_VALUE"""),"Organización de Lenguajes y Compiladores 2")</f>
        <v>Organización de Lenguajes y Compiladores 2</v>
      </c>
    </row>
    <row r="16">
      <c r="B16" s="27">
        <v>3.0</v>
      </c>
      <c r="C16" s="33">
        <f>IFERROR(__xludf.DUMMYFUNCTION("""COMPUTED_VALUE"""),962.0)</f>
        <v>962</v>
      </c>
      <c r="D16" s="29" t="str">
        <f>IFERROR(__xludf.DUMMYFUNCTION("IF(C16="""","""",VLOOKUP(C16,IMPORTRANGE(""1MOUTlliQSqGb2Oce5pNnwpPxIepu3Xne86_Tkp7F-Y4"", ""Listado Cursos!A:B""),2,FALSE))"),"Matemática Para Computación 2")</f>
        <v>Matemática Para Computación 2</v>
      </c>
      <c r="F16" s="27">
        <v>3.0</v>
      </c>
      <c r="G16" s="30">
        <f>IFERROR(__xludf.DUMMYFUNCTION("""COMPUTED_VALUE"""),964.0)</f>
        <v>964</v>
      </c>
      <c r="H16" s="31" t="str">
        <f>IFERROR(__xludf.DUMMYFUNCTION("""COMPUTED_VALUE"""),"Organización Computacional")</f>
        <v>Organización Computacional</v>
      </c>
      <c r="J16" s="27">
        <v>3.0</v>
      </c>
      <c r="K16" s="36">
        <f>IFERROR(__xludf.DUMMYFUNCTION("""COMPUTED_VALUE"""),773.0)</f>
        <v>773</v>
      </c>
      <c r="L16" s="33" t="str">
        <f>IFERROR(__xludf.DUMMYFUNCTION("""COMPUTED_VALUE"""),"Manejo e Implementación de Archivos")</f>
        <v>Manejo e Implementación de Archivos</v>
      </c>
    </row>
    <row r="17">
      <c r="B17" s="27">
        <v>4.0</v>
      </c>
      <c r="C17" s="29"/>
      <c r="D17" s="29" t="str">
        <f>IFERROR(__xludf.DUMMYFUNCTION("IF(C17="""","""",VLOOKUP(C17,IMPORTRANGE(""1MOUTlliQSqGb2Oce5pNnwpPxIepu3Xne86_Tkp7F-Y4"", ""Listado Cursos!A:B""),2,FALSE))"),"")</f>
        <v/>
      </c>
      <c r="F17" s="27">
        <v>4.0</v>
      </c>
      <c r="G17" s="30">
        <f>IFERROR(__xludf.DUMMYFUNCTION("""COMPUTED_VALUE"""),772.0)</f>
        <v>772</v>
      </c>
      <c r="H17" s="31" t="str">
        <f>IFERROR(__xludf.DUMMYFUNCTION("""COMPUTED_VALUE"""),"Estructuras de Datos")</f>
        <v>Estructuras de Datos</v>
      </c>
      <c r="J17" s="27">
        <v>4.0</v>
      </c>
      <c r="K17" s="28"/>
      <c r="L17" s="33"/>
    </row>
    <row r="18">
      <c r="B18" s="27">
        <v>5.0</v>
      </c>
      <c r="C18" s="29"/>
      <c r="D18" s="29" t="str">
        <f>IFERROR(__xludf.DUMMYFUNCTION("IF(C18="""","""",VLOOKUP(C18,IMPORTRANGE(""1MOUTlliQSqGb2Oce5pNnwpPxIepu3Xne86_Tkp7F-Y4"", ""Listado Cursos!A:B""),2,FALSE))"),"")</f>
        <v/>
      </c>
      <c r="F18" s="27">
        <v>5.0</v>
      </c>
      <c r="G18" s="30">
        <f>IFERROR(__xludf.DUMMYFUNCTION("""COMPUTED_VALUE"""),116.0)</f>
        <v>116</v>
      </c>
      <c r="H18" s="31" t="str">
        <f>IFERROR(__xludf.DUMMYFUNCTION("""COMPUTED_VALUE"""),"Matemática Aplicada 3")</f>
        <v>Matemática Aplicada 3</v>
      </c>
      <c r="J18" s="27">
        <v>5.0</v>
      </c>
      <c r="K18" s="28"/>
      <c r="L18" s="33"/>
    </row>
    <row r="19">
      <c r="B19" s="27">
        <v>6.0</v>
      </c>
      <c r="C19" s="33"/>
      <c r="D19" s="29" t="str">
        <f>IFERROR(__xludf.DUMMYFUNCTION("IF(C19="""","""",VLOOKUP(C19,IMPORTRANGE(""1MOUTlliQSqGb2Oce5pNnwpPxIepu3Xne86_Tkp7F-Y4"", ""Listado Cursos!A:B""),2,FALSE))"),"")</f>
        <v/>
      </c>
      <c r="F19" s="27">
        <v>6.0</v>
      </c>
      <c r="G19" s="30">
        <f>IFERROR(__xludf.DUMMYFUNCTION("""COMPUTED_VALUE"""),118.0)</f>
        <v>118</v>
      </c>
      <c r="H19" s="37" t="str">
        <f>IFERROR(__xludf.DUMMYFUNCTION("""COMPUTED_VALUE"""),"Matemática Aplicada 1")</f>
        <v>Matemática Aplicada 1</v>
      </c>
      <c r="J19" s="27">
        <v>6.0</v>
      </c>
      <c r="K19" s="28"/>
      <c r="L19" s="33"/>
    </row>
    <row r="20">
      <c r="B20" s="27">
        <v>7.0</v>
      </c>
      <c r="C20" s="28"/>
      <c r="D20" s="29" t="str">
        <f>IFERROR(__xludf.DUMMYFUNCTION("IF(C20="""","""",VLOOKUP(C20,IMPORTRANGE(""1MOUTlliQSqGb2Oce5pNnwpPxIepu3Xne86_Tkp7F-Y4"", ""Listado Cursos!A:B""),2,FALSE))"),"")</f>
        <v/>
      </c>
      <c r="F20" s="27">
        <v>7.0</v>
      </c>
      <c r="G20" s="30">
        <f>IFERROR(__xludf.DUMMYFUNCTION("""COMPUTED_VALUE"""),18.0)</f>
        <v>18</v>
      </c>
      <c r="H20" s="37" t="str">
        <f>IFERROR(__xludf.DUMMYFUNCTION("""COMPUTED_VALUE"""),"Filosofía de la Ciencia")</f>
        <v>Filosofía de la Ciencia</v>
      </c>
      <c r="J20" s="27">
        <v>7.0</v>
      </c>
      <c r="K20" s="28"/>
      <c r="L20" s="33"/>
    </row>
    <row r="21">
      <c r="B21" s="27">
        <v>8.0</v>
      </c>
      <c r="C21" s="38"/>
      <c r="D21" s="29" t="str">
        <f>IFERROR(__xludf.DUMMYFUNCTION("IF(C21="""","""",VLOOKUP(C21,IMPORTRANGE(""1MOUTlliQSqGb2Oce5pNnwpPxIepu3Xne86_Tkp7F-Y4"", ""Listado Cursos!A:B""),2,FALSE))"),"")</f>
        <v/>
      </c>
      <c r="F21" s="27">
        <v>8.0</v>
      </c>
      <c r="G21" s="31"/>
      <c r="H21" s="37"/>
      <c r="J21" s="27">
        <v>8.0</v>
      </c>
      <c r="K21" s="28"/>
      <c r="L21" s="33"/>
    </row>
    <row r="22">
      <c r="B22" s="27">
        <v>9.0</v>
      </c>
      <c r="C22" s="38"/>
      <c r="D22" s="29" t="str">
        <f>IFERROR(__xludf.DUMMYFUNCTION("IF(C22="""","""",VLOOKUP(C22,IMPORTRANGE(""1MOUTlliQSqGb2Oce5pNnwpPxIepu3Xne86_Tkp7F-Y4"", ""Listado Cursos!A:B""),2,FALSE))"),"")</f>
        <v/>
      </c>
      <c r="F22" s="27">
        <v>9.0</v>
      </c>
      <c r="G22" s="39"/>
      <c r="H22" s="39"/>
      <c r="J22" s="27">
        <v>9.0</v>
      </c>
      <c r="K22" s="28"/>
      <c r="L22" s="33"/>
    </row>
    <row r="23">
      <c r="B23" s="27">
        <v>10.0</v>
      </c>
      <c r="C23" s="40"/>
      <c r="D23" s="29" t="str">
        <f>IFERROR(__xludf.DUMMYFUNCTION("IF(C23="""","""",VLOOKUP(C23,IMPORTRANGE(""1MOUTlliQSqGb2Oce5pNnwpPxIepu3Xne86_Tkp7F-Y4"", ""Listado Cursos!A:B""),2,FALSE))"),"")</f>
        <v/>
      </c>
      <c r="F23" s="27">
        <v>10.0</v>
      </c>
      <c r="G23" s="39"/>
      <c r="H23" s="39"/>
      <c r="J23" s="27">
        <v>10.0</v>
      </c>
      <c r="K23" s="28"/>
      <c r="L23" s="38"/>
    </row>
    <row r="24">
      <c r="B24" s="27">
        <v>11.0</v>
      </c>
      <c r="C24" s="41"/>
      <c r="D24" s="29" t="str">
        <f>IFERROR(__xludf.DUMMYFUNCTION("IF(C24="""","""",VLOOKUP(C24,IMPORTRANGE(""1MOUTlliQSqGb2Oce5pNnwpPxIepu3Xne86_Tkp7F-Y4"", ""Listado Cursos!A:B""),2,FALSE))"),"")</f>
        <v/>
      </c>
      <c r="F24" s="27">
        <v>11.0</v>
      </c>
      <c r="G24" s="39"/>
      <c r="H24" s="39"/>
      <c r="J24" s="27">
        <v>11.0</v>
      </c>
      <c r="K24" s="28"/>
      <c r="L24" s="38"/>
    </row>
    <row r="25">
      <c r="B25" s="27">
        <v>12.0</v>
      </c>
      <c r="C25" s="42"/>
      <c r="D25" s="29" t="str">
        <f>IFERROR(__xludf.DUMMYFUNCTION("IF(C25="""","""",VLOOKUP(C25,IMPORTRANGE(""1MOUTlliQSqGb2Oce5pNnwpPxIepu3Xne86_Tkp7F-Y4"", ""Listado Cursos!A:B""),2,FALSE))"),"")</f>
        <v/>
      </c>
      <c r="F25" s="27">
        <v>12.0</v>
      </c>
      <c r="G25" s="39"/>
      <c r="H25" s="39"/>
      <c r="J25" s="27">
        <v>12.0</v>
      </c>
      <c r="K25" s="28"/>
      <c r="L25" s="38"/>
    </row>
    <row r="26">
      <c r="B26" s="27">
        <v>13.0</v>
      </c>
      <c r="C26" s="42"/>
      <c r="D26" s="29" t="str">
        <f>IFERROR(__xludf.DUMMYFUNCTION("IF(C26="""","""",VLOOKUP(C26,IMPORTRANGE(""1MOUTlliQSqGb2Oce5pNnwpPxIepu3Xne86_Tkp7F-Y4"", ""Listado Cursos!A:B""),2,FALSE))"),"")</f>
        <v/>
      </c>
      <c r="F26" s="27">
        <v>13.0</v>
      </c>
      <c r="G26" s="39"/>
      <c r="H26" s="39"/>
      <c r="J26" s="27">
        <v>13.0</v>
      </c>
      <c r="K26" s="28"/>
      <c r="L26" s="38"/>
    </row>
    <row r="27">
      <c r="B27" s="27">
        <v>14.0</v>
      </c>
      <c r="C27" s="42"/>
      <c r="D27" s="29" t="str">
        <f>IFERROR(__xludf.DUMMYFUNCTION("IF(C27="""","""",VLOOKUP(C27,IMPORTRANGE(""1MOUTlliQSqGb2Oce5pNnwpPxIepu3Xne86_Tkp7F-Y4"", ""Listado Cursos!A:B""),2,FALSE))"),"")</f>
        <v/>
      </c>
      <c r="F27" s="27">
        <v>14.0</v>
      </c>
      <c r="G27" s="39"/>
      <c r="H27" s="39"/>
      <c r="J27" s="27">
        <v>14.0</v>
      </c>
      <c r="K27" s="28"/>
      <c r="L27" s="38"/>
    </row>
    <row r="28">
      <c r="B28" s="43"/>
      <c r="C28" s="44"/>
      <c r="D28" s="45"/>
    </row>
    <row r="29">
      <c r="B29" s="2"/>
      <c r="C29" s="2"/>
      <c r="D29" s="46"/>
      <c r="E29" s="46"/>
      <c r="F29" s="46"/>
      <c r="G29" s="46"/>
    </row>
    <row r="30">
      <c r="B30" s="47"/>
      <c r="C30" s="48" t="s">
        <v>16</v>
      </c>
    </row>
    <row r="31" ht="22.5" customHeight="1">
      <c r="B31" s="2"/>
      <c r="C31" s="49" t="s">
        <v>17</v>
      </c>
      <c r="D31" s="6"/>
      <c r="E31" s="50" t="s">
        <v>18</v>
      </c>
      <c r="F31" s="8"/>
      <c r="G31" s="8"/>
      <c r="H31" s="8"/>
      <c r="I31" s="8"/>
      <c r="J31" s="8"/>
      <c r="K31" s="8"/>
      <c r="L31" s="6"/>
    </row>
    <row r="32" ht="46.5" customHeight="1">
      <c r="B32" s="14"/>
      <c r="C32" s="51" t="s">
        <v>19</v>
      </c>
      <c r="D32" s="6"/>
      <c r="E32" s="52"/>
      <c r="F32" s="8"/>
      <c r="G32" s="8"/>
      <c r="H32" s="8"/>
      <c r="I32" s="8"/>
      <c r="J32" s="8"/>
      <c r="K32" s="8"/>
      <c r="L32" s="6"/>
    </row>
    <row r="33" ht="48.0" customHeight="1">
      <c r="B33" s="14"/>
      <c r="C33" s="51" t="s">
        <v>20</v>
      </c>
      <c r="D33" s="6"/>
      <c r="E33" s="52"/>
      <c r="F33" s="8"/>
      <c r="G33" s="8"/>
      <c r="H33" s="8"/>
      <c r="I33" s="8"/>
      <c r="J33" s="8"/>
      <c r="K33" s="8"/>
      <c r="L33" s="6"/>
    </row>
    <row r="34">
      <c r="C34" s="53"/>
      <c r="D34" s="46"/>
      <c r="E34" s="46"/>
      <c r="F34" s="46"/>
      <c r="G34" s="46"/>
      <c r="H34" s="46"/>
      <c r="I34" s="46"/>
      <c r="J34" s="46"/>
      <c r="K34" s="46"/>
      <c r="L34" s="46"/>
    </row>
    <row r="35" ht="22.5" customHeight="1">
      <c r="B35" s="2"/>
      <c r="C35" s="49" t="s">
        <v>17</v>
      </c>
      <c r="D35" s="6"/>
      <c r="E35" s="50" t="s">
        <v>18</v>
      </c>
      <c r="F35" s="8"/>
      <c r="G35" s="8"/>
      <c r="H35" s="8"/>
      <c r="I35" s="8"/>
      <c r="J35" s="8"/>
      <c r="K35" s="8"/>
      <c r="L35" s="6"/>
    </row>
    <row r="36" ht="46.5" customHeight="1">
      <c r="B36" s="14"/>
      <c r="C36" s="51" t="s">
        <v>19</v>
      </c>
      <c r="D36" s="6"/>
      <c r="E36" s="52"/>
      <c r="F36" s="8"/>
      <c r="G36" s="8"/>
      <c r="H36" s="8"/>
      <c r="I36" s="8"/>
      <c r="J36" s="8"/>
      <c r="K36" s="8"/>
      <c r="L36" s="6"/>
    </row>
    <row r="37" ht="48.0" customHeight="1">
      <c r="B37" s="14"/>
      <c r="C37" s="51" t="s">
        <v>20</v>
      </c>
      <c r="D37" s="6"/>
      <c r="E37" s="52"/>
      <c r="F37" s="8"/>
      <c r="G37" s="8"/>
      <c r="H37" s="8"/>
      <c r="I37" s="8"/>
      <c r="J37" s="8"/>
      <c r="K37" s="8"/>
      <c r="L37" s="6"/>
      <c r="M37" s="54"/>
    </row>
    <row r="38">
      <c r="B38" s="47"/>
      <c r="C38" s="55"/>
      <c r="D38" s="56"/>
      <c r="E38" s="56"/>
      <c r="F38" s="56"/>
      <c r="G38" s="56"/>
      <c r="H38" s="56"/>
      <c r="I38" s="56"/>
      <c r="J38" s="56"/>
      <c r="K38" s="56"/>
      <c r="L38" s="56"/>
    </row>
    <row r="39" ht="22.5" customHeight="1">
      <c r="B39" s="2"/>
      <c r="C39" s="49" t="s">
        <v>17</v>
      </c>
      <c r="D39" s="6"/>
      <c r="E39" s="50" t="s">
        <v>18</v>
      </c>
      <c r="F39" s="8"/>
      <c r="G39" s="8"/>
      <c r="H39" s="8"/>
      <c r="I39" s="8"/>
      <c r="J39" s="8"/>
      <c r="K39" s="8"/>
      <c r="L39" s="6"/>
      <c r="M39" s="57" t="s">
        <v>1</v>
      </c>
      <c r="N39" s="58" t="s">
        <v>21</v>
      </c>
    </row>
    <row r="40" ht="46.5" customHeight="1">
      <c r="B40" s="14"/>
      <c r="C40" s="51" t="s">
        <v>19</v>
      </c>
      <c r="D40" s="6"/>
      <c r="E40" s="52"/>
      <c r="F40" s="8"/>
      <c r="G40" s="8"/>
      <c r="H40" s="8"/>
      <c r="I40" s="8"/>
      <c r="J40" s="8"/>
      <c r="K40" s="8"/>
      <c r="L40" s="6"/>
    </row>
    <row r="41" ht="48.0" customHeight="1">
      <c r="B41" s="14"/>
      <c r="C41" s="51" t="s">
        <v>20</v>
      </c>
      <c r="D41" s="6"/>
      <c r="E41" s="52"/>
      <c r="F41" s="8"/>
      <c r="G41" s="8"/>
      <c r="H41" s="8"/>
      <c r="I41" s="8"/>
      <c r="J41" s="8"/>
      <c r="K41" s="8"/>
      <c r="L41" s="6"/>
    </row>
    <row r="42">
      <c r="D42" s="56"/>
      <c r="E42" s="56"/>
      <c r="F42" s="56"/>
      <c r="G42" s="56"/>
      <c r="H42" s="56"/>
      <c r="I42" s="56"/>
      <c r="J42" s="56"/>
      <c r="K42" s="56"/>
      <c r="L42" s="56"/>
    </row>
    <row r="43" ht="22.5" customHeight="1">
      <c r="B43" s="2"/>
      <c r="C43" s="49" t="s">
        <v>17</v>
      </c>
      <c r="D43" s="6"/>
      <c r="E43" s="50" t="s">
        <v>18</v>
      </c>
      <c r="F43" s="8"/>
      <c r="G43" s="8"/>
      <c r="H43" s="8"/>
      <c r="I43" s="8"/>
      <c r="J43" s="8"/>
      <c r="K43" s="8"/>
      <c r="L43" s="6"/>
    </row>
    <row r="44" ht="46.5" customHeight="1">
      <c r="B44" s="14"/>
      <c r="C44" s="51" t="s">
        <v>19</v>
      </c>
      <c r="D44" s="6"/>
      <c r="E44" s="52"/>
      <c r="F44" s="8"/>
      <c r="G44" s="8"/>
      <c r="H44" s="8"/>
      <c r="I44" s="8"/>
      <c r="J44" s="8"/>
      <c r="K44" s="8"/>
      <c r="L44" s="6"/>
    </row>
    <row r="45" ht="48.0" customHeight="1">
      <c r="B45" s="14"/>
      <c r="C45" s="51" t="s">
        <v>20</v>
      </c>
      <c r="D45" s="6"/>
      <c r="E45" s="52"/>
      <c r="F45" s="8"/>
      <c r="G45" s="8"/>
      <c r="H45" s="8"/>
      <c r="I45" s="8"/>
      <c r="J45" s="8"/>
      <c r="K45" s="8"/>
      <c r="L45" s="6"/>
    </row>
    <row r="46">
      <c r="D46" s="56"/>
      <c r="E46" s="56"/>
      <c r="F46" s="56"/>
      <c r="G46" s="56"/>
      <c r="H46" s="56"/>
      <c r="I46" s="56"/>
      <c r="J46" s="56"/>
      <c r="K46" s="56"/>
      <c r="L46" s="56"/>
    </row>
    <row r="47" ht="22.5" customHeight="1">
      <c r="B47" s="2"/>
      <c r="C47" s="49" t="s">
        <v>17</v>
      </c>
      <c r="D47" s="6"/>
      <c r="E47" s="50" t="s">
        <v>18</v>
      </c>
      <c r="F47" s="8"/>
      <c r="G47" s="8"/>
      <c r="H47" s="8"/>
      <c r="I47" s="8"/>
      <c r="J47" s="8"/>
      <c r="K47" s="8"/>
      <c r="L47" s="6"/>
    </row>
    <row r="48" ht="46.5" customHeight="1">
      <c r="B48" s="14"/>
      <c r="C48" s="51" t="s">
        <v>19</v>
      </c>
      <c r="D48" s="6"/>
      <c r="E48" s="52"/>
      <c r="F48" s="8"/>
      <c r="G48" s="8"/>
      <c r="H48" s="8"/>
      <c r="I48" s="8"/>
      <c r="J48" s="8"/>
      <c r="K48" s="8"/>
      <c r="L48" s="6"/>
    </row>
    <row r="49" ht="48.0" customHeight="1">
      <c r="B49" s="14"/>
      <c r="C49" s="51" t="s">
        <v>20</v>
      </c>
      <c r="D49" s="6"/>
      <c r="E49" s="52"/>
      <c r="F49" s="8"/>
      <c r="G49" s="8"/>
      <c r="H49" s="8"/>
      <c r="I49" s="8"/>
      <c r="J49" s="8"/>
      <c r="K49" s="8"/>
      <c r="L49" s="6"/>
    </row>
    <row r="50">
      <c r="D50" s="56"/>
      <c r="E50" s="56"/>
      <c r="F50" s="56"/>
      <c r="G50" s="56"/>
      <c r="H50" s="56"/>
      <c r="I50" s="56"/>
      <c r="J50" s="56"/>
      <c r="K50" s="56"/>
      <c r="L50" s="56"/>
    </row>
    <row r="51" ht="22.5" customHeight="1">
      <c r="B51" s="2"/>
      <c r="C51" s="49" t="s">
        <v>17</v>
      </c>
      <c r="D51" s="6"/>
      <c r="E51" s="50" t="s">
        <v>18</v>
      </c>
      <c r="F51" s="8"/>
      <c r="G51" s="8"/>
      <c r="H51" s="8"/>
      <c r="I51" s="8"/>
      <c r="J51" s="8"/>
      <c r="K51" s="8"/>
      <c r="L51" s="6"/>
    </row>
    <row r="52" ht="46.5" customHeight="1">
      <c r="B52" s="14"/>
      <c r="C52" s="51" t="s">
        <v>19</v>
      </c>
      <c r="D52" s="6"/>
      <c r="E52" s="52"/>
      <c r="F52" s="8"/>
      <c r="G52" s="8"/>
      <c r="H52" s="8"/>
      <c r="I52" s="8"/>
      <c r="J52" s="8"/>
      <c r="K52" s="8"/>
      <c r="L52" s="6"/>
    </row>
    <row r="53" ht="48.0" customHeight="1">
      <c r="B53" s="14"/>
      <c r="C53" s="51" t="s">
        <v>20</v>
      </c>
      <c r="D53" s="6"/>
      <c r="E53" s="52"/>
      <c r="F53" s="8"/>
      <c r="G53" s="8"/>
      <c r="H53" s="8"/>
      <c r="I53" s="8"/>
      <c r="J53" s="8"/>
      <c r="K53" s="8"/>
      <c r="L53" s="6"/>
    </row>
    <row r="54">
      <c r="D54" s="56"/>
      <c r="E54" s="56"/>
      <c r="F54" s="56"/>
      <c r="G54" s="56"/>
      <c r="H54" s="56"/>
      <c r="I54" s="56"/>
      <c r="J54" s="56"/>
      <c r="K54" s="56"/>
      <c r="L54" s="56"/>
    </row>
    <row r="55">
      <c r="D55" s="56"/>
      <c r="E55" s="56"/>
      <c r="F55" s="56"/>
      <c r="G55" s="56"/>
      <c r="H55" s="56"/>
      <c r="I55" s="56"/>
      <c r="J55" s="56"/>
      <c r="K55" s="56"/>
      <c r="L55" s="56"/>
    </row>
    <row r="56">
      <c r="D56" s="56"/>
      <c r="E56" s="56"/>
      <c r="F56" s="56"/>
      <c r="G56" s="56"/>
      <c r="H56" s="56"/>
      <c r="I56" s="56"/>
      <c r="J56" s="56"/>
      <c r="K56" s="56"/>
      <c r="L56" s="56"/>
    </row>
    <row r="57">
      <c r="D57" s="56"/>
      <c r="E57" s="56"/>
      <c r="F57" s="56"/>
      <c r="G57" s="56"/>
      <c r="H57" s="56"/>
      <c r="I57" s="56"/>
      <c r="J57" s="56"/>
      <c r="K57" s="56"/>
      <c r="L57" s="56"/>
    </row>
    <row r="58">
      <c r="D58" s="56"/>
      <c r="E58" s="56"/>
      <c r="F58" s="56"/>
      <c r="G58" s="56"/>
      <c r="H58" s="56"/>
      <c r="I58" s="56"/>
      <c r="J58" s="56"/>
      <c r="K58" s="56"/>
      <c r="L58" s="56"/>
    </row>
    <row r="59">
      <c r="D59" s="56"/>
      <c r="E59" s="56"/>
      <c r="F59" s="56"/>
      <c r="G59" s="56"/>
      <c r="H59" s="56"/>
      <c r="I59" s="56"/>
      <c r="J59" s="56"/>
      <c r="K59" s="56"/>
      <c r="L59" s="56"/>
    </row>
    <row r="60">
      <c r="D60" s="56"/>
      <c r="E60" s="56"/>
      <c r="F60" s="56"/>
      <c r="G60" s="56"/>
      <c r="H60" s="56"/>
      <c r="I60" s="56"/>
      <c r="J60" s="56"/>
      <c r="K60" s="56"/>
      <c r="L60" s="56"/>
    </row>
    <row r="61">
      <c r="D61" s="56"/>
      <c r="E61" s="56"/>
      <c r="F61" s="56"/>
      <c r="G61" s="56"/>
      <c r="H61" s="56"/>
      <c r="I61" s="56"/>
      <c r="J61" s="56"/>
      <c r="K61" s="56"/>
      <c r="L61" s="56"/>
    </row>
    <row r="62">
      <c r="D62" s="56"/>
      <c r="E62" s="56"/>
      <c r="F62" s="56"/>
      <c r="G62" s="56"/>
      <c r="H62" s="56"/>
      <c r="I62" s="56"/>
      <c r="J62" s="56"/>
      <c r="K62" s="56"/>
      <c r="L62" s="56"/>
    </row>
    <row r="63">
      <c r="D63" s="56"/>
      <c r="E63" s="56"/>
      <c r="F63" s="56"/>
      <c r="G63" s="56"/>
      <c r="H63" s="56"/>
      <c r="I63" s="56"/>
      <c r="J63" s="56"/>
      <c r="K63" s="56"/>
      <c r="L63" s="56"/>
    </row>
    <row r="64">
      <c r="D64" s="56"/>
      <c r="E64" s="56"/>
      <c r="F64" s="56"/>
      <c r="G64" s="56"/>
      <c r="H64" s="56"/>
      <c r="I64" s="56"/>
      <c r="J64" s="56"/>
      <c r="K64" s="56"/>
      <c r="L64" s="56"/>
    </row>
    <row r="65">
      <c r="D65" s="56"/>
      <c r="E65" s="56"/>
      <c r="F65" s="56"/>
      <c r="G65" s="56"/>
      <c r="H65" s="56"/>
      <c r="I65" s="56"/>
      <c r="J65" s="56"/>
      <c r="K65" s="56"/>
      <c r="L65" s="56"/>
    </row>
    <row r="66">
      <c r="D66" s="56"/>
      <c r="E66" s="56"/>
      <c r="F66" s="56"/>
      <c r="G66" s="56"/>
      <c r="H66" s="56"/>
      <c r="I66" s="56"/>
      <c r="J66" s="56"/>
      <c r="K66" s="56"/>
      <c r="L66" s="56"/>
    </row>
    <row r="67">
      <c r="D67" s="56"/>
      <c r="E67" s="56"/>
      <c r="F67" s="56"/>
      <c r="G67" s="56"/>
      <c r="H67" s="56"/>
      <c r="I67" s="56"/>
      <c r="J67" s="56"/>
      <c r="K67" s="56"/>
      <c r="L67" s="56"/>
    </row>
    <row r="68">
      <c r="D68" s="56"/>
      <c r="E68" s="56"/>
      <c r="F68" s="56"/>
      <c r="G68" s="56"/>
      <c r="H68" s="56"/>
      <c r="I68" s="56"/>
      <c r="J68" s="56"/>
      <c r="K68" s="56"/>
      <c r="L68" s="56"/>
    </row>
    <row r="69">
      <c r="D69" s="56"/>
      <c r="E69" s="56"/>
      <c r="F69" s="56"/>
      <c r="G69" s="56"/>
      <c r="H69" s="56"/>
      <c r="I69" s="56"/>
      <c r="J69" s="56"/>
      <c r="K69" s="56"/>
      <c r="L69" s="56"/>
    </row>
  </sheetData>
  <mergeCells count="57">
    <mergeCell ref="E44:L44"/>
    <mergeCell ref="E45:L45"/>
    <mergeCell ref="E37:L37"/>
    <mergeCell ref="E39:L39"/>
    <mergeCell ref="M39:M40"/>
    <mergeCell ref="N39:O41"/>
    <mergeCell ref="E40:L40"/>
    <mergeCell ref="E41:L41"/>
    <mergeCell ref="E43:L43"/>
    <mergeCell ref="C48:D48"/>
    <mergeCell ref="C49:D49"/>
    <mergeCell ref="C51:D51"/>
    <mergeCell ref="C52:D52"/>
    <mergeCell ref="C53:D53"/>
    <mergeCell ref="C36:D36"/>
    <mergeCell ref="C37:D37"/>
    <mergeCell ref="C39:D39"/>
    <mergeCell ref="C40:D40"/>
    <mergeCell ref="C41:D41"/>
    <mergeCell ref="C43:D43"/>
    <mergeCell ref="C44:D44"/>
    <mergeCell ref="D4:E4"/>
    <mergeCell ref="D5:E5"/>
    <mergeCell ref="D3:E3"/>
    <mergeCell ref="D6:E6"/>
    <mergeCell ref="F6:J6"/>
    <mergeCell ref="D7:E7"/>
    <mergeCell ref="F7:J7"/>
    <mergeCell ref="D2:E2"/>
    <mergeCell ref="F2:J2"/>
    <mergeCell ref="K2:K5"/>
    <mergeCell ref="F3:J3"/>
    <mergeCell ref="F4:J4"/>
    <mergeCell ref="L4:L8"/>
    <mergeCell ref="F5:J5"/>
    <mergeCell ref="B10:L10"/>
    <mergeCell ref="B12:D12"/>
    <mergeCell ref="F12:H12"/>
    <mergeCell ref="J12:L12"/>
    <mergeCell ref="C30:L30"/>
    <mergeCell ref="C31:D31"/>
    <mergeCell ref="E31:L31"/>
    <mergeCell ref="C32:D32"/>
    <mergeCell ref="E32:L32"/>
    <mergeCell ref="C33:D33"/>
    <mergeCell ref="E33:L33"/>
    <mergeCell ref="C35:D35"/>
    <mergeCell ref="E35:L35"/>
    <mergeCell ref="E36:L36"/>
    <mergeCell ref="C45:D45"/>
    <mergeCell ref="C47:D47"/>
    <mergeCell ref="E47:L47"/>
    <mergeCell ref="E48:L48"/>
    <mergeCell ref="E49:L49"/>
    <mergeCell ref="E51:L51"/>
    <mergeCell ref="E52:L52"/>
    <mergeCell ref="E53:L53"/>
  </mergeCells>
  <dataValidations>
    <dataValidation type="list" allowBlank="1" sqref="E31 E35 E39 E43 E47 E51">
      <formula1>MetaData!$P:$P</formula1>
    </dataValidation>
    <dataValidation type="list" allowBlank="1" showErrorMessage="1" sqref="F3">
      <formula1>MetaData!$A:$A</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88"/>
    <col customWidth="1" min="2" max="2" width="63.38"/>
    <col customWidth="1" min="3" max="3" width="17.63"/>
    <col customWidth="1" min="4" max="4" width="41.38"/>
    <col customWidth="1" min="5" max="5" width="52.38"/>
    <col customWidth="1" min="6" max="6" width="6.0"/>
    <col customWidth="1" min="7" max="7" width="8.63"/>
  </cols>
  <sheetData>
    <row r="1">
      <c r="A1" s="59" t="s">
        <v>22</v>
      </c>
      <c r="H1" s="60" t="s">
        <v>23</v>
      </c>
    </row>
    <row r="2">
      <c r="B2" s="61"/>
      <c r="D2" s="61"/>
      <c r="E2" s="61"/>
    </row>
    <row r="3" ht="30.75" customHeight="1">
      <c r="A3" s="62" t="s">
        <v>24</v>
      </c>
      <c r="C3" s="63">
        <f t="array" ref="C3">INDEX('Información General'!C13:C27, MATCH(A3, 'Información General'!D13:D27, 0))</f>
        <v>771</v>
      </c>
      <c r="D3" s="64" t="str">
        <f>C3&amp;" - "&amp;A3</f>
        <v>771 - Introducción a la Programación y Computación 2</v>
      </c>
      <c r="E3" s="61"/>
      <c r="F3" s="65" t="s">
        <v>25</v>
      </c>
    </row>
    <row r="4">
      <c r="A4" s="66" t="s">
        <v>13</v>
      </c>
      <c r="B4" s="67" t="s">
        <v>26</v>
      </c>
      <c r="C4" s="66" t="s">
        <v>27</v>
      </c>
      <c r="D4" s="68" t="s">
        <v>28</v>
      </c>
      <c r="E4" s="68" t="s">
        <v>29</v>
      </c>
      <c r="F4" s="66" t="s">
        <v>30</v>
      </c>
      <c r="G4" s="66" t="s">
        <v>31</v>
      </c>
    </row>
    <row r="5">
      <c r="A5" s="69">
        <f>IFERROR(__xludf.DUMMYFUNCTION("QUERY(IMPORTRANGE(VLOOKUP(D3,MetaData!A:B,2,FALSE), ""Diseño Curricular!A4:G500""), )"),1.0)</f>
        <v>1</v>
      </c>
      <c r="B5" s="61" t="str">
        <f>IFERROR(__xludf.DUMMYFUNCTION("""COMPUTED_VALUE"""),"Aplica estructuras de control y funciones mediante programación básica en Python. para desarrollar algoritmos que resuelvan problemas. ")</f>
        <v>Aplica estructuras de control y funciones mediante programación básica en Python. para desarrollar algoritmos que resuelvan problemas. </v>
      </c>
      <c r="C5" s="70" t="str">
        <f>IFERROR(__xludf.DUMMYFUNCTION("""COMPUTED_VALUE"""),"1. Introducción a Python")</f>
        <v>1. Introducción a Python</v>
      </c>
      <c r="D5" s="61" t="str">
        <f>IFERROR(__xludf.DUMMYFUNCTION("""COMPUTED_VALUE"""),"Introducción y Presentación")</f>
        <v>Introducción y Presentación</v>
      </c>
      <c r="E5" s="61" t="str">
        <f>IFERROR(__xludf.DUMMYFUNCTION("""COMPUTED_VALUE"""),"Instalación de Python 3.X.X")</f>
        <v>Instalación de Python 3.X.X</v>
      </c>
      <c r="F5" s="70" t="str">
        <f>IFERROR(__xludf.DUMMYFUNCTION("""COMPUTED_VALUE"""),"Julio")</f>
        <v>Julio</v>
      </c>
      <c r="G5" s="70">
        <f>IFERROR(__xludf.DUMMYFUNCTION("""COMPUTED_VALUE"""),1.0)</f>
        <v>1</v>
      </c>
    </row>
    <row r="6">
      <c r="A6" s="70">
        <f>IFERROR(__xludf.DUMMYFUNCTION("""COMPUTED_VALUE"""),2.0)</f>
        <v>2</v>
      </c>
      <c r="B6" s="61" t="str">
        <f>IFERROR(__xludf.DUMMYFUNCTION("""COMPUTED_VALUE"""),"Aplica estructuras de control y funciones mediante programación básica en Python. para desarrollar algoritmos que resuelvan problemas. ")</f>
        <v>Aplica estructuras de control y funciones mediante programación básica en Python. para desarrollar algoritmos que resuelvan problemas. </v>
      </c>
      <c r="C6" s="70" t="str">
        <f>IFERROR(__xludf.DUMMYFUNCTION("""COMPUTED_VALUE"""),"1. Introducción a Python")</f>
        <v>1. Introducción a Python</v>
      </c>
      <c r="D6" s="61" t="str">
        <f>IFERROR(__xludf.DUMMYFUNCTION("""COMPUTED_VALUE"""),"Introducción y Presentación")</f>
        <v>Introducción y Presentación</v>
      </c>
      <c r="E6" s="61" t="str">
        <f>IFERROR(__xludf.DUMMYFUNCTION("""COMPUTED_VALUE"""),"Instalación del entorno de desarrollo")</f>
        <v>Instalación del entorno de desarrollo</v>
      </c>
      <c r="F6" s="70" t="str">
        <f>IFERROR(__xludf.DUMMYFUNCTION("""COMPUTED_VALUE"""),"Julio")</f>
        <v>Julio</v>
      </c>
      <c r="G6" s="70">
        <f>IFERROR(__xludf.DUMMYFUNCTION("""COMPUTED_VALUE"""),1.0)</f>
        <v>1</v>
      </c>
    </row>
    <row r="7">
      <c r="A7" s="70">
        <f>IFERROR(__xludf.DUMMYFUNCTION("""COMPUTED_VALUE"""),3.0)</f>
        <v>3</v>
      </c>
      <c r="B7" s="61" t="str">
        <f>IFERROR(__xludf.DUMMYFUNCTION("""COMPUTED_VALUE"""),"Aplica estructuras de control y funciones mediante programación básica en Python. para desarrollar algoritmos que resuelvan problemas. ")</f>
        <v>Aplica estructuras de control y funciones mediante programación básica en Python. para desarrollar algoritmos que resuelvan problemas. </v>
      </c>
      <c r="C7" s="70" t="str">
        <f>IFERROR(__xludf.DUMMYFUNCTION("""COMPUTED_VALUE"""),"1. Introducción a Python")</f>
        <v>1. Introducción a Python</v>
      </c>
      <c r="D7" s="61" t="str">
        <f>IFERROR(__xludf.DUMMYFUNCTION("""COMPUTED_VALUE"""),"Introducción y Presentación")</f>
        <v>Introducción y Presentación</v>
      </c>
      <c r="E7" s="61" t="str">
        <f>IFERROR(__xludf.DUMMYFUNCTION("""COMPUTED_VALUE"""),"Variables, Expresiones y sentencias")</f>
        <v>Variables, Expresiones y sentencias</v>
      </c>
      <c r="F7" s="70" t="str">
        <f>IFERROR(__xludf.DUMMYFUNCTION("""COMPUTED_VALUE"""),"Julio")</f>
        <v>Julio</v>
      </c>
      <c r="G7" s="70">
        <f>IFERROR(__xludf.DUMMYFUNCTION("""COMPUTED_VALUE"""),1.0)</f>
        <v>1</v>
      </c>
    </row>
    <row r="8">
      <c r="A8" s="70">
        <f>IFERROR(__xludf.DUMMYFUNCTION("""COMPUTED_VALUE"""),4.0)</f>
        <v>4</v>
      </c>
      <c r="B8" s="61" t="str">
        <f>IFERROR(__xludf.DUMMYFUNCTION("""COMPUTED_VALUE"""),"Aplica estructuras de control y funciones mediante programación básica en Python. para desarrollar algoritmos que resuelvan problemas. ")</f>
        <v>Aplica estructuras de control y funciones mediante programación básica en Python. para desarrollar algoritmos que resuelvan problemas. </v>
      </c>
      <c r="C8" s="70" t="str">
        <f>IFERROR(__xludf.DUMMYFUNCTION("""COMPUTED_VALUE"""),"1. Introducción a Python")</f>
        <v>1. Introducción a Python</v>
      </c>
      <c r="D8" s="61" t="str">
        <f>IFERROR(__xludf.DUMMYFUNCTION("""COMPUTED_VALUE"""),"Introducción y Presentación")</f>
        <v>Introducción y Presentación</v>
      </c>
      <c r="E8" s="61" t="str">
        <f>IFERROR(__xludf.DUMMYFUNCTION("""COMPUTED_VALUE"""),"Ejecuciones condicionales")</f>
        <v>Ejecuciones condicionales</v>
      </c>
      <c r="F8" s="70" t="str">
        <f>IFERROR(__xludf.DUMMYFUNCTION("""COMPUTED_VALUE"""),"Julio")</f>
        <v>Julio</v>
      </c>
      <c r="G8" s="70">
        <f>IFERROR(__xludf.DUMMYFUNCTION("""COMPUTED_VALUE"""),1.0)</f>
        <v>1</v>
      </c>
    </row>
    <row r="9">
      <c r="A9" s="70">
        <f>IFERROR(__xludf.DUMMYFUNCTION("""COMPUTED_VALUE"""),5.0)</f>
        <v>5</v>
      </c>
      <c r="B9" s="61" t="str">
        <f>IFERROR(__xludf.DUMMYFUNCTION("""COMPUTED_VALUE"""),"Aplica estructuras de control y funciones mediante programación básica en Python. para desarrollar algoritmos que resuelvan problemas. ")</f>
        <v>Aplica estructuras de control y funciones mediante programación básica en Python. para desarrollar algoritmos que resuelvan problemas. </v>
      </c>
      <c r="C9" s="70" t="str">
        <f>IFERROR(__xludf.DUMMYFUNCTION("""COMPUTED_VALUE"""),"1. Introducción a Python")</f>
        <v>1. Introducción a Python</v>
      </c>
      <c r="D9" s="61" t="str">
        <f>IFERROR(__xludf.DUMMYFUNCTION("""COMPUTED_VALUE"""),"Introducción y Presentación")</f>
        <v>Introducción y Presentación</v>
      </c>
      <c r="E9" s="61" t="str">
        <f>IFERROR(__xludf.DUMMYFUNCTION("""COMPUTED_VALUE"""),"Funciones")</f>
        <v>Funciones</v>
      </c>
      <c r="F9" s="70" t="str">
        <f>IFERROR(__xludf.DUMMYFUNCTION("""COMPUTED_VALUE"""),"Julio")</f>
        <v>Julio</v>
      </c>
      <c r="G9" s="70">
        <f>IFERROR(__xludf.DUMMYFUNCTION("""COMPUTED_VALUE"""),1.0)</f>
        <v>1</v>
      </c>
    </row>
    <row r="10">
      <c r="A10" s="70">
        <f>IFERROR(__xludf.DUMMYFUNCTION("""COMPUTED_VALUE"""),6.0)</f>
        <v>6</v>
      </c>
      <c r="B10" s="61" t="str">
        <f>IFERROR(__xludf.DUMMYFUNCTION("""COMPUTED_VALUE"""),"Aplica estructuras de control y funciones mediante programación básica en Python. para desarrollar algoritmos que resuelvan problemas. ")</f>
        <v>Aplica estructuras de control y funciones mediante programación básica en Python. para desarrollar algoritmos que resuelvan problemas. </v>
      </c>
      <c r="C10" s="70" t="str">
        <f>IFERROR(__xludf.DUMMYFUNCTION("""COMPUTED_VALUE"""),"1. Introducción a Python")</f>
        <v>1. Introducción a Python</v>
      </c>
      <c r="D10" s="61" t="str">
        <f>IFERROR(__xludf.DUMMYFUNCTION("""COMPUTED_VALUE"""),"Introducción y Presentación")</f>
        <v>Introducción y Presentación</v>
      </c>
      <c r="E10" s="61" t="str">
        <f>IFERROR(__xludf.DUMMYFUNCTION("""COMPUTED_VALUE"""),"Iteración")</f>
        <v>Iteración</v>
      </c>
      <c r="F10" s="70" t="str">
        <f>IFERROR(__xludf.DUMMYFUNCTION("""COMPUTED_VALUE"""),"Julio")</f>
        <v>Julio</v>
      </c>
      <c r="G10" s="70">
        <f>IFERROR(__xludf.DUMMYFUNCTION("""COMPUTED_VALUE"""),1.0)</f>
        <v>1</v>
      </c>
    </row>
    <row r="11">
      <c r="A11" s="70">
        <f>IFERROR(__xludf.DUMMYFUNCTION("""COMPUTED_VALUE"""),7.0)</f>
        <v>7</v>
      </c>
      <c r="B11" s="61" t="str">
        <f>IFERROR(__xludf.DUMMYFUNCTION("""COMPUTED_VALUE"""),"Aplica estructuras de control y funciones mediante programación básica en Python. para desarrollar algoritmos que resuelvan problemas. ")</f>
        <v>Aplica estructuras de control y funciones mediante programación básica en Python. para desarrollar algoritmos que resuelvan problemas. </v>
      </c>
      <c r="C11" s="70" t="str">
        <f>IFERROR(__xludf.DUMMYFUNCTION("""COMPUTED_VALUE"""),"1. Introducción a Python")</f>
        <v>1. Introducción a Python</v>
      </c>
      <c r="D11" s="61" t="str">
        <f>IFERROR(__xludf.DUMMYFUNCTION("""COMPUTED_VALUE"""),"Introducción y Presentación")</f>
        <v>Introducción y Presentación</v>
      </c>
      <c r="E11" s="61" t="str">
        <f>IFERROR(__xludf.DUMMYFUNCTION("""COMPUTED_VALUE"""),"Strings")</f>
        <v>Strings</v>
      </c>
      <c r="F11" s="70" t="str">
        <f>IFERROR(__xludf.DUMMYFUNCTION("""COMPUTED_VALUE"""),"Julio")</f>
        <v>Julio</v>
      </c>
      <c r="G11" s="70">
        <f>IFERROR(__xludf.DUMMYFUNCTION("""COMPUTED_VALUE"""),1.0)</f>
        <v>1</v>
      </c>
    </row>
    <row r="12">
      <c r="A12" s="70">
        <f>IFERROR(__xludf.DUMMYFUNCTION("""COMPUTED_VALUE"""),8.0)</f>
        <v>8</v>
      </c>
      <c r="B12" s="61" t="str">
        <f>IFERROR(__xludf.DUMMYFUNCTION("""COMPUTED_VALUE"""),"Aplica estructuras de control y funciones mediante programación básica en Python. para desarrollar algoritmos que resuelvan problemas. ")</f>
        <v>Aplica estructuras de control y funciones mediante programación básica en Python. para desarrollar algoritmos que resuelvan problemas. </v>
      </c>
      <c r="C12" s="70" t="str">
        <f>IFERROR(__xludf.DUMMYFUNCTION("""COMPUTED_VALUE"""),"1. Introducción a Python")</f>
        <v>1. Introducción a Python</v>
      </c>
      <c r="D12" s="61" t="str">
        <f>IFERROR(__xludf.DUMMYFUNCTION("""COMPUTED_VALUE"""),"Programación Orientada a Objetos en Python")</f>
        <v>Programación Orientada a Objetos en Python</v>
      </c>
      <c r="E12" s="61" t="str">
        <f>IFERROR(__xludf.DUMMYFUNCTION("""COMPUTED_VALUE"""),"Introducción al paradigma de POO")</f>
        <v>Introducción al paradigma de POO</v>
      </c>
      <c r="F12" s="70" t="str">
        <f>IFERROR(__xludf.DUMMYFUNCTION("""COMPUTED_VALUE"""),"Julio")</f>
        <v>Julio</v>
      </c>
      <c r="G12" s="70">
        <f>IFERROR(__xludf.DUMMYFUNCTION("""COMPUTED_VALUE"""),2.0)</f>
        <v>2</v>
      </c>
    </row>
    <row r="13">
      <c r="A13" s="70">
        <f>IFERROR(__xludf.DUMMYFUNCTION("""COMPUTED_VALUE"""),9.0)</f>
        <v>9</v>
      </c>
      <c r="B13" s="61" t="str">
        <f>IFERROR(__xludf.DUMMYFUNCTION("""COMPUTED_VALUE"""),"Aplica estructuras de control y funciones mediante programación básica en Python. para desarrollar algoritmos que resuelvan problemas. ")</f>
        <v>Aplica estructuras de control y funciones mediante programación básica en Python. para desarrollar algoritmos que resuelvan problemas. </v>
      </c>
      <c r="C13" s="70" t="str">
        <f>IFERROR(__xludf.DUMMYFUNCTION("""COMPUTED_VALUE"""),"1. Introducción a Python")</f>
        <v>1. Introducción a Python</v>
      </c>
      <c r="D13" s="61" t="str">
        <f>IFERROR(__xludf.DUMMYFUNCTION("""COMPUTED_VALUE"""),"Programación Orientada a Objetos en Python")</f>
        <v>Programación Orientada a Objetos en Python</v>
      </c>
      <c r="E13" s="61" t="str">
        <f>IFERROR(__xludf.DUMMYFUNCTION("""COMPUTED_VALUE"""),"Clases y Objetos(Métodos y Atributos)")</f>
        <v>Clases y Objetos(Métodos y Atributos)</v>
      </c>
      <c r="F13" s="70" t="str">
        <f>IFERROR(__xludf.DUMMYFUNCTION("""COMPUTED_VALUE"""),"Julio")</f>
        <v>Julio</v>
      </c>
      <c r="G13" s="70">
        <f>IFERROR(__xludf.DUMMYFUNCTION("""COMPUTED_VALUE"""),2.0)</f>
        <v>2</v>
      </c>
    </row>
    <row r="14">
      <c r="A14" s="70">
        <f>IFERROR(__xludf.DUMMYFUNCTION("""COMPUTED_VALUE"""),10.0)</f>
        <v>10</v>
      </c>
      <c r="B14" s="61" t="str">
        <f>IFERROR(__xludf.DUMMYFUNCTION("""COMPUTED_VALUE"""),"Aplica estructuras de control y funciones mediante programación básica en Python. para desarrollar algoritmos que resuelvan problemas. ")</f>
        <v>Aplica estructuras de control y funciones mediante programación básica en Python. para desarrollar algoritmos que resuelvan problemas. </v>
      </c>
      <c r="C14" s="70" t="str">
        <f>IFERROR(__xludf.DUMMYFUNCTION("""COMPUTED_VALUE"""),"1. Introducción a Python")</f>
        <v>1. Introducción a Python</v>
      </c>
      <c r="D14" s="61" t="str">
        <f>IFERROR(__xludf.DUMMYFUNCTION("""COMPUTED_VALUE"""),"Programación Orientada a Objetos en Python")</f>
        <v>Programación Orientada a Objetos en Python</v>
      </c>
      <c r="E14" s="61" t="str">
        <f>IFERROR(__xludf.DUMMYFUNCTION("""COMPUTED_VALUE"""),"Pilares de la POO (Herencia, Abstracción, Polimosfismo, Encapsulamiento)")</f>
        <v>Pilares de la POO (Herencia, Abstracción, Polimosfismo, Encapsulamiento)</v>
      </c>
      <c r="F14" s="70" t="str">
        <f>IFERROR(__xludf.DUMMYFUNCTION("""COMPUTED_VALUE"""),"Julio")</f>
        <v>Julio</v>
      </c>
      <c r="G14" s="70">
        <f>IFERROR(__xludf.DUMMYFUNCTION("""COMPUTED_VALUE"""),2.0)</f>
        <v>2</v>
      </c>
    </row>
    <row r="15">
      <c r="A15" s="70">
        <f>IFERROR(__xludf.DUMMYFUNCTION("""COMPUTED_VALUE"""),11.0)</f>
        <v>11</v>
      </c>
      <c r="B15" s="61" t="str">
        <f>IFERROR(__xludf.DUMMYFUNCTION("""COMPUTED_VALUE"""),"Aplica técnicas de control de versiones, como Git Flow, branching, merging y versionamiento semántico en GIT para asegurar la calidad del software mediante un historial de cambios estructurado. ")</f>
        <v>Aplica técnicas de control de versiones, como Git Flow, branching, merging y versionamiento semántico en GIT para asegurar la calidad del software mediante un historial de cambios estructurado. </v>
      </c>
      <c r="C15" s="70" t="str">
        <f>IFERROR(__xludf.DUMMYFUNCTION("""COMPUTED_VALUE"""),"2. Manejo de versiones")</f>
        <v>2. Manejo de versiones</v>
      </c>
      <c r="D15" s="61" t="str">
        <f>IFERROR(__xludf.DUMMYFUNCTION("""COMPUTED_VALUE"""),"Git Workflow")</f>
        <v>Git Workflow</v>
      </c>
      <c r="E15" s="61" t="str">
        <f>IFERROR(__xludf.DUMMYFUNCTION("""COMPUTED_VALUE"""),"Introducción a GIT y Control de versiones")</f>
        <v>Introducción a GIT y Control de versiones</v>
      </c>
      <c r="F15" s="70" t="str">
        <f>IFERROR(__xludf.DUMMYFUNCTION("""COMPUTED_VALUE"""),"Agosto")</f>
        <v>Agosto</v>
      </c>
      <c r="G15" s="70">
        <f>IFERROR(__xludf.DUMMYFUNCTION("""COMPUTED_VALUE"""),2.0)</f>
        <v>2</v>
      </c>
    </row>
    <row r="16">
      <c r="A16" s="70">
        <f>IFERROR(__xludf.DUMMYFUNCTION("""COMPUTED_VALUE"""),12.0)</f>
        <v>12</v>
      </c>
      <c r="B16" s="61" t="str">
        <f>IFERROR(__xludf.DUMMYFUNCTION("""COMPUTED_VALUE"""),"Aplica técnicas de control de versiones, como Git Flow, branching, merging y versionamiento semántico en GIT para asegurar la calidad del software mediante un historial de cambios estructurado. ")</f>
        <v>Aplica técnicas de control de versiones, como Git Flow, branching, merging y versionamiento semántico en GIT para asegurar la calidad del software mediante un historial de cambios estructurado. </v>
      </c>
      <c r="C16" s="70" t="str">
        <f>IFERROR(__xludf.DUMMYFUNCTION("""COMPUTED_VALUE"""),"2. Manejo de versiones")</f>
        <v>2. Manejo de versiones</v>
      </c>
      <c r="D16" s="61" t="str">
        <f>IFERROR(__xludf.DUMMYFUNCTION("""COMPUTED_VALUE"""),"Git Workflow")</f>
        <v>Git Workflow</v>
      </c>
      <c r="E16" s="61" t="str">
        <f>IFERROR(__xludf.DUMMYFUNCTION("""COMPUTED_VALUE"""),"Fundamentos de control de versiones con Git y su Configuracion Inicial para el versionamiento de proyectos")</f>
        <v>Fundamentos de control de versiones con Git y su Configuracion Inicial para el versionamiento de proyectos</v>
      </c>
      <c r="F16" s="70" t="str">
        <f>IFERROR(__xludf.DUMMYFUNCTION("""COMPUTED_VALUE"""),"Agosto")</f>
        <v>Agosto</v>
      </c>
      <c r="G16" s="70">
        <f>IFERROR(__xludf.DUMMYFUNCTION("""COMPUTED_VALUE"""),2.0)</f>
        <v>2</v>
      </c>
    </row>
    <row r="17">
      <c r="A17" s="70">
        <f>IFERROR(__xludf.DUMMYFUNCTION("""COMPUTED_VALUE"""),13.0)</f>
        <v>13</v>
      </c>
      <c r="B17" s="61" t="str">
        <f>IFERROR(__xludf.DUMMYFUNCTION("""COMPUTED_VALUE"""),"Aplica técnicas de control de versiones, como Git Flow, branching, merging y versionamiento semántico en GIT para asegurar la calidad del software mediante un historial de cambios estructurado. ")</f>
        <v>Aplica técnicas de control de versiones, como Git Flow, branching, merging y versionamiento semántico en GIT para asegurar la calidad del software mediante un historial de cambios estructurado. </v>
      </c>
      <c r="C17" s="70" t="str">
        <f>IFERROR(__xludf.DUMMYFUNCTION("""COMPUTED_VALUE"""),"2. Manejo de versiones")</f>
        <v>2. Manejo de versiones</v>
      </c>
      <c r="D17" s="61" t="str">
        <f>IFERROR(__xludf.DUMMYFUNCTION("""COMPUTED_VALUE"""),"Git Workflow")</f>
        <v>Git Workflow</v>
      </c>
      <c r="E17" s="61" t="str">
        <f>IFERROR(__xludf.DUMMYFUNCTION("""COMPUTED_VALUE"""),"Git Flow: Implementación de Troncales y Ramas")</f>
        <v>Git Flow: Implementación de Troncales y Ramas</v>
      </c>
      <c r="F17" s="70" t="str">
        <f>IFERROR(__xludf.DUMMYFUNCTION("""COMPUTED_VALUE"""),"Agosto")</f>
        <v>Agosto</v>
      </c>
      <c r="G17" s="70">
        <f>IFERROR(__xludf.DUMMYFUNCTION("""COMPUTED_VALUE"""),2.0)</f>
        <v>2</v>
      </c>
    </row>
    <row r="18">
      <c r="A18" s="70">
        <f>IFERROR(__xludf.DUMMYFUNCTION("""COMPUTED_VALUE"""),14.0)</f>
        <v>14</v>
      </c>
      <c r="B18" s="61" t="str">
        <f>IFERROR(__xludf.DUMMYFUNCTION("""COMPUTED_VALUE"""),"Aplica técnicas de control de versiones, como Git Flow, branching, merging y versionamiento semántico en GIT para asegurar la calidad del software mediante un historial de cambios estructurado. ")</f>
        <v>Aplica técnicas de control de versiones, como Git Flow, branching, merging y versionamiento semántico en GIT para asegurar la calidad del software mediante un historial de cambios estructurado. </v>
      </c>
      <c r="C18" s="70" t="str">
        <f>IFERROR(__xludf.DUMMYFUNCTION("""COMPUTED_VALUE"""),"2. Manejo de versiones")</f>
        <v>2. Manejo de versiones</v>
      </c>
      <c r="D18" s="61" t="str">
        <f>IFERROR(__xludf.DUMMYFUNCTION("""COMPUTED_VALUE"""),"Git Workflow")</f>
        <v>Git Workflow</v>
      </c>
      <c r="E18" s="61" t="str">
        <f>IFERROR(__xludf.DUMMYFUNCTION("""COMPUTED_VALUE"""),"Branching, Merging y Utilización de Etiquetas (Tags) en Git")</f>
        <v>Branching, Merging y Utilización de Etiquetas (Tags) en Git</v>
      </c>
      <c r="F18" s="70" t="str">
        <f>IFERROR(__xludf.DUMMYFUNCTION("""COMPUTED_VALUE"""),"Agosto")</f>
        <v>Agosto</v>
      </c>
      <c r="G18" s="70">
        <f>IFERROR(__xludf.DUMMYFUNCTION("""COMPUTED_VALUE"""),2.0)</f>
        <v>2</v>
      </c>
    </row>
    <row r="19">
      <c r="A19" s="70">
        <f>IFERROR(__xludf.DUMMYFUNCTION("""COMPUTED_VALUE"""),15.0)</f>
        <v>15</v>
      </c>
      <c r="B19" s="61" t="str">
        <f>IFERROR(__xludf.DUMMYFUNCTION("""COMPUTED_VALUE"""),"Analiza actividades en archivos XML utilizando técnicas de lectura estructurada para identificar y extraer información relevante.  ")</f>
        <v>Analiza actividades en archivos XML utilizando técnicas de lectura estructurada para identificar y extraer información relevante.  </v>
      </c>
      <c r="C19" s="70" t="str">
        <f>IFERROR(__xludf.DUMMYFUNCTION("""COMPUTED_VALUE"""),"3. Procesamiento de datos XML")</f>
        <v>3. Procesamiento de datos XML</v>
      </c>
      <c r="D19" s="61" t="str">
        <f>IFERROR(__xludf.DUMMYFUNCTION("""COMPUTED_VALUE"""),"Lectura de actividades y XML")</f>
        <v>Lectura de actividades y XML</v>
      </c>
      <c r="E19" s="61" t="str">
        <f>IFERROR(__xludf.DUMMYFUNCTION("""COMPUTED_VALUE"""),"Introducción a bases de XML")</f>
        <v>Introducción a bases de XML</v>
      </c>
      <c r="F19" s="70" t="str">
        <f>IFERROR(__xludf.DUMMYFUNCTION("""COMPUTED_VALUE"""),"Agosto")</f>
        <v>Agosto</v>
      </c>
      <c r="G19" s="70">
        <f>IFERROR(__xludf.DUMMYFUNCTION("""COMPUTED_VALUE"""),3.0)</f>
        <v>3</v>
      </c>
    </row>
    <row r="20">
      <c r="A20" s="70">
        <f>IFERROR(__xludf.DUMMYFUNCTION("""COMPUTED_VALUE"""),16.0)</f>
        <v>16</v>
      </c>
      <c r="B20" s="61" t="str">
        <f>IFERROR(__xludf.DUMMYFUNCTION("""COMPUTED_VALUE"""),"Analiza actividades en archivos XML utilizando técnicas de lectura estructurada para identificar y extraer información relevante.  ")</f>
        <v>Analiza actividades en archivos XML utilizando técnicas de lectura estructurada para identificar y extraer información relevante.  </v>
      </c>
      <c r="C20" s="70" t="str">
        <f>IFERROR(__xludf.DUMMYFUNCTION("""COMPUTED_VALUE"""),"3. Procesamiento de datos XML")</f>
        <v>3. Procesamiento de datos XML</v>
      </c>
      <c r="D20" s="61" t="str">
        <f>IFERROR(__xludf.DUMMYFUNCTION("""COMPUTED_VALUE"""),"Lectura de actividades y XML")</f>
        <v>Lectura de actividades y XML</v>
      </c>
      <c r="E20" s="61" t="str">
        <f>IFERROR(__xludf.DUMMYFUNCTION("""COMPUTED_VALUE"""),"Procesamiento de datos con libreria DOM")</f>
        <v>Procesamiento de datos con libreria DOM</v>
      </c>
      <c r="F20" s="70" t="str">
        <f>IFERROR(__xludf.DUMMYFUNCTION("""COMPUTED_VALUE"""),"Agosto")</f>
        <v>Agosto</v>
      </c>
      <c r="G20" s="70">
        <f>IFERROR(__xludf.DUMMYFUNCTION("""COMPUTED_VALUE"""),3.0)</f>
        <v>3</v>
      </c>
    </row>
    <row r="21">
      <c r="A21" s="70">
        <f>IFERROR(__xludf.DUMMYFUNCTION("""COMPUTED_VALUE"""),17.0)</f>
        <v>17</v>
      </c>
      <c r="B21" s="61" t="str">
        <f>IFERROR(__xludf.DUMMYFUNCTION("""COMPUTED_VALUE"""),"Analiza actividades en archivos XML utilizando técnicas de lectura estructurada para identificar y extraer información relevante.  ")</f>
        <v>Analiza actividades en archivos XML utilizando técnicas de lectura estructurada para identificar y extraer información relevante.  </v>
      </c>
      <c r="C21" s="70" t="str">
        <f>IFERROR(__xludf.DUMMYFUNCTION("""COMPUTED_VALUE"""),"3. Procesamiento de datos XML")</f>
        <v>3. Procesamiento de datos XML</v>
      </c>
      <c r="D21" s="61" t="str">
        <f>IFERROR(__xludf.DUMMYFUNCTION("""COMPUTED_VALUE"""),"Lectura de actividades y XML")</f>
        <v>Lectura de actividades y XML</v>
      </c>
      <c r="E21" s="61" t="str">
        <f>IFERROR(__xludf.DUMMYFUNCTION("""COMPUTED_VALUE"""),"Procesamiento de datos con libreria ElemntTree")</f>
        <v>Procesamiento de datos con libreria ElemntTree</v>
      </c>
      <c r="F21" s="70" t="str">
        <f>IFERROR(__xludf.DUMMYFUNCTION("""COMPUTED_VALUE"""),"Agosto")</f>
        <v>Agosto</v>
      </c>
      <c r="G21" s="70">
        <f>IFERROR(__xludf.DUMMYFUNCTION("""COMPUTED_VALUE"""),3.0)</f>
        <v>3</v>
      </c>
    </row>
    <row r="22">
      <c r="A22" s="70">
        <f>IFERROR(__xludf.DUMMYFUNCTION("""COMPUTED_VALUE"""),18.0)</f>
        <v>18</v>
      </c>
      <c r="B22" s="61" t="str">
        <f>IFERROR(__xludf.DUMMYFUNCTION("""COMPUTED_VALUE"""),"Analiza actividades en archivos XML utilizando técnicas de lectura estructurada para identificar y extraer información relevante.  ")</f>
        <v>Analiza actividades en archivos XML utilizando técnicas de lectura estructurada para identificar y extraer información relevante.  </v>
      </c>
      <c r="C22" s="70" t="str">
        <f>IFERROR(__xludf.DUMMYFUNCTION("""COMPUTED_VALUE"""),"3. Procesamiento de datos XML")</f>
        <v>3. Procesamiento de datos XML</v>
      </c>
      <c r="D22" s="61" t="str">
        <f>IFERROR(__xludf.DUMMYFUNCTION("""COMPUTED_VALUE"""),"Lectura de actividades y XML")</f>
        <v>Lectura de actividades y XML</v>
      </c>
      <c r="E22" s="61" t="str">
        <f>IFERROR(__xludf.DUMMYFUNCTION("""COMPUTED_VALUE"""),"Introduccion Xpath")</f>
        <v>Introduccion Xpath</v>
      </c>
      <c r="F22" s="70" t="str">
        <f>IFERROR(__xludf.DUMMYFUNCTION("""COMPUTED_VALUE"""),"Agosto")</f>
        <v>Agosto</v>
      </c>
      <c r="G22" s="70">
        <f>IFERROR(__xludf.DUMMYFUNCTION("""COMPUTED_VALUE"""),3.0)</f>
        <v>3</v>
      </c>
    </row>
    <row r="23">
      <c r="A23" s="70">
        <f>IFERROR(__xludf.DUMMYFUNCTION("""COMPUTED_VALUE"""),19.0)</f>
        <v>19</v>
      </c>
      <c r="B23" s="61" t="str">
        <f>IFERROR(__xludf.DUMMYFUNCTION("""COMPUTED_VALUE"""),"Analiza actividades en archivos XML utilizando técnicas de lectura estructurada para identificar y extraer información relevante.  ")</f>
        <v>Analiza actividades en archivos XML utilizando técnicas de lectura estructurada para identificar y extraer información relevante.  </v>
      </c>
      <c r="C23" s="70" t="str">
        <f>IFERROR(__xludf.DUMMYFUNCTION("""COMPUTED_VALUE"""),"3. Procesamiento de datos XML")</f>
        <v>3. Procesamiento de datos XML</v>
      </c>
      <c r="D23" s="61" t="str">
        <f>IFERROR(__xludf.DUMMYFUNCTION("""COMPUTED_VALUE"""),"Lectura de actividades y XML")</f>
        <v>Lectura de actividades y XML</v>
      </c>
      <c r="E23" s="61" t="str">
        <f>IFERROR(__xludf.DUMMYFUNCTION("""COMPUTED_VALUE"""),"Procesamiento de datos con libreria Xpath")</f>
        <v>Procesamiento de datos con libreria Xpath</v>
      </c>
      <c r="F23" s="70" t="str">
        <f>IFERROR(__xludf.DUMMYFUNCTION("""COMPUTED_VALUE"""),"Agosto")</f>
        <v>Agosto</v>
      </c>
      <c r="G23" s="70">
        <f>IFERROR(__xludf.DUMMYFUNCTION("""COMPUTED_VALUE"""),3.0)</f>
        <v>3</v>
      </c>
    </row>
    <row r="24">
      <c r="A24" s="70">
        <f>IFERROR(__xludf.DUMMYFUNCTION("""COMPUTED_VALUE"""),20.0)</f>
        <v>20</v>
      </c>
      <c r="B24" s="61" t="str">
        <f>IFERROR(__xludf.DUMMYFUNCTION("""COMPUTED_VALUE"""),"Analiza actividades en archivos XML utilizando técnicas de lectura estructurada para identificar y extraer información relevante.  ")</f>
        <v>Analiza actividades en archivos XML utilizando técnicas de lectura estructurada para identificar y extraer información relevante.  </v>
      </c>
      <c r="C24" s="70" t="str">
        <f>IFERROR(__xludf.DUMMYFUNCTION("""COMPUTED_VALUE"""),"3. Procesamiento de datos XML")</f>
        <v>3. Procesamiento de datos XML</v>
      </c>
      <c r="D24" s="61" t="str">
        <f>IFERROR(__xludf.DUMMYFUNCTION("""COMPUTED_VALUE"""),"Lectura de actividades y XML")</f>
        <v>Lectura de actividades y XML</v>
      </c>
      <c r="E24" s="61" t="str">
        <f>IFERROR(__xludf.DUMMYFUNCTION("""COMPUTED_VALUE"""),"Lectura XML")</f>
        <v>Lectura XML</v>
      </c>
      <c r="F24" s="70" t="str">
        <f>IFERROR(__xludf.DUMMYFUNCTION("""COMPUTED_VALUE"""),"Agosto")</f>
        <v>Agosto</v>
      </c>
      <c r="G24" s="70">
        <f>IFERROR(__xludf.DUMMYFUNCTION("""COMPUTED_VALUE"""),3.0)</f>
        <v>3</v>
      </c>
    </row>
    <row r="25">
      <c r="A25" s="70">
        <f>IFERROR(__xludf.DUMMYFUNCTION("""COMPUTED_VALUE"""),21.0)</f>
        <v>21</v>
      </c>
      <c r="B25" s="61" t="str">
        <f>IFERROR(__xludf.DUMMYFUNCTION("""COMPUTED_VALUE"""),"Analiza actividades en archivos XML utilizando técnicas de lectura estructurada para identificar y extraer información relevante.  ")</f>
        <v>Analiza actividades en archivos XML utilizando técnicas de lectura estructurada para identificar y extraer información relevante.  </v>
      </c>
      <c r="C25" s="70" t="str">
        <f>IFERROR(__xludf.DUMMYFUNCTION("""COMPUTED_VALUE"""),"3. Procesamiento de datos XML")</f>
        <v>3. Procesamiento de datos XML</v>
      </c>
      <c r="D25" s="61" t="str">
        <f>IFERROR(__xludf.DUMMYFUNCTION("""COMPUTED_VALUE"""),"Lectura de actividades y XML")</f>
        <v>Lectura de actividades y XML</v>
      </c>
      <c r="E25" s="61" t="str">
        <f>IFERROR(__xludf.DUMMYFUNCTION("""COMPUTED_VALUE"""),"Escritura XML")</f>
        <v>Escritura XML</v>
      </c>
      <c r="F25" s="70" t="str">
        <f>IFERROR(__xludf.DUMMYFUNCTION("""COMPUTED_VALUE"""),"Agosto")</f>
        <v>Agosto</v>
      </c>
      <c r="G25" s="70">
        <f>IFERROR(__xludf.DUMMYFUNCTION("""COMPUTED_VALUE"""),3.0)</f>
        <v>3</v>
      </c>
    </row>
    <row r="26">
      <c r="A26" s="70">
        <f>IFERROR(__xludf.DUMMYFUNCTION("""COMPUTED_VALUE"""),22.0)</f>
        <v>22</v>
      </c>
      <c r="B26" s="61" t="str">
        <f>IFERROR(__xludf.DUMMYFUNCTION("""COMPUTED_VALUE"""),"Aplica tuplas, listas, diccionarios nativos de Python en programas funcionales para almacenar y manipular conjunto de datos ")</f>
        <v>Aplica tuplas, listas, diccionarios nativos de Python en programas funcionales para almacenar y manipular conjunto de datos </v>
      </c>
      <c r="C26" s="70" t="str">
        <f>IFERROR(__xludf.DUMMYFUNCTION("""COMPUTED_VALUE"""),"4. Estructuras de Datos")</f>
        <v>4. Estructuras de Datos</v>
      </c>
      <c r="D26" s="61" t="str">
        <f>IFERROR(__xludf.DUMMYFUNCTION("""COMPUTED_VALUE"""),"Tuplas, Listas y Diccionarios Nativos de Python")</f>
        <v>Tuplas, Listas y Diccionarios Nativos de Python</v>
      </c>
      <c r="E26" s="61" t="str">
        <f>IFERROR(__xludf.DUMMYFUNCTION("""COMPUTED_VALUE"""),"Introduccion estructuras de datos")</f>
        <v>Introduccion estructuras de datos</v>
      </c>
      <c r="F26" s="70" t="str">
        <f>IFERROR(__xludf.DUMMYFUNCTION("""COMPUTED_VALUE"""),"Agosto")</f>
        <v>Agosto</v>
      </c>
      <c r="G26" s="70">
        <f>IFERROR(__xludf.DUMMYFUNCTION("""COMPUTED_VALUE"""),4.0)</f>
        <v>4</v>
      </c>
    </row>
    <row r="27">
      <c r="A27" s="70">
        <f>IFERROR(__xludf.DUMMYFUNCTION("""COMPUTED_VALUE"""),23.0)</f>
        <v>23</v>
      </c>
      <c r="B27" s="61" t="str">
        <f>IFERROR(__xludf.DUMMYFUNCTION("""COMPUTED_VALUE"""),"Aplica tuplas, listas, diccionarios nativos de Python en programas funcionales para almacenar y manipular conjunto de datos ")</f>
        <v>Aplica tuplas, listas, diccionarios nativos de Python en programas funcionales para almacenar y manipular conjunto de datos </v>
      </c>
      <c r="C27" s="70" t="str">
        <f>IFERROR(__xludf.DUMMYFUNCTION("""COMPUTED_VALUE"""),"4. Estructuras de Datos")</f>
        <v>4. Estructuras de Datos</v>
      </c>
      <c r="D27" s="61" t="str">
        <f>IFERROR(__xludf.DUMMYFUNCTION("""COMPUTED_VALUE"""),"Tuplas, Listas y Diccionarios Nativos de Python ")</f>
        <v>Tuplas, Listas y Diccionarios Nativos de Python </v>
      </c>
      <c r="E27" s="61" t="str">
        <f>IFERROR(__xludf.DUMMYFUNCTION("""COMPUTED_VALUE"""),"Listas nativas de python")</f>
        <v>Listas nativas de python</v>
      </c>
      <c r="F27" s="70" t="str">
        <f>IFERROR(__xludf.DUMMYFUNCTION("""COMPUTED_VALUE"""),"Agosto")</f>
        <v>Agosto</v>
      </c>
      <c r="G27" s="70">
        <f>IFERROR(__xludf.DUMMYFUNCTION("""COMPUTED_VALUE"""),4.0)</f>
        <v>4</v>
      </c>
    </row>
    <row r="28">
      <c r="A28" s="70">
        <f>IFERROR(__xludf.DUMMYFUNCTION("""COMPUTED_VALUE"""),24.0)</f>
        <v>24</v>
      </c>
      <c r="B28" s="61" t="str">
        <f>IFERROR(__xludf.DUMMYFUNCTION("""COMPUTED_VALUE"""),"Aplica tuplas, listas, diccionarios nativos de Python en programas funcionales para almacenar y manipular conjunto de datos ")</f>
        <v>Aplica tuplas, listas, diccionarios nativos de Python en programas funcionales para almacenar y manipular conjunto de datos </v>
      </c>
      <c r="C28" s="70" t="str">
        <f>IFERROR(__xludf.DUMMYFUNCTION("""COMPUTED_VALUE"""),"4. Estructuras de Datos")</f>
        <v>4. Estructuras de Datos</v>
      </c>
      <c r="D28" s="61" t="str">
        <f>IFERROR(__xludf.DUMMYFUNCTION("""COMPUTED_VALUE"""),"Tuplas, Listas y Diccionarios Nativos de Python ")</f>
        <v>Tuplas, Listas y Diccionarios Nativos de Python </v>
      </c>
      <c r="E28" s="61" t="str">
        <f>IFERROR(__xludf.DUMMYFUNCTION("""COMPUTED_VALUE"""),"Ficheros")</f>
        <v>Ficheros</v>
      </c>
      <c r="F28" s="70" t="str">
        <f>IFERROR(__xludf.DUMMYFUNCTION("""COMPUTED_VALUE"""),"Agosto")</f>
        <v>Agosto</v>
      </c>
      <c r="G28" s="70">
        <f>IFERROR(__xludf.DUMMYFUNCTION("""COMPUTED_VALUE"""),4.0)</f>
        <v>4</v>
      </c>
    </row>
    <row r="29">
      <c r="A29" s="70">
        <f>IFERROR(__xludf.DUMMYFUNCTION("""COMPUTED_VALUE"""),25.0)</f>
        <v>25</v>
      </c>
      <c r="B29" s="61" t="str">
        <f>IFERROR(__xludf.DUMMYFUNCTION("""COMPUTED_VALUE"""),"Aplica tuplas, listas, diccionarios nativos de Python en programas funcionales para almacenar y manipular conjunto de datos ")</f>
        <v>Aplica tuplas, listas, diccionarios nativos de Python en programas funcionales para almacenar y manipular conjunto de datos </v>
      </c>
      <c r="C29" s="70" t="str">
        <f>IFERROR(__xludf.DUMMYFUNCTION("""COMPUTED_VALUE"""),"4. Estructuras de Datos")</f>
        <v>4. Estructuras de Datos</v>
      </c>
      <c r="D29" s="61" t="str">
        <f>IFERROR(__xludf.DUMMYFUNCTION("""COMPUTED_VALUE"""),"Tuplas, Listas y Diccionarios Nativos de Python")</f>
        <v>Tuplas, Listas y Diccionarios Nativos de Python</v>
      </c>
      <c r="E29" s="61" t="str">
        <f>IFERROR(__xludf.DUMMYFUNCTION("""COMPUTED_VALUE"""),"Diccionarios")</f>
        <v>Diccionarios</v>
      </c>
      <c r="F29" s="70" t="str">
        <f>IFERROR(__xludf.DUMMYFUNCTION("""COMPUTED_VALUE"""),"Agosto")</f>
        <v>Agosto</v>
      </c>
      <c r="G29" s="70">
        <f>IFERROR(__xludf.DUMMYFUNCTION("""COMPUTED_VALUE"""),4.0)</f>
        <v>4</v>
      </c>
    </row>
    <row r="30">
      <c r="A30" s="70">
        <f>IFERROR(__xludf.DUMMYFUNCTION("""COMPUTED_VALUE"""),26.0)</f>
        <v>26</v>
      </c>
      <c r="B30" s="61" t="str">
        <f>IFERROR(__xludf.DUMMYFUNCTION("""COMPUTED_VALUE"""),"Aplica tuplas, listas, diccionarios nativos de Python en programas funcionales para almacenar y manipular conjunto de datos ")</f>
        <v>Aplica tuplas, listas, diccionarios nativos de Python en programas funcionales para almacenar y manipular conjunto de datos </v>
      </c>
      <c r="C30" s="70" t="str">
        <f>IFERROR(__xludf.DUMMYFUNCTION("""COMPUTED_VALUE"""),"4. Estructuras de Datos")</f>
        <v>4. Estructuras de Datos</v>
      </c>
      <c r="D30" s="61" t="str">
        <f>IFERROR(__xludf.DUMMYFUNCTION("""COMPUTED_VALUE"""),"Tuplas, Listas y Diccionarios Nativos de Python")</f>
        <v>Tuplas, Listas y Diccionarios Nativos de Python</v>
      </c>
      <c r="E30" s="61" t="str">
        <f>IFERROR(__xludf.DUMMYFUNCTION("""COMPUTED_VALUE"""),"Tuplas")</f>
        <v>Tuplas</v>
      </c>
      <c r="F30" s="70" t="str">
        <f>IFERROR(__xludf.DUMMYFUNCTION("""COMPUTED_VALUE"""),"Agosto")</f>
        <v>Agosto</v>
      </c>
      <c r="G30" s="70">
        <f>IFERROR(__xludf.DUMMYFUNCTION("""COMPUTED_VALUE"""),4.0)</f>
        <v>4</v>
      </c>
    </row>
    <row r="31">
      <c r="A31" s="70">
        <f>IFERROR(__xludf.DUMMYFUNCTION("""COMPUTED_VALUE"""),27.0)</f>
        <v>27</v>
      </c>
      <c r="B31" s="61" t="str">
        <f>IFERROR(__xludf.DUMMYFUNCTION("""COMPUTED_VALUE"""),"Aplica tuplas, listas, diccionarios nativos de Python en programas funcionales para almacenar y manipular conjunto de datos ")</f>
        <v>Aplica tuplas, listas, diccionarios nativos de Python en programas funcionales para almacenar y manipular conjunto de datos </v>
      </c>
      <c r="C31" s="70" t="str">
        <f>IFERROR(__xludf.DUMMYFUNCTION("""COMPUTED_VALUE"""),"4. Estructuras de Datos")</f>
        <v>4. Estructuras de Datos</v>
      </c>
      <c r="D31" s="61" t="str">
        <f>IFERROR(__xludf.DUMMYFUNCTION("""COMPUTED_VALUE"""),"Tuplas, Listas y Diccionarios Nativos de Python ")</f>
        <v>Tuplas, Listas y Diccionarios Nativos de Python </v>
      </c>
      <c r="E31" s="61" t="str">
        <f>IFERROR(__xludf.DUMMYFUNCTION("""COMPUTED_VALUE"""),"Expresiones regulares")</f>
        <v>Expresiones regulares</v>
      </c>
      <c r="F31" s="70" t="str">
        <f>IFERROR(__xludf.DUMMYFUNCTION("""COMPUTED_VALUE"""),"Agosto")</f>
        <v>Agosto</v>
      </c>
      <c r="G31" s="70">
        <f>IFERROR(__xludf.DUMMYFUNCTION("""COMPUTED_VALUE"""),4.0)</f>
        <v>4</v>
      </c>
    </row>
    <row r="32">
      <c r="A32" s="70">
        <f>IFERROR(__xludf.DUMMYFUNCTION("""COMPUTED_VALUE"""),28.0)</f>
        <v>28</v>
      </c>
      <c r="B32" s="61" t="str">
        <f>IFERROR(__xludf.DUMMYFUNCTION("""COMPUTED_VALUE"""),"Crea estructuras de datos dinámicas (listas enlazadas, doblemente enlazadas y circulares) mediante POO en Python e integrado datos desde archivos XML para implementar sistemas de gestión de datos eficientes que manejen relaciones complejas ")</f>
        <v>Crea estructuras de datos dinámicas (listas enlazadas, doblemente enlazadas y circulares) mediante POO en Python e integrado datos desde archivos XML para implementar sistemas de gestión de datos eficientes que manejen relaciones complejas </v>
      </c>
      <c r="C32" s="70" t="str">
        <f>IFERROR(__xludf.DUMMYFUNCTION("""COMPUTED_VALUE"""),"4. Estructuras de Datos")</f>
        <v>4. Estructuras de Datos</v>
      </c>
      <c r="D32" s="61" t="str">
        <f>IFERROR(__xludf.DUMMYFUNCTION("""COMPUTED_VALUE"""),"Tuplas, Listas y Diccionarios Nativos de Python ")</f>
        <v>Tuplas, Listas y Diccionarios Nativos de Python </v>
      </c>
      <c r="E32" s="61" t="str">
        <f>IFERROR(__xludf.DUMMYFUNCTION("""COMPUTED_VALUE"""),"Introducción a  TDA's")</f>
        <v>Introducción a  TDA's</v>
      </c>
      <c r="F32" s="70" t="str">
        <f>IFERROR(__xludf.DUMMYFUNCTION("""COMPUTED_VALUE"""),"Agosto")</f>
        <v>Agosto</v>
      </c>
      <c r="G32" s="70">
        <f>IFERROR(__xludf.DUMMYFUNCTION("""COMPUTED_VALUE"""),4.0)</f>
        <v>4</v>
      </c>
    </row>
    <row r="33">
      <c r="A33" s="70">
        <f>IFERROR(__xludf.DUMMYFUNCTION("""COMPUTED_VALUE"""),29.0)</f>
        <v>29</v>
      </c>
      <c r="B33" s="61" t="str">
        <f>IFERROR(__xludf.DUMMYFUNCTION("""COMPUTED_VALUE"""),"Crea estructuras de datos dinámicas (listas enlazadas, doblemente enlazadas y circulares) mediante POO en Python e integrado datos desde archivos XML para implementar sistemas de gestión de datos eficientes que manejen relaciones complejas ")</f>
        <v>Crea estructuras de datos dinámicas (listas enlazadas, doblemente enlazadas y circulares) mediante POO en Python e integrado datos desde archivos XML para implementar sistemas de gestión de datos eficientes que manejen relaciones complejas </v>
      </c>
      <c r="C33" s="70" t="str">
        <f>IFERROR(__xludf.DUMMYFUNCTION("""COMPUTED_VALUE"""),"4. Estructuras de Datos")</f>
        <v>4. Estructuras de Datos</v>
      </c>
      <c r="D33" s="61" t="str">
        <f>IFERROR(__xludf.DUMMYFUNCTION("""COMPUTED_VALUE"""),"TDA ")</f>
        <v>TDA </v>
      </c>
      <c r="E33" s="61" t="str">
        <f>IFERROR(__xludf.DUMMYFUNCTION("""COMPUTED_VALUE"""),"Concepto Lista enlazada simple")</f>
        <v>Concepto Lista enlazada simple</v>
      </c>
      <c r="F33" s="70" t="str">
        <f>IFERROR(__xludf.DUMMYFUNCTION("""COMPUTED_VALUE"""),"Agosto")</f>
        <v>Agosto</v>
      </c>
      <c r="G33" s="70">
        <f>IFERROR(__xludf.DUMMYFUNCTION("""COMPUTED_VALUE"""),5.0)</f>
        <v>5</v>
      </c>
    </row>
    <row r="34">
      <c r="A34" s="70">
        <f>IFERROR(__xludf.DUMMYFUNCTION("""COMPUTED_VALUE"""),30.0)</f>
        <v>30</v>
      </c>
      <c r="B34" s="61" t="str">
        <f>IFERROR(__xludf.DUMMYFUNCTION("""COMPUTED_VALUE"""),"Crea estructuras de datos dinámicas (listas enlazadas, doblemente enlazadas y circulares) mediante POO en Python e integrado datos desde archivos XML para implementar sistemas de gestión de datos eficientes que manejen relaciones complejas ")</f>
        <v>Crea estructuras de datos dinámicas (listas enlazadas, doblemente enlazadas y circulares) mediante POO en Python e integrado datos desde archivos XML para implementar sistemas de gestión de datos eficientes que manejen relaciones complejas </v>
      </c>
      <c r="C34" s="70" t="str">
        <f>IFERROR(__xludf.DUMMYFUNCTION("""COMPUTED_VALUE"""),"4. Estructuras de Datos")</f>
        <v>4. Estructuras de Datos</v>
      </c>
      <c r="D34" s="61" t="str">
        <f>IFERROR(__xludf.DUMMYFUNCTION("""COMPUTED_VALUE"""),"TDA ")</f>
        <v>TDA </v>
      </c>
      <c r="E34" s="61" t="str">
        <f>IFERROR(__xludf.DUMMYFUNCTION("""COMPUTED_VALUE"""),"Operaciones en lista enlazada simple")</f>
        <v>Operaciones en lista enlazada simple</v>
      </c>
      <c r="F34" s="70" t="str">
        <f>IFERROR(__xludf.DUMMYFUNCTION("""COMPUTED_VALUE"""),"Agosto")</f>
        <v>Agosto</v>
      </c>
      <c r="G34" s="70">
        <f>IFERROR(__xludf.DUMMYFUNCTION("""COMPUTED_VALUE"""),5.0)</f>
        <v>5</v>
      </c>
    </row>
    <row r="35">
      <c r="A35" s="70">
        <f>IFERROR(__xludf.DUMMYFUNCTION("""COMPUTED_VALUE"""),31.0)</f>
        <v>31</v>
      </c>
      <c r="B35" s="61" t="str">
        <f>IFERROR(__xludf.DUMMYFUNCTION("""COMPUTED_VALUE"""),"Crea estructuras de datos dinámicas (listas enlazadas, doblemente enlazadas y circulares) mediante POO en Python e integrado datos desde archivos XML para implementar sistemas de gestión de datos eficientes que manejen relaciones complejas ")</f>
        <v>Crea estructuras de datos dinámicas (listas enlazadas, doblemente enlazadas y circulares) mediante POO en Python e integrado datos desde archivos XML para implementar sistemas de gestión de datos eficientes que manejen relaciones complejas </v>
      </c>
      <c r="C35" s="70" t="str">
        <f>IFERROR(__xludf.DUMMYFUNCTION("""COMPUTED_VALUE"""),"4. Estructuras de Datos")</f>
        <v>4. Estructuras de Datos</v>
      </c>
      <c r="D35" s="61" t="str">
        <f>IFERROR(__xludf.DUMMYFUNCTION("""COMPUTED_VALUE"""),"TDA ")</f>
        <v>TDA </v>
      </c>
      <c r="E35" s="61" t="str">
        <f>IFERROR(__xludf.DUMMYFUNCTION("""COMPUTED_VALUE"""),"Concepto Lista enlazada doble")</f>
        <v>Concepto Lista enlazada doble</v>
      </c>
      <c r="F35" s="70" t="str">
        <f>IFERROR(__xludf.DUMMYFUNCTION("""COMPUTED_VALUE"""),"Agosto")</f>
        <v>Agosto</v>
      </c>
      <c r="G35" s="70">
        <f>IFERROR(__xludf.DUMMYFUNCTION("""COMPUTED_VALUE"""),5.0)</f>
        <v>5</v>
      </c>
    </row>
    <row r="36">
      <c r="A36" s="70">
        <f>IFERROR(__xludf.DUMMYFUNCTION("""COMPUTED_VALUE"""),32.0)</f>
        <v>32</v>
      </c>
      <c r="B36" s="61" t="str">
        <f>IFERROR(__xludf.DUMMYFUNCTION("""COMPUTED_VALUE"""),"Crea estructuras de datos dinámicas (listas enlazadas, doblemente enlazadas y circulares) mediante POO en Python e integrado datos desde archivos XML para implementar sistemas de gestión de datos eficientes que manejen relaciones complejas ")</f>
        <v>Crea estructuras de datos dinámicas (listas enlazadas, doblemente enlazadas y circulares) mediante POO en Python e integrado datos desde archivos XML para implementar sistemas de gestión de datos eficientes que manejen relaciones complejas </v>
      </c>
      <c r="C36" s="70" t="str">
        <f>IFERROR(__xludf.DUMMYFUNCTION("""COMPUTED_VALUE"""),"4. Estructuras de Datos")</f>
        <v>4. Estructuras de Datos</v>
      </c>
      <c r="D36" s="61" t="str">
        <f>IFERROR(__xludf.DUMMYFUNCTION("""COMPUTED_VALUE"""),"TDA ")</f>
        <v>TDA </v>
      </c>
      <c r="E36" s="61" t="str">
        <f>IFERROR(__xludf.DUMMYFUNCTION("""COMPUTED_VALUE"""),"Operaciones en lista enlazada doble")</f>
        <v>Operaciones en lista enlazada doble</v>
      </c>
      <c r="F36" s="70" t="str">
        <f>IFERROR(__xludf.DUMMYFUNCTION("""COMPUTED_VALUE"""),"Agosto")</f>
        <v>Agosto</v>
      </c>
      <c r="G36" s="70">
        <f>IFERROR(__xludf.DUMMYFUNCTION("""COMPUTED_VALUE"""),5.0)</f>
        <v>5</v>
      </c>
    </row>
    <row r="37">
      <c r="A37" s="70">
        <f>IFERROR(__xludf.DUMMYFUNCTION("""COMPUTED_VALUE"""),33.0)</f>
        <v>33</v>
      </c>
      <c r="B37" s="61" t="str">
        <f>IFERROR(__xludf.DUMMYFUNCTION("""COMPUTED_VALUE"""),"Crea estructuras de datos dinámicas (listas enlazadas, doblemente enlazadas y circulares) mediante POO en Python e integrado datos desde archivos XML para implementar sistemas de gestión de datos eficientes que manejen relaciones complejas ")</f>
        <v>Crea estructuras de datos dinámicas (listas enlazadas, doblemente enlazadas y circulares) mediante POO en Python e integrado datos desde archivos XML para implementar sistemas de gestión de datos eficientes que manejen relaciones complejas </v>
      </c>
      <c r="C37" s="70" t="str">
        <f>IFERROR(__xludf.DUMMYFUNCTION("""COMPUTED_VALUE"""),"4. Estructuras de Datos")</f>
        <v>4. Estructuras de Datos</v>
      </c>
      <c r="D37" s="61" t="str">
        <f>IFERROR(__xludf.DUMMYFUNCTION("""COMPUTED_VALUE"""),"TDA ")</f>
        <v>TDA </v>
      </c>
      <c r="E37" s="61" t="str">
        <f>IFERROR(__xludf.DUMMYFUNCTION("""COMPUTED_VALUE"""),"Concepto de lista circular")</f>
        <v>Concepto de lista circular</v>
      </c>
      <c r="F37" s="70" t="str">
        <f>IFERROR(__xludf.DUMMYFUNCTION("""COMPUTED_VALUE"""),"Agosto")</f>
        <v>Agosto</v>
      </c>
      <c r="G37" s="70">
        <f>IFERROR(__xludf.DUMMYFUNCTION("""COMPUTED_VALUE"""),5.0)</f>
        <v>5</v>
      </c>
    </row>
    <row r="38">
      <c r="A38" s="70">
        <f>IFERROR(__xludf.DUMMYFUNCTION("""COMPUTED_VALUE"""),34.0)</f>
        <v>34</v>
      </c>
      <c r="B38" s="61" t="str">
        <f>IFERROR(__xludf.DUMMYFUNCTION("""COMPUTED_VALUE"""),"Crea estructuras de datos dinámicas (listas enlazadas, doblemente enlazadas y circulares) mediante POO en Python e integrado datos desde archivos XML para implementar sistemas de gestión de datos eficientes que manejen relaciones complejas ")</f>
        <v>Crea estructuras de datos dinámicas (listas enlazadas, doblemente enlazadas y circulares) mediante POO en Python e integrado datos desde archivos XML para implementar sistemas de gestión de datos eficientes que manejen relaciones complejas </v>
      </c>
      <c r="C38" s="70" t="str">
        <f>IFERROR(__xludf.DUMMYFUNCTION("""COMPUTED_VALUE"""),"4. Estructuras de Datos")</f>
        <v>4. Estructuras de Datos</v>
      </c>
      <c r="D38" s="61" t="str">
        <f>IFERROR(__xludf.DUMMYFUNCTION("""COMPUTED_VALUE"""),"TDA")</f>
        <v>TDA</v>
      </c>
      <c r="E38" s="61" t="str">
        <f>IFERROR(__xludf.DUMMYFUNCTION("""COMPUTED_VALUE"""),"Operaciones en listas circulares")</f>
        <v>Operaciones en listas circulares</v>
      </c>
      <c r="F38" s="70" t="str">
        <f>IFERROR(__xludf.DUMMYFUNCTION("""COMPUTED_VALUE"""),"Agosto")</f>
        <v>Agosto</v>
      </c>
      <c r="G38" s="70">
        <f>IFERROR(__xludf.DUMMYFUNCTION("""COMPUTED_VALUE"""),5.0)</f>
        <v>5</v>
      </c>
    </row>
    <row r="39">
      <c r="A39" s="70">
        <f>IFERROR(__xludf.DUMMYFUNCTION("""COMPUTED_VALUE"""),35.0)</f>
        <v>35</v>
      </c>
      <c r="B39" s="61" t="str">
        <f>IFERROR(__xludf.DUMMYFUNCTION("""COMPUTED_VALUE"""),"Crea estructuras de datos dinámicas (listas enlazadas, doblemente enlazadas y circulares) mediante POO en Python e integrado datos desde archivos XML para implementar sistemas de gestión de datos eficientes que manejen relaciones complejas ")</f>
        <v>Crea estructuras de datos dinámicas (listas enlazadas, doblemente enlazadas y circulares) mediante POO en Python e integrado datos desde archivos XML para implementar sistemas de gestión de datos eficientes que manejen relaciones complejas </v>
      </c>
      <c r="C39" s="70" t="str">
        <f>IFERROR(__xludf.DUMMYFUNCTION("""COMPUTED_VALUE"""),"4. Estructuras de Datos")</f>
        <v>4. Estructuras de Datos</v>
      </c>
      <c r="D39" s="61" t="str">
        <f>IFERROR(__xludf.DUMMYFUNCTION("""COMPUTED_VALUE"""),"TDA ")</f>
        <v>TDA </v>
      </c>
      <c r="E39" s="61" t="str">
        <f>IFERROR(__xludf.DUMMYFUNCTION("""COMPUTED_VALUE"""),"Diferencia entre lista circular y no circular")</f>
        <v>Diferencia entre lista circular y no circular</v>
      </c>
      <c r="F39" s="70" t="str">
        <f>IFERROR(__xludf.DUMMYFUNCTION("""COMPUTED_VALUE"""),"Agosto")</f>
        <v>Agosto</v>
      </c>
      <c r="G39" s="70">
        <f>IFERROR(__xludf.DUMMYFUNCTION("""COMPUTED_VALUE"""),5.0)</f>
        <v>5</v>
      </c>
    </row>
    <row r="40">
      <c r="A40" s="70">
        <f>IFERROR(__xludf.DUMMYFUNCTION("""COMPUTED_VALUE"""),36.0)</f>
        <v>36</v>
      </c>
      <c r="B40" s="61" t="str">
        <f>IFERROR(__xludf.DUMMYFUNCTION("""COMPUTED_VALUE"""),"Crea estructuras de datos dinámicas (listas enlazadas, doblemente enlazadas y circulares) mediante POO en Python e integrado datos desde archivos XML para implementar sistemas de gestión de datos eficientes que manejen relaciones complejas ")</f>
        <v>Crea estructuras de datos dinámicas (listas enlazadas, doblemente enlazadas y circulares) mediante POO en Python e integrado datos desde archivos XML para implementar sistemas de gestión de datos eficientes que manejen relaciones complejas </v>
      </c>
      <c r="C40" s="70" t="str">
        <f>IFERROR(__xludf.DUMMYFUNCTION("""COMPUTED_VALUE"""),"4. Estructuras de Datos")</f>
        <v>4. Estructuras de Datos</v>
      </c>
      <c r="D40" s="61" t="str">
        <f>IFERROR(__xludf.DUMMYFUNCTION("""COMPUTED_VALUE"""),"TDA y graphviz")</f>
        <v>TDA y graphviz</v>
      </c>
      <c r="E40" s="61" t="str">
        <f>IFERROR(__xludf.DUMMYFUNCTION("""COMPUTED_VALUE"""),"Concepto de lista doblemente circular")</f>
        <v>Concepto de lista doblemente circular</v>
      </c>
      <c r="F40" s="70" t="str">
        <f>IFERROR(__xludf.DUMMYFUNCTION("""COMPUTED_VALUE"""),"Agosto")</f>
        <v>Agosto</v>
      </c>
      <c r="G40" s="70">
        <f>IFERROR(__xludf.DUMMYFUNCTION("""COMPUTED_VALUE"""),6.0)</f>
        <v>6</v>
      </c>
    </row>
    <row r="41">
      <c r="A41" s="70">
        <f>IFERROR(__xludf.DUMMYFUNCTION("""COMPUTED_VALUE"""),37.0)</f>
        <v>37</v>
      </c>
      <c r="B41" s="61" t="str">
        <f>IFERROR(__xludf.DUMMYFUNCTION("""COMPUTED_VALUE"""),"Crea estructuras de datos dinámicas (listas enlazadas, doblemente enlazadas y circulares) mediante POO en Python e integrado datos desde archivos XML para implementar sistemas de gestión de datos eficientes que manejen relaciones complejas ")</f>
        <v>Crea estructuras de datos dinámicas (listas enlazadas, doblemente enlazadas y circulares) mediante POO en Python e integrado datos desde archivos XML para implementar sistemas de gestión de datos eficientes que manejen relaciones complejas </v>
      </c>
      <c r="C41" s="70" t="str">
        <f>IFERROR(__xludf.DUMMYFUNCTION("""COMPUTED_VALUE"""),"4. Estructuras de Datos")</f>
        <v>4. Estructuras de Datos</v>
      </c>
      <c r="D41" s="61" t="str">
        <f>IFERROR(__xludf.DUMMYFUNCTION("""COMPUTED_VALUE"""),"TDA y graphviz")</f>
        <v>TDA y graphviz</v>
      </c>
      <c r="E41" s="61" t="str">
        <f>IFERROR(__xludf.DUMMYFUNCTION("""COMPUTED_VALUE"""),"Operaciones básicas en lista doblemente circular")</f>
        <v>Operaciones básicas en lista doblemente circular</v>
      </c>
      <c r="F41" s="70" t="str">
        <f>IFERROR(__xludf.DUMMYFUNCTION("""COMPUTED_VALUE"""),"Agosto")</f>
        <v>Agosto</v>
      </c>
      <c r="G41" s="70">
        <f>IFERROR(__xludf.DUMMYFUNCTION("""COMPUTED_VALUE"""),6.0)</f>
        <v>6</v>
      </c>
    </row>
    <row r="42">
      <c r="A42" s="70">
        <f>IFERROR(__xludf.DUMMYFUNCTION("""COMPUTED_VALUE"""),38.0)</f>
        <v>38</v>
      </c>
      <c r="B42" s="61" t="str">
        <f>IFERROR(__xludf.DUMMYFUNCTION("""COMPUTED_VALUE"""),"Crea estructuras de datos dinámicas (listas enlazadas, doblemente enlazadas y circulares) mediante POO en Python e integrado datos desde archivos XML para implementar sistemas de gestión de datos eficientes que manejen relaciones complejas ")</f>
        <v>Crea estructuras de datos dinámicas (listas enlazadas, doblemente enlazadas y circulares) mediante POO en Python e integrado datos desde archivos XML para implementar sistemas de gestión de datos eficientes que manejen relaciones complejas </v>
      </c>
      <c r="C42" s="70" t="str">
        <f>IFERROR(__xludf.DUMMYFUNCTION("""COMPUTED_VALUE"""),"4. Estructuras de Datos")</f>
        <v>4. Estructuras de Datos</v>
      </c>
      <c r="D42" s="61" t="str">
        <f>IFERROR(__xludf.DUMMYFUNCTION("""COMPUTED_VALUE"""),"TDA y graphviz")</f>
        <v>TDA y graphviz</v>
      </c>
      <c r="E42" s="61" t="str">
        <f>IFERROR(__xludf.DUMMYFUNCTION("""COMPUTED_VALUE"""),"Ventajas y comparación frente a otras listas")</f>
        <v>Ventajas y comparación frente a otras listas</v>
      </c>
      <c r="F42" s="70" t="str">
        <f>IFERROR(__xludf.DUMMYFUNCTION("""COMPUTED_VALUE"""),"Agosto")</f>
        <v>Agosto</v>
      </c>
      <c r="G42" s="70">
        <f>IFERROR(__xludf.DUMMYFUNCTION("""COMPUTED_VALUE"""),6.0)</f>
        <v>6</v>
      </c>
    </row>
    <row r="43">
      <c r="A43" s="70">
        <f>IFERROR(__xludf.DUMMYFUNCTION("""COMPUTED_VALUE"""),39.0)</f>
        <v>39</v>
      </c>
      <c r="B43" s="61" t="str">
        <f>IFERROR(__xludf.DUMMYFUNCTION("""COMPUTED_VALUE"""),"Crea estructuras de datos dinámicas (listas enlazadas, doblemente enlazadas y circulares) mediante POO en Python e integrado datos desde archivos XML para implementar sistemas de gestión de datos eficientes que manejen relaciones complejas ")</f>
        <v>Crea estructuras de datos dinámicas (listas enlazadas, doblemente enlazadas y circulares) mediante POO en Python e integrado datos desde archivos XML para implementar sistemas de gestión de datos eficientes que manejen relaciones complejas </v>
      </c>
      <c r="C43" s="70" t="str">
        <f>IFERROR(__xludf.DUMMYFUNCTION("""COMPUTED_VALUE"""),"4. Estructuras de Datos")</f>
        <v>4. Estructuras de Datos</v>
      </c>
      <c r="D43" s="61" t="str">
        <f>IFERROR(__xludf.DUMMYFUNCTION("""COMPUTED_VALUE"""),"TDA y graphviz")</f>
        <v>TDA y graphviz</v>
      </c>
      <c r="E43" s="61" t="str">
        <f>IFERROR(__xludf.DUMMYFUNCTION("""COMPUTED_VALUE"""),"Qué es Graphviz")</f>
        <v>Qué es Graphviz</v>
      </c>
      <c r="F43" s="70" t="str">
        <f>IFERROR(__xludf.DUMMYFUNCTION("""COMPUTED_VALUE"""),"Agosto")</f>
        <v>Agosto</v>
      </c>
      <c r="G43" s="70">
        <f>IFERROR(__xludf.DUMMYFUNCTION("""COMPUTED_VALUE"""),6.0)</f>
        <v>6</v>
      </c>
    </row>
    <row r="44">
      <c r="A44" s="70">
        <f>IFERROR(__xludf.DUMMYFUNCTION("""COMPUTED_VALUE"""),40.0)</f>
        <v>40</v>
      </c>
      <c r="B44" s="61" t="str">
        <f>IFERROR(__xludf.DUMMYFUNCTION("""COMPUTED_VALUE"""),"Crea estructuras de datos dinámicas (listas enlazadas, doblemente enlazadas y circulares) mediante POO en Python e integrado datos desde archivos XML para implementar sistemas de gestión de datos eficientes que manejen relaciones complejas ")</f>
        <v>Crea estructuras de datos dinámicas (listas enlazadas, doblemente enlazadas y circulares) mediante POO en Python e integrado datos desde archivos XML para implementar sistemas de gestión de datos eficientes que manejen relaciones complejas </v>
      </c>
      <c r="C44" s="70" t="str">
        <f>IFERROR(__xludf.DUMMYFUNCTION("""COMPUTED_VALUE"""),"4. Estructuras de Datos")</f>
        <v>4. Estructuras de Datos</v>
      </c>
      <c r="D44" s="61" t="str">
        <f>IFERROR(__xludf.DUMMYFUNCTION("""COMPUTED_VALUE"""),"TDA y graphviz")</f>
        <v>TDA y graphviz</v>
      </c>
      <c r="E44" s="61" t="str">
        <f>IFERROR(__xludf.DUMMYFUNCTION("""COMPUTED_VALUE"""),"Cómo se usa Graphviz para TDA's")</f>
        <v>Cómo se usa Graphviz para TDA's</v>
      </c>
      <c r="F44" s="70" t="str">
        <f>IFERROR(__xludf.DUMMYFUNCTION("""COMPUTED_VALUE"""),"Agosto")</f>
        <v>Agosto</v>
      </c>
      <c r="G44" s="70">
        <f>IFERROR(__xludf.DUMMYFUNCTION("""COMPUTED_VALUE"""),6.0)</f>
        <v>6</v>
      </c>
    </row>
    <row r="45">
      <c r="A45" s="70">
        <f>IFERROR(__xludf.DUMMYFUNCTION("""COMPUTED_VALUE"""),41.0)</f>
        <v>41</v>
      </c>
      <c r="B45" s="61" t="str">
        <f>IFERROR(__xludf.DUMMYFUNCTION("""COMPUTED_VALUE"""),"Crea estructuras de datos dinámicas (listas enlazadas, doblemente enlazadas y circulares) mediante POO en Python e integrado datos desde archivos XML para implementar sistemas de gestión de datos eficientes que manejen relaciones complejas ")</f>
        <v>Crea estructuras de datos dinámicas (listas enlazadas, doblemente enlazadas y circulares) mediante POO en Python e integrado datos desde archivos XML para implementar sistemas de gestión de datos eficientes que manejen relaciones complejas </v>
      </c>
      <c r="C45" s="70" t="str">
        <f>IFERROR(__xludf.DUMMYFUNCTION("""COMPUTED_VALUE"""),"4. Estructuras de Datos")</f>
        <v>4. Estructuras de Datos</v>
      </c>
      <c r="D45" s="61" t="str">
        <f>IFERROR(__xludf.DUMMYFUNCTION("""COMPUTED_VALUE"""),"TDA y graphviz")</f>
        <v>TDA y graphviz</v>
      </c>
      <c r="E45" s="61" t="str">
        <f>IFERROR(__xludf.DUMMYFUNCTION("""COMPUTED_VALUE"""),"Graficar TDA's con graphviz")</f>
        <v>Graficar TDA's con graphviz</v>
      </c>
      <c r="F45" s="70" t="str">
        <f>IFERROR(__xludf.DUMMYFUNCTION("""COMPUTED_VALUE"""),"Agosto")</f>
        <v>Agosto</v>
      </c>
      <c r="G45" s="70">
        <f>IFERROR(__xludf.DUMMYFUNCTION("""COMPUTED_VALUE"""),6.0)</f>
        <v>6</v>
      </c>
    </row>
    <row r="46">
      <c r="A46" s="70">
        <f>IFERROR(__xludf.DUMMYFUNCTION("""COMPUTED_VALUE"""),42.0)</f>
        <v>42</v>
      </c>
      <c r="B46" s="61" t="str">
        <f>IFERROR(__xludf.DUMMYFUNCTION("""COMPUTED_VALUE"""),"Crea páginas Web Básicas utilizando HTML5 y CSS para estructurar y dar estili a componentes web. ")</f>
        <v>Crea páginas Web Básicas utilizando HTML5 y CSS para estructurar y dar estili a componentes web. </v>
      </c>
      <c r="C46" s="70" t="str">
        <f>IFERROR(__xludf.DUMMYFUNCTION("""COMPUTED_VALUE"""),"5. HTML5 y CSS")</f>
        <v>5. HTML5 y CSS</v>
      </c>
      <c r="D46" s="61" t="str">
        <f>IFERROR(__xludf.DUMMYFUNCTION("""COMPUTED_VALUE"""),"Introducción a HTML, CSS, JS")</f>
        <v>Introducción a HTML, CSS, JS</v>
      </c>
      <c r="E46" s="61" t="str">
        <f>IFERROR(__xludf.DUMMYFUNCTION("""COMPUTED_VALUE"""),"Introducción a HTML5")</f>
        <v>Introducción a HTML5</v>
      </c>
      <c r="F46" s="70" t="str">
        <f>IFERROR(__xludf.DUMMYFUNCTION("""COMPUTED_VALUE"""),"Agosto")</f>
        <v>Agosto</v>
      </c>
      <c r="G46" s="70">
        <f>IFERROR(__xludf.DUMMYFUNCTION("""COMPUTED_VALUE"""),7.0)</f>
        <v>7</v>
      </c>
    </row>
    <row r="47">
      <c r="A47" s="70">
        <f>IFERROR(__xludf.DUMMYFUNCTION("""COMPUTED_VALUE"""),43.0)</f>
        <v>43</v>
      </c>
      <c r="B47" s="61" t="str">
        <f>IFERROR(__xludf.DUMMYFUNCTION("""COMPUTED_VALUE"""),"Crea páginas Web Básicas utilizando HTML5 y CSS para estructurar y dar estili a componentes web. ")</f>
        <v>Crea páginas Web Básicas utilizando HTML5 y CSS para estructurar y dar estili a componentes web. </v>
      </c>
      <c r="C47" s="70" t="str">
        <f>IFERROR(__xludf.DUMMYFUNCTION("""COMPUTED_VALUE"""),"5. HTML5 y CSS")</f>
        <v>5. HTML5 y CSS</v>
      </c>
      <c r="D47" s="61" t="str">
        <f>IFERROR(__xludf.DUMMYFUNCTION("""COMPUTED_VALUE"""),"Introducción a HTML, CSS, JS")</f>
        <v>Introducción a HTML, CSS, JS</v>
      </c>
      <c r="E47" s="61" t="str">
        <f>IFERROR(__xludf.DUMMYFUNCTION("""COMPUTED_VALUE"""),". Estructura básica de HTML5")</f>
        <v>. Estructura básica de HTML5</v>
      </c>
      <c r="F47" s="70" t="str">
        <f>IFERROR(__xludf.DUMMYFUNCTION("""COMPUTED_VALUE"""),"Agosto")</f>
        <v>Agosto</v>
      </c>
      <c r="G47" s="70">
        <f>IFERROR(__xludf.DUMMYFUNCTION("""COMPUTED_VALUE"""),7.0)</f>
        <v>7</v>
      </c>
    </row>
    <row r="48">
      <c r="A48" s="70">
        <f>IFERROR(__xludf.DUMMYFUNCTION("""COMPUTED_VALUE"""),44.0)</f>
        <v>44</v>
      </c>
      <c r="B48" s="61" t="str">
        <f>IFERROR(__xludf.DUMMYFUNCTION("""COMPUTED_VALUE"""),"Crea páginas Web Básicas utilizando HTML5 y CSS para estructurar y dar estili a componentes web. ")</f>
        <v>Crea páginas Web Básicas utilizando HTML5 y CSS para estructurar y dar estili a componentes web. </v>
      </c>
      <c r="C48" s="70" t="str">
        <f>IFERROR(__xludf.DUMMYFUNCTION("""COMPUTED_VALUE"""),"5. HTML5 y CSS")</f>
        <v>5. HTML5 y CSS</v>
      </c>
      <c r="D48" s="61" t="str">
        <f>IFERROR(__xludf.DUMMYFUNCTION("""COMPUTED_VALUE"""),"Introducción a HTML, CSS, JS")</f>
        <v>Introducción a HTML, CSS, JS</v>
      </c>
      <c r="E48" s="61" t="str">
        <f>IFERROR(__xludf.DUMMYFUNCTION("""COMPUTED_VALUE"""),"Componentes básicos de HTML5")</f>
        <v>Componentes básicos de HTML5</v>
      </c>
      <c r="F48" s="70" t="str">
        <f>IFERROR(__xludf.DUMMYFUNCTION("""COMPUTED_VALUE"""),"Agosto")</f>
        <v>Agosto</v>
      </c>
      <c r="G48" s="70">
        <f>IFERROR(__xludf.DUMMYFUNCTION("""COMPUTED_VALUE"""),7.0)</f>
        <v>7</v>
      </c>
    </row>
    <row r="49">
      <c r="A49" s="70">
        <f>IFERROR(__xludf.DUMMYFUNCTION("""COMPUTED_VALUE"""),45.0)</f>
        <v>45</v>
      </c>
      <c r="B49" s="61" t="str">
        <f>IFERROR(__xludf.DUMMYFUNCTION("""COMPUTED_VALUE"""),"Crea páginas Web Básicas utilizando HTML5 y CSS para estructurar y dar estili a componentes web. ")</f>
        <v>Crea páginas Web Básicas utilizando HTML5 y CSS para estructurar y dar estili a componentes web. </v>
      </c>
      <c r="C49" s="70" t="str">
        <f>IFERROR(__xludf.DUMMYFUNCTION("""COMPUTED_VALUE"""),"5. HTML5 y CSS")</f>
        <v>5. HTML5 y CSS</v>
      </c>
      <c r="D49" s="61" t="str">
        <f>IFERROR(__xludf.DUMMYFUNCTION("""COMPUTED_VALUE"""),"Introducción a HTML, CSS, JS")</f>
        <v>Introducción a HTML, CSS, JS</v>
      </c>
      <c r="E49" s="61" t="str">
        <f>IFERROR(__xludf.DUMMYFUNCTION("""COMPUTED_VALUE"""),"Introducción a CSS")</f>
        <v>Introducción a CSS</v>
      </c>
      <c r="F49" s="70" t="str">
        <f>IFERROR(__xludf.DUMMYFUNCTION("""COMPUTED_VALUE"""),"Agosto")</f>
        <v>Agosto</v>
      </c>
      <c r="G49" s="70">
        <f>IFERROR(__xludf.DUMMYFUNCTION("""COMPUTED_VALUE"""),7.0)</f>
        <v>7</v>
      </c>
    </row>
    <row r="50">
      <c r="A50" s="70">
        <f>IFERROR(__xludf.DUMMYFUNCTION("""COMPUTED_VALUE"""),46.0)</f>
        <v>46</v>
      </c>
      <c r="B50" s="61" t="str">
        <f>IFERROR(__xludf.DUMMYFUNCTION("""COMPUTED_VALUE"""),"Crea páginas Web Básicas utilizando HTML5 y CSS para estructurar y dar estili a componentes web. ")</f>
        <v>Crea páginas Web Básicas utilizando HTML5 y CSS para estructurar y dar estili a componentes web. </v>
      </c>
      <c r="C50" s="70" t="str">
        <f>IFERROR(__xludf.DUMMYFUNCTION("""COMPUTED_VALUE"""),"5. HTML5 y CSS")</f>
        <v>5. HTML5 y CSS</v>
      </c>
      <c r="D50" s="61" t="str">
        <f>IFERROR(__xludf.DUMMYFUNCTION("""COMPUTED_VALUE"""),"Introducción a HTML, CSS, JS")</f>
        <v>Introducción a HTML, CSS, JS</v>
      </c>
      <c r="E50" s="61" t="str">
        <f>IFERROR(__xludf.DUMMYFUNCTION("""COMPUTED_VALUE"""),". Estructura básica de CSS")</f>
        <v>. Estructura básica de CSS</v>
      </c>
      <c r="F50" s="70" t="str">
        <f>IFERROR(__xludf.DUMMYFUNCTION("""COMPUTED_VALUE"""),"Agosto")</f>
        <v>Agosto</v>
      </c>
      <c r="G50" s="70">
        <f>IFERROR(__xludf.DUMMYFUNCTION("""COMPUTED_VALUE"""),7.0)</f>
        <v>7</v>
      </c>
    </row>
    <row r="51">
      <c r="A51" s="70">
        <f>IFERROR(__xludf.DUMMYFUNCTION("""COMPUTED_VALUE"""),47.0)</f>
        <v>47</v>
      </c>
      <c r="B51" s="61" t="str">
        <f>IFERROR(__xludf.DUMMYFUNCTION("""COMPUTED_VALUE"""),"Crea páginas Web Básicas utilizando HTML5 y CSS para estructurar y dar estili a componentes web. ")</f>
        <v>Crea páginas Web Básicas utilizando HTML5 y CSS para estructurar y dar estili a componentes web. </v>
      </c>
      <c r="C51" s="70" t="str">
        <f>IFERROR(__xludf.DUMMYFUNCTION("""COMPUTED_VALUE"""),"5. HTML5 y CSS")</f>
        <v>5. HTML5 y CSS</v>
      </c>
      <c r="D51" s="61" t="str">
        <f>IFERROR(__xludf.DUMMYFUNCTION("""COMPUTED_VALUE"""),"Introducción a HTML, CSS, JS")</f>
        <v>Introducción a HTML, CSS, JS</v>
      </c>
      <c r="E51" s="61" t="str">
        <f>IFERROR(__xludf.DUMMYFUNCTION("""COMPUTED_VALUE"""),"Componentes básicos de CSS")</f>
        <v>Componentes básicos de CSS</v>
      </c>
      <c r="F51" s="70" t="str">
        <f>IFERROR(__xludf.DUMMYFUNCTION("""COMPUTED_VALUE"""),"Agosto")</f>
        <v>Agosto</v>
      </c>
      <c r="G51" s="70">
        <f>IFERROR(__xludf.DUMMYFUNCTION("""COMPUTED_VALUE"""),7.0)</f>
        <v>7</v>
      </c>
    </row>
    <row r="52">
      <c r="A52" s="70">
        <f>IFERROR(__xludf.DUMMYFUNCTION("""COMPUTED_VALUE"""),48.0)</f>
        <v>48</v>
      </c>
      <c r="B52" s="61" t="str">
        <f>IFERROR(__xludf.DUMMYFUNCTION("""COMPUTED_VALUE"""),"Crea páginas Web Básicas utilizando HTML5 y CSS para estructurar y dar estili a componentes web. ")</f>
        <v>Crea páginas Web Básicas utilizando HTML5 y CSS para estructurar y dar estili a componentes web. </v>
      </c>
      <c r="C52" s="70" t="str">
        <f>IFERROR(__xludf.DUMMYFUNCTION("""COMPUTED_VALUE"""),"5. HTML5 y CSS")</f>
        <v>5. HTML5 y CSS</v>
      </c>
      <c r="D52" s="61" t="str">
        <f>IFERROR(__xludf.DUMMYFUNCTION("""COMPUTED_VALUE"""),"Introducción a HTML, CSS, JS")</f>
        <v>Introducción a HTML, CSS, JS</v>
      </c>
      <c r="E52" s="61" t="str">
        <f>IFERROR(__xludf.DUMMYFUNCTION("""COMPUTED_VALUE"""),"Ejemplos prácticos")</f>
        <v>Ejemplos prácticos</v>
      </c>
      <c r="F52" s="70" t="str">
        <f>IFERROR(__xludf.DUMMYFUNCTION("""COMPUTED_VALUE"""),"Agosto")</f>
        <v>Agosto</v>
      </c>
      <c r="G52" s="70">
        <f>IFERROR(__xludf.DUMMYFUNCTION("""COMPUTED_VALUE"""),7.0)</f>
        <v>7</v>
      </c>
    </row>
    <row r="53">
      <c r="A53" s="70">
        <f>IFERROR(__xludf.DUMMYFUNCTION("""COMPUTED_VALUE"""),49.0)</f>
        <v>49</v>
      </c>
      <c r="B53" s="61" t="str">
        <f>IFERROR(__xludf.DUMMYFUNCTION("""COMPUTED_VALUE"""),"Desarrolla aplicaciones web con Flask o Django en Python para soportar arquitecturas backend y frontend bien definidas. ")</f>
        <v>Desarrolla aplicaciones web con Flask o Django en Python para soportar arquitecturas backend y frontend bien definidas. </v>
      </c>
      <c r="C53" s="70" t="str">
        <f>IFERROR(__xludf.DUMMYFUNCTION("""COMPUTED_VALUE"""),"6. Entorno para desarrollo Web en Python")</f>
        <v>6. Entorno para desarrollo Web en Python</v>
      </c>
      <c r="D53" s="61" t="str">
        <f>IFERROR(__xludf.DUMMYFUNCTION("""COMPUTED_VALUE"""),"Introducción a servidores web y Flask")</f>
        <v>Introducción a servidores web y Flask</v>
      </c>
      <c r="E53" s="61" t="str">
        <f>IFERROR(__xludf.DUMMYFUNCTION("""COMPUTED_VALUE"""),"Entorno para desarrollo Web en Python")</f>
        <v>Entorno para desarrollo Web en Python</v>
      </c>
      <c r="F53" s="70" t="str">
        <f>IFERROR(__xludf.DUMMYFUNCTION("""COMPUTED_VALUE"""),"Octubre")</f>
        <v>Octubre</v>
      </c>
      <c r="G53" s="70">
        <f>IFERROR(__xludf.DUMMYFUNCTION("""COMPUTED_VALUE"""),8.0)</f>
        <v>8</v>
      </c>
    </row>
    <row r="54">
      <c r="A54" s="70">
        <f>IFERROR(__xludf.DUMMYFUNCTION("""COMPUTED_VALUE"""),50.0)</f>
        <v>50</v>
      </c>
      <c r="B54" s="61" t="str">
        <f>IFERROR(__xludf.DUMMYFUNCTION("""COMPUTED_VALUE"""),"Desarrolla aplicaciones web con Flask o Django en Python para soportar arquitecturas backend y frontend bien definidas. ")</f>
        <v>Desarrolla aplicaciones web con Flask o Django en Python para soportar arquitecturas backend y frontend bien definidas. </v>
      </c>
      <c r="C54" s="70" t="str">
        <f>IFERROR(__xludf.DUMMYFUNCTION("""COMPUTED_VALUE"""),"6. Entorno para desarrollo Web en Python")</f>
        <v>6. Entorno para desarrollo Web en Python</v>
      </c>
      <c r="D54" s="61" t="str">
        <f>IFERROR(__xludf.DUMMYFUNCTION("""COMPUTED_VALUE"""),"Introducción a servidores web y Flask")</f>
        <v>Introducción a servidores web y Flask</v>
      </c>
      <c r="E54" s="61" t="str">
        <f>IFERROR(__xludf.DUMMYFUNCTION("""COMPUTED_VALUE"""),"Flask")</f>
        <v>Flask</v>
      </c>
      <c r="F54" s="70" t="str">
        <f>IFERROR(__xludf.DUMMYFUNCTION("""COMPUTED_VALUE"""),"Octubre")</f>
        <v>Octubre</v>
      </c>
      <c r="G54" s="70">
        <f>IFERROR(__xludf.DUMMYFUNCTION("""COMPUTED_VALUE"""),8.0)</f>
        <v>8</v>
      </c>
    </row>
    <row r="55">
      <c r="A55" s="70">
        <f>IFERROR(__xludf.DUMMYFUNCTION("""COMPUTED_VALUE"""),51.0)</f>
        <v>51</v>
      </c>
      <c r="B55" s="61" t="str">
        <f>IFERROR(__xludf.DUMMYFUNCTION("""COMPUTED_VALUE"""),"Desarrolla aplicaciones web con Flask o Django en Python para soportar arquitecturas backend y frontend bien definidas. ")</f>
        <v>Desarrolla aplicaciones web con Flask o Django en Python para soportar arquitecturas backend y frontend bien definidas. </v>
      </c>
      <c r="C55" s="70" t="str">
        <f>IFERROR(__xludf.DUMMYFUNCTION("""COMPUTED_VALUE"""),"6. Entorno para desarrollo Web en Python")</f>
        <v>6. Entorno para desarrollo Web en Python</v>
      </c>
      <c r="D55" s="61" t="str">
        <f>IFERROR(__xludf.DUMMYFUNCTION("""COMPUTED_VALUE"""),"Introducción a servidores web y Flask")</f>
        <v>Introducción a servidores web y Flask</v>
      </c>
      <c r="E55" s="61" t="str">
        <f>IFERROR(__xludf.DUMMYFUNCTION("""COMPUTED_VALUE"""),"Introducción a Flask y Configuración del Entorno")</f>
        <v>Introducción a Flask y Configuración del Entorno</v>
      </c>
      <c r="F55" s="70" t="str">
        <f>IFERROR(__xludf.DUMMYFUNCTION("""COMPUTED_VALUE"""),"Octubre")</f>
        <v>Octubre</v>
      </c>
      <c r="G55" s="70">
        <f>IFERROR(__xludf.DUMMYFUNCTION("""COMPUTED_VALUE"""),8.0)</f>
        <v>8</v>
      </c>
    </row>
    <row r="56">
      <c r="A56" s="70">
        <f>IFERROR(__xludf.DUMMYFUNCTION("""COMPUTED_VALUE"""),52.0)</f>
        <v>52</v>
      </c>
      <c r="B56" s="61" t="str">
        <f>IFERROR(__xludf.DUMMYFUNCTION("""COMPUTED_VALUE"""),"Desarrolla aplicaciones web con Flask o Django en Python para soportar arquitecturas backend y frontend bien definidas. ")</f>
        <v>Desarrolla aplicaciones web con Flask o Django en Python para soportar arquitecturas backend y frontend bien definidas. </v>
      </c>
      <c r="C56" s="70" t="str">
        <f>IFERROR(__xludf.DUMMYFUNCTION("""COMPUTED_VALUE"""),"6. Entorno para desarrollo Web en Python")</f>
        <v>6. Entorno para desarrollo Web en Python</v>
      </c>
      <c r="D56" s="61" t="str">
        <f>IFERROR(__xludf.DUMMYFUNCTION("""COMPUTED_VALUE"""),"Introducción a servidores web y Flask")</f>
        <v>Introducción a servidores web y Flask</v>
      </c>
      <c r="E56" s="61" t="str">
        <f>IFERROR(__xludf.DUMMYFUNCTION("""COMPUTED_VALUE"""),"Rutas y Vistas")</f>
        <v>Rutas y Vistas</v>
      </c>
      <c r="F56" s="70" t="str">
        <f>IFERROR(__xludf.DUMMYFUNCTION("""COMPUTED_VALUE"""),"Octubre")</f>
        <v>Octubre</v>
      </c>
      <c r="G56" s="70">
        <f>IFERROR(__xludf.DUMMYFUNCTION("""COMPUTED_VALUE"""),8.0)</f>
        <v>8</v>
      </c>
    </row>
    <row r="57">
      <c r="A57" s="70">
        <f>IFERROR(__xludf.DUMMYFUNCTION("""COMPUTED_VALUE"""),53.0)</f>
        <v>53</v>
      </c>
      <c r="B57" s="61" t="str">
        <f>IFERROR(__xludf.DUMMYFUNCTION("""COMPUTED_VALUE"""),"Desarrolla aplicaciones web con Flask o Django en Python para soportar arquitecturas backend y frontend bien definidas. ")</f>
        <v>Desarrolla aplicaciones web con Flask o Django en Python para soportar arquitecturas backend y frontend bien definidas. </v>
      </c>
      <c r="C57" s="70" t="str">
        <f>IFERROR(__xludf.DUMMYFUNCTION("""COMPUTED_VALUE"""),"6. Entorno para desarrollo Web en Python")</f>
        <v>6. Entorno para desarrollo Web en Python</v>
      </c>
      <c r="D57" s="61" t="str">
        <f>IFERROR(__xludf.DUMMYFUNCTION("""COMPUTED_VALUE"""),"Introducción a servidores web y Flask")</f>
        <v>Introducción a servidores web y Flask</v>
      </c>
      <c r="E57" s="61" t="str">
        <f>IFERROR(__xludf.DUMMYFUNCTION("""COMPUTED_VALUE"""),"Plantillas con Jinja")</f>
        <v>Plantillas con Jinja</v>
      </c>
      <c r="F57" s="70" t="str">
        <f>IFERROR(__xludf.DUMMYFUNCTION("""COMPUTED_VALUE"""),"Octubre")</f>
        <v>Octubre</v>
      </c>
      <c r="G57" s="70">
        <f>IFERROR(__xludf.DUMMYFUNCTION("""COMPUTED_VALUE"""),8.0)</f>
        <v>8</v>
      </c>
    </row>
    <row r="58">
      <c r="A58" s="70">
        <f>IFERROR(__xludf.DUMMYFUNCTION("""COMPUTED_VALUE"""),54.0)</f>
        <v>54</v>
      </c>
      <c r="B58" s="61" t="str">
        <f>IFERROR(__xludf.DUMMYFUNCTION("""COMPUTED_VALUE"""),"Desarrolla aplicaciones web con Flask o Django en Python para soportar arquitecturas backend y frontend bien definidas. ")</f>
        <v>Desarrolla aplicaciones web con Flask o Django en Python para soportar arquitecturas backend y frontend bien definidas. </v>
      </c>
      <c r="C58" s="70" t="str">
        <f>IFERROR(__xludf.DUMMYFUNCTION("""COMPUTED_VALUE"""),"6. Entorno para desarrollo Web en Python")</f>
        <v>6. Entorno para desarrollo Web en Python</v>
      </c>
      <c r="D58" s="61" t="str">
        <f>IFERROR(__xludf.DUMMYFUNCTION("""COMPUTED_VALUE"""),"Introducción a servidores web y Flask")</f>
        <v>Introducción a servidores web y Flask</v>
      </c>
      <c r="E58" s="61" t="str">
        <f>IFERROR(__xludf.DUMMYFUNCTION("""COMPUTED_VALUE"""),"Manejo de Formularios y Datos de Usuario")</f>
        <v>Manejo de Formularios y Datos de Usuario</v>
      </c>
      <c r="F58" s="70" t="str">
        <f>IFERROR(__xludf.DUMMYFUNCTION("""COMPUTED_VALUE"""),"Octubre")</f>
        <v>Octubre</v>
      </c>
      <c r="G58" s="70">
        <f>IFERROR(__xludf.DUMMYFUNCTION("""COMPUTED_VALUE"""),8.0)</f>
        <v>8</v>
      </c>
    </row>
    <row r="59">
      <c r="A59" s="70">
        <f>IFERROR(__xludf.DUMMYFUNCTION("""COMPUTED_VALUE"""),55.0)</f>
        <v>55</v>
      </c>
      <c r="B59" s="61" t="str">
        <f>IFERROR(__xludf.DUMMYFUNCTION("""COMPUTED_VALUE"""),"Desarrolla aplicaciones web con Flask o Django en Python para soportar arquitecturas backend y frontend bien definidas. ")</f>
        <v>Desarrolla aplicaciones web con Flask o Django en Python para soportar arquitecturas backend y frontend bien definidas. </v>
      </c>
      <c r="C59" s="70" t="str">
        <f>IFERROR(__xludf.DUMMYFUNCTION("""COMPUTED_VALUE"""),"6. Entorno para desarrollo Web en Python")</f>
        <v>6. Entorno para desarrollo Web en Python</v>
      </c>
      <c r="D59" s="61" t="str">
        <f>IFERROR(__xludf.DUMMYFUNCTION("""COMPUTED_VALUE"""),"Introducción a servidores web y Flask")</f>
        <v>Introducción a servidores web y Flask</v>
      </c>
      <c r="E59" s="61" t="str">
        <f>IFERROR(__xludf.DUMMYFUNCTION("""COMPUTED_VALUE"""),"Ejemplos prácticos")</f>
        <v>Ejemplos prácticos</v>
      </c>
      <c r="F59" s="70" t="str">
        <f>IFERROR(__xludf.DUMMYFUNCTION("""COMPUTED_VALUE"""),"Octubre")</f>
        <v>Octubre</v>
      </c>
      <c r="G59" s="70">
        <f>IFERROR(__xludf.DUMMYFUNCTION("""COMPUTED_VALUE"""),8.0)</f>
        <v>8</v>
      </c>
    </row>
    <row r="60">
      <c r="A60" s="70">
        <f>IFERROR(__xludf.DUMMYFUNCTION("""COMPUTED_VALUE"""),56.0)</f>
        <v>56</v>
      </c>
      <c r="B60" s="61" t="str">
        <f>IFERROR(__xludf.DUMMYFUNCTION("""COMPUTED_VALUE"""),"Desarrolla aplicaciones web con Flask o Django en Python para soportar arquitecturas backend y frontend bien definidas. ")</f>
        <v>Desarrolla aplicaciones web con Flask o Django en Python para soportar arquitecturas backend y frontend bien definidas. </v>
      </c>
      <c r="C60" s="70" t="str">
        <f>IFERROR(__xludf.DUMMYFUNCTION("""COMPUTED_VALUE"""),"6. Entorno para desarrollo Web en Python")</f>
        <v>6. Entorno para desarrollo Web en Python</v>
      </c>
      <c r="D60" s="61" t="str">
        <f>IFERROR(__xludf.DUMMYFUNCTION("""COMPUTED_VALUE"""),"Instalación y Configuración en Django")</f>
        <v>Instalación y Configuración en Django</v>
      </c>
      <c r="E60" s="61" t="str">
        <f>IFERROR(__xludf.DUMMYFUNCTION("""COMPUTED_VALUE"""),"Instalación y configuracion")</f>
        <v>Instalación y configuracion</v>
      </c>
      <c r="F60" s="70" t="str">
        <f>IFERROR(__xludf.DUMMYFUNCTION("""COMPUTED_VALUE"""),"Octubre")</f>
        <v>Octubre</v>
      </c>
      <c r="G60" s="70">
        <f>IFERROR(__xludf.DUMMYFUNCTION("""COMPUTED_VALUE"""),9.0)</f>
        <v>9</v>
      </c>
    </row>
    <row r="61">
      <c r="A61" s="70">
        <f>IFERROR(__xludf.DUMMYFUNCTION("""COMPUTED_VALUE"""),57.0)</f>
        <v>57</v>
      </c>
      <c r="B61" s="61" t="str">
        <f>IFERROR(__xludf.DUMMYFUNCTION("""COMPUTED_VALUE"""),"Desarrolla aplicaciones web con Flask o Django en Python para soportar arquitecturas backend y frontend bien definidas. ")</f>
        <v>Desarrolla aplicaciones web con Flask o Django en Python para soportar arquitecturas backend y frontend bien definidas. </v>
      </c>
      <c r="C61" s="70" t="str">
        <f>IFERROR(__xludf.DUMMYFUNCTION("""COMPUTED_VALUE"""),"6. Entorno para desarrollo Web en Python")</f>
        <v>6. Entorno para desarrollo Web en Python</v>
      </c>
      <c r="D61" s="61" t="str">
        <f>IFERROR(__xludf.DUMMYFUNCTION("""COMPUTED_VALUE"""),"Instalación y Configuración en Django")</f>
        <v>Instalación y Configuración en Django</v>
      </c>
      <c r="E61" s="61" t="str">
        <f>IFERROR(__xludf.DUMMYFUNCTION("""COMPUTED_VALUE"""),"Apps en Django")</f>
        <v>Apps en Django</v>
      </c>
      <c r="F61" s="70" t="str">
        <f>IFERROR(__xludf.DUMMYFUNCTION("""COMPUTED_VALUE"""),"Octubre")</f>
        <v>Octubre</v>
      </c>
      <c r="G61" s="70">
        <f>IFERROR(__xludf.DUMMYFUNCTION("""COMPUTED_VALUE"""),9.0)</f>
        <v>9</v>
      </c>
    </row>
    <row r="62">
      <c r="A62" s="70">
        <f>IFERROR(__xludf.DUMMYFUNCTION("""COMPUTED_VALUE"""),58.0)</f>
        <v>58</v>
      </c>
      <c r="B62" s="61" t="str">
        <f>IFERROR(__xludf.DUMMYFUNCTION("""COMPUTED_VALUE"""),"Desarrolla aplicaciones web con Flask o Django en Python para soportar arquitecturas backend y frontend bien definidas. ")</f>
        <v>Desarrolla aplicaciones web con Flask o Django en Python para soportar arquitecturas backend y frontend bien definidas. </v>
      </c>
      <c r="C62" s="70" t="str">
        <f>IFERROR(__xludf.DUMMYFUNCTION("""COMPUTED_VALUE"""),"6. Entorno para desarrollo Web en Python")</f>
        <v>6. Entorno para desarrollo Web en Python</v>
      </c>
      <c r="D62" s="61" t="str">
        <f>IFERROR(__xludf.DUMMYFUNCTION("""COMPUTED_VALUE"""),"Instalación y Configuración en Django")</f>
        <v>Instalación y Configuración en Django</v>
      </c>
      <c r="E62" s="61" t="str">
        <f>IFERROR(__xludf.DUMMYFUNCTION("""COMPUTED_VALUE"""),"Modelos en Django")</f>
        <v>Modelos en Django</v>
      </c>
      <c r="F62" s="70" t="str">
        <f>IFERROR(__xludf.DUMMYFUNCTION("""COMPUTED_VALUE"""),"Octubre")</f>
        <v>Octubre</v>
      </c>
      <c r="G62" s="70">
        <f>IFERROR(__xludf.DUMMYFUNCTION("""COMPUTED_VALUE"""),9.0)</f>
        <v>9</v>
      </c>
    </row>
    <row r="63">
      <c r="A63" s="70">
        <f>IFERROR(__xludf.DUMMYFUNCTION("""COMPUTED_VALUE"""),59.0)</f>
        <v>59</v>
      </c>
      <c r="B63" s="61" t="str">
        <f>IFERROR(__xludf.DUMMYFUNCTION("""COMPUTED_VALUE"""),"Desarrolla aplicaciones web con Flask o Django en Python para soportar arquitecturas backend y frontend bien definidas. ")</f>
        <v>Desarrolla aplicaciones web con Flask o Django en Python para soportar arquitecturas backend y frontend bien definidas. </v>
      </c>
      <c r="C63" s="70" t="str">
        <f>IFERROR(__xludf.DUMMYFUNCTION("""COMPUTED_VALUE"""),"6. Entorno para desarrollo Web en Python")</f>
        <v>6. Entorno para desarrollo Web en Python</v>
      </c>
      <c r="D63" s="61" t="str">
        <f>IFERROR(__xludf.DUMMYFUNCTION("""COMPUTED_VALUE"""),"Instalación y Configuración en Django")</f>
        <v>Instalación y Configuración en Django</v>
      </c>
      <c r="E63" s="61" t="str">
        <f>IFERROR(__xludf.DUMMYFUNCTION("""COMPUTED_VALUE"""),"Creando un módulo")</f>
        <v>Creando un módulo</v>
      </c>
      <c r="F63" s="70" t="str">
        <f>IFERROR(__xludf.DUMMYFUNCTION("""COMPUTED_VALUE"""),"Octubre")</f>
        <v>Octubre</v>
      </c>
      <c r="G63" s="70">
        <f>IFERROR(__xludf.DUMMYFUNCTION("""COMPUTED_VALUE"""),9.0)</f>
        <v>9</v>
      </c>
    </row>
    <row r="64">
      <c r="A64" s="70">
        <f>IFERROR(__xludf.DUMMYFUNCTION("""COMPUTED_VALUE"""),60.0)</f>
        <v>60</v>
      </c>
      <c r="B64" s="61" t="str">
        <f>IFERROR(__xludf.DUMMYFUNCTION("""COMPUTED_VALUE"""),"Desarrolla aplicaciones web con Flask o Django en Python para soportar arquitecturas backend y frontend bien definidas. ")</f>
        <v>Desarrolla aplicaciones web con Flask o Django en Python para soportar arquitecturas backend y frontend bien definidas. </v>
      </c>
      <c r="C64" s="70" t="str">
        <f>IFERROR(__xludf.DUMMYFUNCTION("""COMPUTED_VALUE"""),"6. Entorno para desarrollo Web en Python")</f>
        <v>6. Entorno para desarrollo Web en Python</v>
      </c>
      <c r="D64" s="61" t="str">
        <f>IFERROR(__xludf.DUMMYFUNCTION("""COMPUTED_VALUE"""),"Creación de Vistas y Uso de Plantillas en Django")</f>
        <v>Creación de Vistas y Uso de Plantillas en Django</v>
      </c>
      <c r="E64" s="61" t="str">
        <f>IFERROR(__xludf.DUMMYFUNCTION("""COMPUTED_VALUE"""),"Creando Vistas")</f>
        <v>Creando Vistas</v>
      </c>
      <c r="F64" s="70" t="str">
        <f>IFERROR(__xludf.DUMMYFUNCTION("""COMPUTED_VALUE"""),"Octubre")</f>
        <v>Octubre</v>
      </c>
      <c r="G64" s="70">
        <f>IFERROR(__xludf.DUMMYFUNCTION("""COMPUTED_VALUE"""),9.0)</f>
        <v>9</v>
      </c>
    </row>
    <row r="65">
      <c r="A65" s="70">
        <f>IFERROR(__xludf.DUMMYFUNCTION("""COMPUTED_VALUE"""),61.0)</f>
        <v>61</v>
      </c>
      <c r="B65" s="61" t="str">
        <f>IFERROR(__xludf.DUMMYFUNCTION("""COMPUTED_VALUE"""),"Desarrolla aplicaciones web con Flask o Django en Python para soportar arquitecturas backend y frontend bien definidas. ")</f>
        <v>Desarrolla aplicaciones web con Flask o Django en Python para soportar arquitecturas backend y frontend bien definidas. </v>
      </c>
      <c r="C65" s="70" t="str">
        <f>IFERROR(__xludf.DUMMYFUNCTION("""COMPUTED_VALUE"""),"6. Entorno para desarrollo Web en Python")</f>
        <v>6. Entorno para desarrollo Web en Python</v>
      </c>
      <c r="D65" s="61" t="str">
        <f>IFERROR(__xludf.DUMMYFUNCTION("""COMPUTED_VALUE"""),"Creación de Vistas y Uso de Plantillas en Django")</f>
        <v>Creación de Vistas y Uso de Plantillas en Django</v>
      </c>
      <c r="E65" s="61" t="str">
        <f>IFERROR(__xludf.DUMMYFUNCTION("""COMPUTED_VALUE"""),"Panel de administración de Django")</f>
        <v>Panel de administración de Django</v>
      </c>
      <c r="F65" s="70" t="str">
        <f>IFERROR(__xludf.DUMMYFUNCTION("""COMPUTED_VALUE"""),"Octubre")</f>
        <v>Octubre</v>
      </c>
      <c r="G65" s="70">
        <f>IFERROR(__xludf.DUMMYFUNCTION("""COMPUTED_VALUE"""),9.0)</f>
        <v>9</v>
      </c>
    </row>
    <row r="66">
      <c r="A66" s="70">
        <f>IFERROR(__xludf.DUMMYFUNCTION("""COMPUTED_VALUE"""),62.0)</f>
        <v>62</v>
      </c>
      <c r="B66" s="61" t="str">
        <f>IFERROR(__xludf.DUMMYFUNCTION("""COMPUTED_VALUE"""),"Desarrolla aplicaciones web con Flask o Django en Python para soportar arquitecturas backend y frontend bien definidas. ")</f>
        <v>Desarrolla aplicaciones web con Flask o Django en Python para soportar arquitecturas backend y frontend bien definidas. </v>
      </c>
      <c r="C66" s="70" t="str">
        <f>IFERROR(__xludf.DUMMYFUNCTION("""COMPUTED_VALUE"""),"6. Entorno para desarrollo Web en Python")</f>
        <v>6. Entorno para desarrollo Web en Python</v>
      </c>
      <c r="D66" s="61" t="str">
        <f>IFERROR(__xludf.DUMMYFUNCTION("""COMPUTED_VALUE"""),"Creación de Vistas y Uso de Plantillas en Django")</f>
        <v>Creación de Vistas y Uso de Plantillas en Django</v>
      </c>
      <c r="E66" s="61" t="str">
        <f>IFERROR(__xludf.DUMMYFUNCTION("""COMPUTED_VALUE"""),"Templates  y archivos estátitcos en Django")</f>
        <v>Templates  y archivos estátitcos en Django</v>
      </c>
      <c r="F66" s="70" t="str">
        <f>IFERROR(__xludf.DUMMYFUNCTION("""COMPUTED_VALUE"""),"Octubre")</f>
        <v>Octubre</v>
      </c>
      <c r="G66" s="70">
        <f>IFERROR(__xludf.DUMMYFUNCTION("""COMPUTED_VALUE"""),9.0)</f>
        <v>9</v>
      </c>
    </row>
    <row r="67">
      <c r="A67" s="70">
        <f>IFERROR(__xludf.DUMMYFUNCTION("""COMPUTED_VALUE"""),63.0)</f>
        <v>63</v>
      </c>
      <c r="B67" s="61" t="str">
        <f>IFERROR(__xludf.DUMMYFUNCTION("""COMPUTED_VALUE"""),"Implementa comunicación cliente-servidor mediante protocolos HTTP/HTTPS para desarrollar APIs seguras y eficientes ")</f>
        <v>Implementa comunicación cliente-servidor mediante protocolos HTTP/HTTPS para desarrollar APIs seguras y eficientes </v>
      </c>
      <c r="C67" s="70" t="str">
        <f>IFERROR(__xludf.DUMMYFUNCTION("""COMPUTED_VALUE"""),"7. JavaScript Object Notation (JSON)")</f>
        <v>7. JavaScript Object Notation (JSON)</v>
      </c>
      <c r="D67" s="61" t="str">
        <f>IFERROR(__xludf.DUMMYFUNCTION("""COMPUTED_VALUE"""),"Estructura y Manejo de Datos JSON")</f>
        <v>Estructura y Manejo de Datos JSON</v>
      </c>
      <c r="E67" s="61" t="str">
        <f>IFERROR(__xludf.DUMMYFUNCTION("""COMPUTED_VALUE"""),"Sintaxis de JSON, JSON vs XML")</f>
        <v>Sintaxis de JSON, JSON vs XML</v>
      </c>
      <c r="F67" s="70" t="str">
        <f>IFERROR(__xludf.DUMMYFUNCTION("""COMPUTED_VALUE"""),"Octubre")</f>
        <v>Octubre</v>
      </c>
      <c r="G67" s="70">
        <f>IFERROR(__xludf.DUMMYFUNCTION("""COMPUTED_VALUE"""),10.0)</f>
        <v>10</v>
      </c>
    </row>
    <row r="68">
      <c r="A68" s="70">
        <f>IFERROR(__xludf.DUMMYFUNCTION("""COMPUTED_VALUE"""),64.0)</f>
        <v>64</v>
      </c>
      <c r="B68" s="61" t="str">
        <f>IFERROR(__xludf.DUMMYFUNCTION("""COMPUTED_VALUE"""),"Implementa comunicación cliente-servidor mediante protocolos HTTP/HTTPS para desarrollar APIs seguras y eficientes ")</f>
        <v>Implementa comunicación cliente-servidor mediante protocolos HTTP/HTTPS para desarrollar APIs seguras y eficientes </v>
      </c>
      <c r="C68" s="70" t="str">
        <f>IFERROR(__xludf.DUMMYFUNCTION("""COMPUTED_VALUE"""),"7. JavaScript Object Notation (JSON)")</f>
        <v>7. JavaScript Object Notation (JSON)</v>
      </c>
      <c r="D68" s="61" t="str">
        <f>IFERROR(__xludf.DUMMYFUNCTION("""COMPUTED_VALUE"""),"Estructura y Manejo de Datos JSON")</f>
        <v>Estructura y Manejo de Datos JSON</v>
      </c>
      <c r="E68" s="61" t="str">
        <f>IFERROR(__xludf.DUMMYFUNCTION("""COMPUTED_VALUE"""),"Tipos de datos JSON")</f>
        <v>Tipos de datos JSON</v>
      </c>
      <c r="F68" s="70" t="str">
        <f>IFERROR(__xludf.DUMMYFUNCTION("""COMPUTED_VALUE"""),"Octubre")</f>
        <v>Octubre</v>
      </c>
      <c r="G68" s="70">
        <f>IFERROR(__xludf.DUMMYFUNCTION("""COMPUTED_VALUE"""),10.0)</f>
        <v>10</v>
      </c>
    </row>
    <row r="69">
      <c r="A69" s="70">
        <f>IFERROR(__xludf.DUMMYFUNCTION("""COMPUTED_VALUE"""),65.0)</f>
        <v>65</v>
      </c>
      <c r="B69" s="61" t="str">
        <f>IFERROR(__xludf.DUMMYFUNCTION("""COMPUTED_VALUE"""),"Implementa comunicación cliente-servidor mediante protocolos HTTP/HTTPS para desarrollar APIs seguras y eficientes ")</f>
        <v>Implementa comunicación cliente-servidor mediante protocolos HTTP/HTTPS para desarrollar APIs seguras y eficientes </v>
      </c>
      <c r="C69" s="70" t="str">
        <f>IFERROR(__xludf.DUMMYFUNCTION("""COMPUTED_VALUE"""),"7. JavaScript Object Notation (JSON)")</f>
        <v>7. JavaScript Object Notation (JSON)</v>
      </c>
      <c r="D69" s="61" t="str">
        <f>IFERROR(__xludf.DUMMYFUNCTION("""COMPUTED_VALUE"""),"Estructura y Manejo de Datos JSON")</f>
        <v>Estructura y Manejo de Datos JSON</v>
      </c>
      <c r="E69" s="61" t="str">
        <f>IFERROR(__xludf.DUMMYFUNCTION("""COMPUTED_VALUE"""),"JSON Parse, Stringify, Objects, Arrays")</f>
        <v>JSON Parse, Stringify, Objects, Arrays</v>
      </c>
      <c r="F69" s="70" t="str">
        <f>IFERROR(__xludf.DUMMYFUNCTION("""COMPUTED_VALUE"""),"Octubre")</f>
        <v>Octubre</v>
      </c>
      <c r="G69" s="70">
        <f>IFERROR(__xludf.DUMMYFUNCTION("""COMPUTED_VALUE"""),10.0)</f>
        <v>10</v>
      </c>
    </row>
    <row r="70">
      <c r="A70" s="70">
        <f>IFERROR(__xludf.DUMMYFUNCTION("""COMPUTED_VALUE"""),66.0)</f>
        <v>66</v>
      </c>
      <c r="B70" s="61" t="str">
        <f>IFERROR(__xludf.DUMMYFUNCTION("""COMPUTED_VALUE"""),"Crea páginas Web Básicas utilizando HTML5 y CSS para estructurar y dar estili a componentes web. ")</f>
        <v>Crea páginas Web Básicas utilizando HTML5 y CSS para estructurar y dar estili a componentes web. </v>
      </c>
      <c r="C70" s="70" t="str">
        <f>IFERROR(__xludf.DUMMYFUNCTION("""COMPUTED_VALUE"""),"8. Acceso a datos web")</f>
        <v>8. Acceso a datos web</v>
      </c>
      <c r="D70" s="61" t="str">
        <f>IFERROR(__xludf.DUMMYFUNCTION("""COMPUTED_VALUE"""),"Acceso y Manejo de Datos Web mediante HTTP en Python")</f>
        <v>Acceso y Manejo de Datos Web mediante HTTP en Python</v>
      </c>
      <c r="E70" s="61" t="str">
        <f>IFERROR(__xludf.DUMMYFUNCTION("""COMPUTED_VALUE"""),"Internet como origen de datos")</f>
        <v>Internet como origen de datos</v>
      </c>
      <c r="F70" s="70" t="str">
        <f>IFERROR(__xludf.DUMMYFUNCTION("""COMPUTED_VALUE"""),"Octubre")</f>
        <v>Octubre</v>
      </c>
      <c r="G70" s="70">
        <f>IFERROR(__xludf.DUMMYFUNCTION("""COMPUTED_VALUE"""),10.0)</f>
        <v>10</v>
      </c>
    </row>
    <row r="71">
      <c r="A71" s="70">
        <f>IFERROR(__xludf.DUMMYFUNCTION("""COMPUTED_VALUE"""),67.0)</f>
        <v>67</v>
      </c>
      <c r="B71" s="61" t="str">
        <f>IFERROR(__xludf.DUMMYFUNCTION("""COMPUTED_VALUE"""),"Crea páginas Web Básicas utilizando HTML5 y CSS para estructurar y dar estili a componentes web. ")</f>
        <v>Crea páginas Web Básicas utilizando HTML5 y CSS para estructurar y dar estili a componentes web. </v>
      </c>
      <c r="C71" s="70" t="str">
        <f>IFERROR(__xludf.DUMMYFUNCTION("""COMPUTED_VALUE"""),"8. Acceso a datos web")</f>
        <v>8. Acceso a datos web</v>
      </c>
      <c r="D71" s="61" t="str">
        <f>IFERROR(__xludf.DUMMYFUNCTION("""COMPUTED_VALUE"""),"Acceso y Manejo de Datos Web mediante HTTP en Python")</f>
        <v>Acceso y Manejo de Datos Web mediante HTTP en Python</v>
      </c>
      <c r="E71" s="61" t="str">
        <f>IFERROR(__xludf.DUMMYFUNCTION("""COMPUTED_VALUE"""),"Protocolo HTTP y Códigos de error")</f>
        <v>Protocolo HTTP y Códigos de error</v>
      </c>
      <c r="F71" s="70" t="str">
        <f>IFERROR(__xludf.DUMMYFUNCTION("""COMPUTED_VALUE"""),"Octubre")</f>
        <v>Octubre</v>
      </c>
      <c r="G71" s="70">
        <f>IFERROR(__xludf.DUMMYFUNCTION("""COMPUTED_VALUE"""),10.0)</f>
        <v>10</v>
      </c>
    </row>
    <row r="72">
      <c r="A72" s="70">
        <f>IFERROR(__xludf.DUMMYFUNCTION("""COMPUTED_VALUE"""),68.0)</f>
        <v>68</v>
      </c>
      <c r="B72" s="61" t="str">
        <f>IFERROR(__xludf.DUMMYFUNCTION("""COMPUTED_VALUE"""),"Crea páginas Web Básicas utilizando HTML5 y CSS para estructurar y dar estili a componentes web. ")</f>
        <v>Crea páginas Web Básicas utilizando HTML5 y CSS para estructurar y dar estili a componentes web. </v>
      </c>
      <c r="C72" s="70" t="str">
        <f>IFERROR(__xludf.DUMMYFUNCTION("""COMPUTED_VALUE"""),"8. Acceso a datos web")</f>
        <v>8. Acceso a datos web</v>
      </c>
      <c r="D72" s="61" t="str">
        <f>IFERROR(__xludf.DUMMYFUNCTION("""COMPUTED_VALUE"""),"Acceso y Manejo de Datos Web mediante HTTP en Python")</f>
        <v>Acceso y Manejo de Datos Web mediante HTTP en Python</v>
      </c>
      <c r="E72" s="61" t="str">
        <f>IFERROR(__xludf.DUMMYFUNCTION("""COMPUTED_VALUE"""),"Peticiones HTTP en Python y librería en Python para realizar peticiones HTTP")</f>
        <v>Peticiones HTTP en Python y librería en Python para realizar peticiones HTTP</v>
      </c>
      <c r="F72" s="70" t="str">
        <f>IFERROR(__xludf.DUMMYFUNCTION("""COMPUTED_VALUE"""),"Octubre")</f>
        <v>Octubre</v>
      </c>
      <c r="G72" s="70">
        <f>IFERROR(__xludf.DUMMYFUNCTION("""COMPUTED_VALUE"""),10.0)</f>
        <v>10</v>
      </c>
    </row>
    <row r="73">
      <c r="A73" s="70">
        <f>IFERROR(__xludf.DUMMYFUNCTION("""COMPUTED_VALUE"""),69.0)</f>
        <v>69</v>
      </c>
      <c r="B73" s="61" t="str">
        <f>IFERROR(__xludf.DUMMYFUNCTION("""COMPUTED_VALUE"""),"Crea páginas Web Básicas utilizando HTML5 y CSS para estructurar y dar estili a componentes web. ")</f>
        <v>Crea páginas Web Básicas utilizando HTML5 y CSS para estructurar y dar estili a componentes web. </v>
      </c>
      <c r="C73" s="70" t="str">
        <f>IFERROR(__xludf.DUMMYFUNCTION("""COMPUTED_VALUE"""),"8. Acceso a datos web")</f>
        <v>8. Acceso a datos web</v>
      </c>
      <c r="D73" s="61" t="str">
        <f>IFERROR(__xludf.DUMMYFUNCTION("""COMPUTED_VALUE"""),"Acceso y Manejo de Datos Web mediante HTTP en Python")</f>
        <v>Acceso y Manejo de Datos Web mediante HTTP en Python</v>
      </c>
      <c r="E73" s="61" t="str">
        <f>IFERROR(__xludf.DUMMYFUNCTION("""COMPUTED_VALUE"""),"Lectura de archivos binarios mediante peticiones HTTP y Análisis de XML en Peticiones")</f>
        <v>Lectura de archivos binarios mediante peticiones HTTP y Análisis de XML en Peticiones</v>
      </c>
      <c r="F73" s="70" t="str">
        <f>IFERROR(__xludf.DUMMYFUNCTION("""COMPUTED_VALUE"""),"Octubre")</f>
        <v>Octubre</v>
      </c>
      <c r="G73" s="70">
        <f>IFERROR(__xludf.DUMMYFUNCTION("""COMPUTED_VALUE"""),10.0)</f>
        <v>10</v>
      </c>
    </row>
    <row r="74">
      <c r="A74" s="70">
        <f>IFERROR(__xludf.DUMMYFUNCTION("""COMPUTED_VALUE"""),70.0)</f>
        <v>70</v>
      </c>
      <c r="B74" s="61" t="str">
        <f>IFERROR(__xludf.DUMMYFUNCTION("""COMPUTED_VALUE"""),"Implementa comunicación cliente-servidor mediante protocolos HTTP/HTTPS para desarrollar APIs seguras y eficientes ")</f>
        <v>Implementa comunicación cliente-servidor mediante protocolos HTTP/HTTPS para desarrollar APIs seguras y eficientes </v>
      </c>
      <c r="C74" s="70" t="str">
        <f>IFERROR(__xludf.DUMMYFUNCTION("""COMPUTED_VALUE"""),"8. Acceso a datos web")</f>
        <v>8. Acceso a datos web</v>
      </c>
      <c r="D74" s="61" t="str">
        <f>IFERROR(__xludf.DUMMYFUNCTION("""COMPUTED_VALUE"""),"Interacción y Seguridad en APIs y Datos Web")</f>
        <v>Interacción y Seguridad en APIs y Datos Web</v>
      </c>
      <c r="E74" s="61" t="str">
        <f>IFERROR(__xludf.DUMMYFUNCTION("""COMPUTED_VALUE"""),"Desplazamiento a través de los nodos")</f>
        <v>Desplazamiento a través de los nodos</v>
      </c>
      <c r="F74" s="70" t="str">
        <f>IFERROR(__xludf.DUMMYFUNCTION("""COMPUTED_VALUE"""),"Noviembre")</f>
        <v>Noviembre</v>
      </c>
      <c r="G74" s="70">
        <f>IFERROR(__xludf.DUMMYFUNCTION("""COMPUTED_VALUE"""),11.0)</f>
        <v>11</v>
      </c>
    </row>
    <row r="75">
      <c r="A75" s="70">
        <f>IFERROR(__xludf.DUMMYFUNCTION("""COMPUTED_VALUE"""),71.0)</f>
        <v>71</v>
      </c>
      <c r="B75" s="61" t="str">
        <f>IFERROR(__xludf.DUMMYFUNCTION("""COMPUTED_VALUE"""),"Implementa comunicación cliente-servidor mediante protocolos HTTP/HTTPS para desarrollar APIs seguras y eficientes ")</f>
        <v>Implementa comunicación cliente-servidor mediante protocolos HTTP/HTTPS para desarrollar APIs seguras y eficientes </v>
      </c>
      <c r="C75" s="70" t="str">
        <f>IFERROR(__xludf.DUMMYFUNCTION("""COMPUTED_VALUE"""),"8. Acceso a datos web")</f>
        <v>8. Acceso a datos web</v>
      </c>
      <c r="D75" s="61" t="str">
        <f>IFERROR(__xludf.DUMMYFUNCTION("""COMPUTED_VALUE"""),"Interacción y Seguridad en APIs y Datos Web")</f>
        <v>Interacción y Seguridad en APIs y Datos Web</v>
      </c>
      <c r="E75" s="61" t="str">
        <f>IFERROR(__xludf.DUMMYFUNCTION("""COMPUTED_VALUE"""),"Análisis JSON en Peticiones")</f>
        <v>Análisis JSON en Peticiones</v>
      </c>
      <c r="F75" s="70" t="str">
        <f>IFERROR(__xludf.DUMMYFUNCTION("""COMPUTED_VALUE"""),"Noviembre")</f>
        <v>Noviembre</v>
      </c>
      <c r="G75" s="70">
        <f>IFERROR(__xludf.DUMMYFUNCTION("""COMPUTED_VALUE"""),11.0)</f>
        <v>11</v>
      </c>
    </row>
    <row r="76">
      <c r="A76" s="70">
        <f>IFERROR(__xludf.DUMMYFUNCTION("""COMPUTED_VALUE"""),72.0)</f>
        <v>72</v>
      </c>
      <c r="B76" s="61" t="str">
        <f>IFERROR(__xludf.DUMMYFUNCTION("""COMPUTED_VALUE"""),"Implementa comunicación cliente-servidor mediante protocolos HTTP/HTTPS para desarrollar APIs seguras y eficientes ")</f>
        <v>Implementa comunicación cliente-servidor mediante protocolos HTTP/HTTPS para desarrollar APIs seguras y eficientes </v>
      </c>
      <c r="C76" s="70" t="str">
        <f>IFERROR(__xludf.DUMMYFUNCTION("""COMPUTED_VALUE"""),"8. Acceso a datos web")</f>
        <v>8. Acceso a datos web</v>
      </c>
      <c r="D76" s="61" t="str">
        <f>IFERROR(__xludf.DUMMYFUNCTION("""COMPUTED_VALUE"""),"Interacción y Seguridad en APIs y Datos Web")</f>
        <v>Interacción y Seguridad en APIs y Datos Web</v>
      </c>
      <c r="E76" s="61" t="str">
        <f>IFERROR(__xludf.DUMMYFUNCTION("""COMPUTED_VALUE"""),"Interfaces de programación de aplicaciones")</f>
        <v>Interfaces de programación de aplicaciones</v>
      </c>
      <c r="F76" s="70" t="str">
        <f>IFERROR(__xludf.DUMMYFUNCTION("""COMPUTED_VALUE"""),"Noviembre")</f>
        <v>Noviembre</v>
      </c>
      <c r="G76" s="70">
        <f>IFERROR(__xludf.DUMMYFUNCTION("""COMPUTED_VALUE"""),11.0)</f>
        <v>11</v>
      </c>
    </row>
    <row r="77">
      <c r="A77" s="70">
        <f>IFERROR(__xludf.DUMMYFUNCTION("""COMPUTED_VALUE"""),73.0)</f>
        <v>73</v>
      </c>
      <c r="B77" s="61" t="str">
        <f>IFERROR(__xludf.DUMMYFUNCTION("""COMPUTED_VALUE"""),"Implementa comunicación cliente-servidor mediante protocolos HTTP/HTTPS para desarrollar APIs seguras y eficientes ")</f>
        <v>Implementa comunicación cliente-servidor mediante protocolos HTTP/HTTPS para desarrollar APIs seguras y eficientes </v>
      </c>
      <c r="C77" s="70" t="str">
        <f>IFERROR(__xludf.DUMMYFUNCTION("""COMPUTED_VALUE"""),"8. Acceso a datos web")</f>
        <v>8. Acceso a datos web</v>
      </c>
      <c r="D77" s="61" t="str">
        <f>IFERROR(__xludf.DUMMYFUNCTION("""COMPUTED_VALUE"""),"Interacción y Seguridad en APIs y Datos Web")</f>
        <v>Interacción y Seguridad en APIs y Datos Web</v>
      </c>
      <c r="E77" s="61" t="str">
        <f>IFERROR(__xludf.DUMMYFUNCTION("""COMPUTED_VALUE"""),"API")</f>
        <v>API</v>
      </c>
      <c r="F77" s="70" t="str">
        <f>IFERROR(__xludf.DUMMYFUNCTION("""COMPUTED_VALUE"""),"Noviembre")</f>
        <v>Noviembre</v>
      </c>
      <c r="G77" s="70">
        <f>IFERROR(__xludf.DUMMYFUNCTION("""COMPUTED_VALUE"""),11.0)</f>
        <v>11</v>
      </c>
    </row>
    <row r="78">
      <c r="A78" s="70">
        <f>IFERROR(__xludf.DUMMYFUNCTION("""COMPUTED_VALUE"""),74.0)</f>
        <v>74</v>
      </c>
      <c r="B78" s="61" t="str">
        <f>IFERROR(__xludf.DUMMYFUNCTION("""COMPUTED_VALUE"""),"Implementa comunicación cliente-servidor mediante protocolos HTTP/HTTPS para desarrollar APIs seguras y eficientes ")</f>
        <v>Implementa comunicación cliente-servidor mediante protocolos HTTP/HTTPS para desarrollar APIs seguras y eficientes </v>
      </c>
      <c r="C78" s="70" t="str">
        <f>IFERROR(__xludf.DUMMYFUNCTION("""COMPUTED_VALUE"""),"8. Acceso a datos web")</f>
        <v>8. Acceso a datos web</v>
      </c>
      <c r="D78" s="61" t="str">
        <f>IFERROR(__xludf.DUMMYFUNCTION("""COMPUTED_VALUE"""),"Interacción y Seguridad en APIs y Datos Web")</f>
        <v>Interacción y Seguridad en APIs y Datos Web</v>
      </c>
      <c r="E78" s="61" t="str">
        <f>IFERROR(__xludf.DUMMYFUNCTION("""COMPUTED_VALUE"""),"Seguridad y uso de API’s")</f>
        <v>Seguridad y uso de API’s</v>
      </c>
      <c r="F78" s="70" t="str">
        <f>IFERROR(__xludf.DUMMYFUNCTION("""COMPUTED_VALUE"""),"Noviembre")</f>
        <v>Noviembre</v>
      </c>
      <c r="G78" s="70">
        <f>IFERROR(__xludf.DUMMYFUNCTION("""COMPUTED_VALUE"""),11.0)</f>
        <v>11</v>
      </c>
    </row>
    <row r="79">
      <c r="A79" s="70">
        <f>IFERROR(__xludf.DUMMYFUNCTION("""COMPUTED_VALUE"""),75.0)</f>
        <v>75</v>
      </c>
      <c r="B79" s="61" t="str">
        <f>IFERROR(__xludf.DUMMYFUNCTION("""COMPUTED_VALUE"""),"Implementa comunicación cliente-servidor mediante protocolos HTTP/HTTPS para desarrollar APIs seguras y eficientes ")</f>
        <v>Implementa comunicación cliente-servidor mediante protocolos HTTP/HTTPS para desarrollar APIs seguras y eficientes </v>
      </c>
      <c r="C79" s="70" t="str">
        <f>IFERROR(__xludf.DUMMYFUNCTION("""COMPUTED_VALUE"""),"8. Acceso a datos web")</f>
        <v>8. Acceso a datos web</v>
      </c>
      <c r="D79" s="61" t="str">
        <f>IFERROR(__xludf.DUMMYFUNCTION("""COMPUTED_VALUE"""),"Interacción y Seguridad en APIs y Datos Web")</f>
        <v>Interacción y Seguridad en APIs y Datos Web</v>
      </c>
      <c r="E79" s="61" t="str">
        <f>IFERROR(__xludf.DUMMYFUNCTION("""COMPUTED_VALUE"""),"Autenticación y autorización en API's")</f>
        <v>Autenticación y autorización en API's</v>
      </c>
      <c r="F79" s="70" t="str">
        <f>IFERROR(__xludf.DUMMYFUNCTION("""COMPUTED_VALUE"""),"Noviembre")</f>
        <v>Noviembre</v>
      </c>
      <c r="G79" s="70">
        <f>IFERROR(__xludf.DUMMYFUNCTION("""COMPUTED_VALUE"""),11.0)</f>
        <v>11</v>
      </c>
    </row>
    <row r="80">
      <c r="A80" s="70">
        <f>IFERROR(__xludf.DUMMYFUNCTION("""COMPUTED_VALUE"""),76.0)</f>
        <v>76</v>
      </c>
      <c r="B80" s="61" t="str">
        <f>IFERROR(__xludf.DUMMYFUNCTION("""COMPUTED_VALUE"""),"Implementa comunicación cliente-servidor mediante protocolos HTTP/HTTPS para desarrollar APIs seguras y eficientes ")</f>
        <v>Implementa comunicación cliente-servidor mediante protocolos HTTP/HTTPS para desarrollar APIs seguras y eficientes </v>
      </c>
      <c r="C80" s="70" t="str">
        <f>IFERROR(__xludf.DUMMYFUNCTION("""COMPUTED_VALUE"""),"8. Acceso a datos web")</f>
        <v>8. Acceso a datos web</v>
      </c>
      <c r="D80" s="61" t="str">
        <f>IFERROR(__xludf.DUMMYFUNCTION("""COMPUTED_VALUE"""),"Interacción y Seguridad en APIs y Datos Web")</f>
        <v>Interacción y Seguridad en APIs y Datos Web</v>
      </c>
      <c r="E80" s="61" t="str">
        <f>IFERROR(__xludf.DUMMYFUNCTION("""COMPUTED_VALUE"""),"Manejo de respuestas asíncronas y promesas")</f>
        <v>Manejo de respuestas asíncronas y promesas</v>
      </c>
      <c r="F80" s="70" t="str">
        <f>IFERROR(__xludf.DUMMYFUNCTION("""COMPUTED_VALUE"""),"Noviembre")</f>
        <v>Noviembre</v>
      </c>
      <c r="G80" s="70">
        <f>IFERROR(__xludf.DUMMYFUNCTION("""COMPUTED_VALUE"""),11.0)</f>
        <v>11</v>
      </c>
    </row>
    <row r="81">
      <c r="A81" s="70"/>
      <c r="B81" s="61"/>
      <c r="C81" s="70"/>
      <c r="D81" s="61"/>
      <c r="E81" s="61"/>
      <c r="F81" s="70"/>
      <c r="G81" s="70"/>
    </row>
    <row r="82">
      <c r="A82" s="70"/>
      <c r="B82" s="61"/>
      <c r="C82" s="70"/>
      <c r="D82" s="61"/>
      <c r="E82" s="61"/>
      <c r="F82" s="70"/>
      <c r="G82" s="70"/>
    </row>
    <row r="83">
      <c r="A83" s="70"/>
      <c r="B83" s="61"/>
      <c r="C83" s="70"/>
      <c r="D83" s="61"/>
      <c r="E83" s="61"/>
      <c r="F83" s="70"/>
      <c r="G83" s="70"/>
    </row>
    <row r="84">
      <c r="A84" s="70"/>
      <c r="B84" s="61"/>
      <c r="C84" s="70"/>
      <c r="D84" s="61"/>
      <c r="E84" s="61"/>
      <c r="F84" s="70"/>
      <c r="G84" s="70"/>
    </row>
    <row r="85">
      <c r="A85" s="70"/>
      <c r="B85" s="61"/>
      <c r="C85" s="70"/>
      <c r="D85" s="61"/>
      <c r="E85" s="61"/>
      <c r="F85" s="70"/>
      <c r="G85" s="70"/>
    </row>
    <row r="86">
      <c r="A86" s="70"/>
      <c r="B86" s="61"/>
      <c r="C86" s="70"/>
      <c r="D86" s="61"/>
      <c r="E86" s="61"/>
      <c r="F86" s="70"/>
      <c r="G86" s="70"/>
    </row>
    <row r="87">
      <c r="A87" s="70"/>
      <c r="B87" s="61"/>
      <c r="C87" s="70"/>
      <c r="D87" s="61"/>
      <c r="E87" s="61"/>
      <c r="F87" s="70"/>
      <c r="G87" s="70"/>
    </row>
    <row r="88">
      <c r="A88" s="70"/>
      <c r="B88" s="61"/>
      <c r="C88" s="70"/>
      <c r="D88" s="61"/>
      <c r="E88" s="61"/>
      <c r="F88" s="70"/>
      <c r="G88" s="70"/>
    </row>
    <row r="89">
      <c r="A89" s="70"/>
      <c r="B89" s="61"/>
      <c r="C89" s="70"/>
      <c r="D89" s="61"/>
      <c r="E89" s="61"/>
      <c r="F89" s="70"/>
      <c r="G89" s="70"/>
    </row>
    <row r="90">
      <c r="A90" s="70"/>
      <c r="B90" s="61"/>
      <c r="C90" s="70"/>
      <c r="D90" s="61"/>
      <c r="E90" s="61"/>
      <c r="F90" s="70"/>
      <c r="G90" s="70"/>
    </row>
    <row r="91">
      <c r="A91" s="70"/>
      <c r="B91" s="61"/>
      <c r="C91" s="70"/>
      <c r="D91" s="61"/>
      <c r="E91" s="61"/>
      <c r="F91" s="70"/>
      <c r="G91" s="70"/>
    </row>
    <row r="92">
      <c r="A92" s="70"/>
      <c r="B92" s="61"/>
      <c r="C92" s="70"/>
      <c r="D92" s="61"/>
      <c r="E92" s="61"/>
      <c r="F92" s="70"/>
      <c r="G92" s="70"/>
    </row>
    <row r="93">
      <c r="A93" s="70"/>
      <c r="B93" s="61"/>
      <c r="C93" s="70"/>
      <c r="D93" s="61"/>
      <c r="E93" s="61"/>
      <c r="F93" s="70"/>
      <c r="G93" s="70"/>
    </row>
    <row r="94">
      <c r="A94" s="70"/>
      <c r="B94" s="61"/>
      <c r="C94" s="70"/>
      <c r="D94" s="61"/>
      <c r="E94" s="61"/>
      <c r="F94" s="70"/>
      <c r="G94" s="70"/>
    </row>
    <row r="95">
      <c r="A95" s="70"/>
      <c r="B95" s="61"/>
      <c r="C95" s="70"/>
      <c r="D95" s="61"/>
      <c r="E95" s="61"/>
      <c r="F95" s="70"/>
      <c r="G95" s="70"/>
    </row>
    <row r="96">
      <c r="A96" s="70"/>
      <c r="B96" s="61"/>
      <c r="C96" s="70"/>
      <c r="D96" s="61"/>
      <c r="E96" s="61"/>
      <c r="F96" s="70"/>
      <c r="G96" s="70"/>
    </row>
    <row r="97">
      <c r="A97" s="70"/>
      <c r="B97" s="61"/>
      <c r="C97" s="70"/>
      <c r="D97" s="61"/>
      <c r="E97" s="61"/>
      <c r="F97" s="70"/>
      <c r="G97" s="70"/>
    </row>
    <row r="98">
      <c r="A98" s="70"/>
      <c r="B98" s="61"/>
      <c r="C98" s="70"/>
      <c r="D98" s="61"/>
      <c r="E98" s="61"/>
      <c r="F98" s="70"/>
      <c r="G98" s="70"/>
    </row>
    <row r="99">
      <c r="A99" s="70"/>
      <c r="B99" s="61"/>
      <c r="C99" s="70"/>
      <c r="D99" s="61"/>
      <c r="E99" s="61"/>
      <c r="F99" s="70"/>
      <c r="G99" s="70"/>
    </row>
    <row r="100">
      <c r="A100" s="70"/>
      <c r="B100" s="61"/>
      <c r="C100" s="70"/>
      <c r="D100" s="61"/>
      <c r="E100" s="61"/>
      <c r="F100" s="70"/>
      <c r="G100" s="70"/>
    </row>
    <row r="101">
      <c r="A101" s="70"/>
      <c r="B101" s="61"/>
      <c r="C101" s="70"/>
      <c r="D101" s="61"/>
      <c r="E101" s="61"/>
      <c r="F101" s="70"/>
      <c r="G101" s="70"/>
    </row>
    <row r="102">
      <c r="A102" s="70"/>
      <c r="B102" s="61"/>
      <c r="C102" s="70"/>
      <c r="D102" s="61"/>
      <c r="E102" s="61"/>
      <c r="F102" s="70"/>
      <c r="G102" s="70"/>
    </row>
    <row r="103">
      <c r="A103" s="70"/>
      <c r="B103" s="61"/>
      <c r="C103" s="70"/>
      <c r="D103" s="61"/>
      <c r="E103" s="61"/>
      <c r="F103" s="70"/>
      <c r="G103" s="70"/>
    </row>
    <row r="104">
      <c r="A104" s="70"/>
      <c r="B104" s="61"/>
      <c r="C104" s="70"/>
      <c r="D104" s="61"/>
      <c r="E104" s="61"/>
      <c r="F104" s="70"/>
      <c r="G104" s="70"/>
    </row>
    <row r="105">
      <c r="A105" s="70"/>
      <c r="B105" s="61"/>
      <c r="C105" s="70"/>
      <c r="D105" s="61"/>
      <c r="E105" s="61"/>
      <c r="F105" s="70"/>
      <c r="G105" s="70"/>
    </row>
    <row r="106">
      <c r="A106" s="70"/>
      <c r="B106" s="61"/>
      <c r="C106" s="70"/>
      <c r="D106" s="61"/>
      <c r="E106" s="61"/>
      <c r="F106" s="70"/>
      <c r="G106" s="70"/>
    </row>
    <row r="107">
      <c r="A107" s="70"/>
      <c r="B107" s="61"/>
      <c r="C107" s="70"/>
      <c r="D107" s="61"/>
      <c r="E107" s="61"/>
      <c r="F107" s="70"/>
      <c r="G107" s="70"/>
    </row>
    <row r="108">
      <c r="A108" s="70"/>
      <c r="B108" s="61"/>
      <c r="C108" s="70"/>
      <c r="D108" s="61"/>
      <c r="E108" s="61"/>
      <c r="F108" s="70"/>
      <c r="G108" s="70"/>
    </row>
    <row r="109">
      <c r="A109" s="70"/>
      <c r="B109" s="61"/>
      <c r="C109" s="70"/>
      <c r="D109" s="61"/>
      <c r="E109" s="61"/>
      <c r="F109" s="70"/>
      <c r="G109" s="70"/>
    </row>
    <row r="110">
      <c r="A110" s="70"/>
      <c r="B110" s="61"/>
      <c r="C110" s="70"/>
      <c r="D110" s="61"/>
      <c r="E110" s="61"/>
      <c r="F110" s="70"/>
      <c r="G110" s="70"/>
    </row>
    <row r="111">
      <c r="A111" s="70"/>
      <c r="B111" s="61"/>
      <c r="C111" s="70"/>
      <c r="D111" s="61"/>
      <c r="E111" s="61"/>
      <c r="F111" s="70"/>
      <c r="G111" s="70"/>
    </row>
    <row r="112">
      <c r="A112" s="70"/>
      <c r="B112" s="61"/>
      <c r="C112" s="70"/>
      <c r="D112" s="61"/>
      <c r="E112" s="61"/>
      <c r="F112" s="70"/>
      <c r="G112" s="70"/>
    </row>
    <row r="113">
      <c r="A113" s="70"/>
      <c r="B113" s="61"/>
      <c r="C113" s="70"/>
      <c r="D113" s="61"/>
      <c r="E113" s="61"/>
      <c r="F113" s="70"/>
      <c r="G113" s="70"/>
    </row>
    <row r="114">
      <c r="A114" s="70"/>
      <c r="B114" s="61"/>
      <c r="C114" s="70"/>
      <c r="D114" s="61"/>
      <c r="E114" s="61"/>
      <c r="F114" s="70"/>
      <c r="G114" s="70"/>
    </row>
    <row r="115">
      <c r="A115" s="70"/>
      <c r="B115" s="61"/>
      <c r="C115" s="70"/>
      <c r="D115" s="61"/>
      <c r="E115" s="61"/>
      <c r="F115" s="70"/>
      <c r="G115" s="70"/>
    </row>
    <row r="116">
      <c r="A116" s="70"/>
      <c r="B116" s="61"/>
      <c r="C116" s="70"/>
      <c r="D116" s="61"/>
      <c r="E116" s="61"/>
      <c r="F116" s="70"/>
      <c r="G116" s="70"/>
    </row>
    <row r="117">
      <c r="A117" s="70"/>
      <c r="B117" s="61"/>
      <c r="C117" s="70"/>
      <c r="D117" s="61"/>
      <c r="E117" s="61"/>
      <c r="F117" s="70"/>
      <c r="G117" s="70"/>
    </row>
    <row r="118">
      <c r="A118" s="70"/>
      <c r="B118" s="61"/>
      <c r="C118" s="70"/>
      <c r="D118" s="61"/>
      <c r="E118" s="61"/>
      <c r="F118" s="70"/>
      <c r="G118" s="70"/>
    </row>
    <row r="119">
      <c r="A119" s="70"/>
      <c r="B119" s="61"/>
      <c r="C119" s="70"/>
      <c r="D119" s="61"/>
      <c r="E119" s="61"/>
      <c r="F119" s="70"/>
      <c r="G119" s="70"/>
    </row>
    <row r="120">
      <c r="A120" s="70"/>
      <c r="B120" s="61"/>
      <c r="C120" s="70"/>
      <c r="D120" s="61"/>
      <c r="E120" s="61"/>
      <c r="F120" s="70"/>
      <c r="G120" s="70"/>
    </row>
    <row r="121">
      <c r="A121" s="70"/>
      <c r="B121" s="61"/>
      <c r="C121" s="70"/>
      <c r="D121" s="61"/>
      <c r="E121" s="61"/>
      <c r="F121" s="70"/>
      <c r="G121" s="70"/>
    </row>
    <row r="122">
      <c r="A122" s="70"/>
      <c r="B122" s="61"/>
      <c r="C122" s="70"/>
      <c r="D122" s="61"/>
      <c r="E122" s="61"/>
      <c r="F122" s="70"/>
      <c r="G122" s="70"/>
    </row>
    <row r="123">
      <c r="A123" s="70"/>
      <c r="B123" s="61"/>
      <c r="C123" s="70"/>
      <c r="D123" s="61"/>
      <c r="E123" s="61"/>
      <c r="F123" s="70"/>
      <c r="G123" s="70"/>
    </row>
    <row r="124">
      <c r="A124" s="70"/>
      <c r="B124" s="61"/>
      <c r="C124" s="70"/>
      <c r="D124" s="61"/>
      <c r="E124" s="61"/>
      <c r="F124" s="70"/>
      <c r="G124" s="70"/>
    </row>
    <row r="125">
      <c r="A125" s="70"/>
      <c r="B125" s="61"/>
      <c r="C125" s="70"/>
      <c r="D125" s="61"/>
      <c r="E125" s="61"/>
      <c r="F125" s="70"/>
      <c r="G125" s="70"/>
    </row>
    <row r="126">
      <c r="A126" s="70"/>
      <c r="B126" s="61"/>
      <c r="C126" s="70"/>
      <c r="D126" s="61"/>
      <c r="E126" s="61"/>
      <c r="F126" s="70"/>
      <c r="G126" s="70"/>
    </row>
    <row r="127">
      <c r="A127" s="70"/>
      <c r="B127" s="61"/>
      <c r="C127" s="70"/>
      <c r="D127" s="61"/>
      <c r="E127" s="61"/>
      <c r="F127" s="70"/>
      <c r="G127" s="70"/>
    </row>
    <row r="128">
      <c r="A128" s="70"/>
      <c r="B128" s="61"/>
      <c r="C128" s="70"/>
      <c r="D128" s="61"/>
      <c r="E128" s="61"/>
      <c r="F128" s="70"/>
      <c r="G128" s="70"/>
    </row>
    <row r="129">
      <c r="A129" s="70"/>
      <c r="B129" s="61"/>
      <c r="C129" s="70"/>
      <c r="D129" s="61"/>
      <c r="E129" s="61"/>
      <c r="F129" s="70"/>
      <c r="G129" s="70"/>
    </row>
    <row r="130">
      <c r="A130" s="70"/>
      <c r="B130" s="61"/>
      <c r="C130" s="70"/>
      <c r="D130" s="61"/>
      <c r="E130" s="61"/>
      <c r="F130" s="70"/>
      <c r="G130" s="70"/>
    </row>
    <row r="131">
      <c r="A131" s="70"/>
      <c r="B131" s="61"/>
      <c r="C131" s="70"/>
      <c r="D131" s="61"/>
      <c r="E131" s="61"/>
      <c r="F131" s="70"/>
      <c r="G131" s="70"/>
    </row>
    <row r="132">
      <c r="A132" s="70"/>
      <c r="B132" s="61"/>
      <c r="C132" s="70"/>
      <c r="D132" s="61"/>
      <c r="E132" s="61"/>
      <c r="F132" s="70"/>
      <c r="G132" s="70"/>
    </row>
    <row r="133">
      <c r="A133" s="70"/>
      <c r="B133" s="61"/>
      <c r="C133" s="70"/>
      <c r="D133" s="61"/>
      <c r="E133" s="61"/>
      <c r="F133" s="70"/>
      <c r="G133" s="70"/>
    </row>
    <row r="134">
      <c r="A134" s="70"/>
      <c r="B134" s="61"/>
      <c r="C134" s="70"/>
      <c r="D134" s="61"/>
      <c r="E134" s="61"/>
      <c r="F134" s="70"/>
      <c r="G134" s="70"/>
    </row>
    <row r="135">
      <c r="A135" s="70"/>
      <c r="B135" s="61"/>
      <c r="C135" s="70"/>
      <c r="D135" s="61"/>
      <c r="E135" s="61"/>
      <c r="F135" s="70"/>
      <c r="G135" s="70"/>
    </row>
    <row r="136">
      <c r="A136" s="70"/>
      <c r="B136" s="61"/>
      <c r="C136" s="70"/>
      <c r="D136" s="61"/>
      <c r="E136" s="61"/>
      <c r="F136" s="70"/>
      <c r="G136" s="70"/>
    </row>
    <row r="137">
      <c r="A137" s="70"/>
      <c r="B137" s="61"/>
      <c r="C137" s="70"/>
      <c r="D137" s="61"/>
      <c r="E137" s="61"/>
      <c r="F137" s="70"/>
      <c r="G137" s="70"/>
    </row>
    <row r="138">
      <c r="A138" s="70"/>
      <c r="B138" s="61"/>
      <c r="C138" s="70"/>
      <c r="D138" s="61"/>
      <c r="E138" s="61"/>
      <c r="F138" s="70"/>
      <c r="G138" s="70"/>
    </row>
    <row r="139">
      <c r="A139" s="70"/>
      <c r="B139" s="61"/>
      <c r="C139" s="70"/>
      <c r="D139" s="61"/>
      <c r="E139" s="61"/>
      <c r="F139" s="70"/>
      <c r="G139" s="70"/>
    </row>
    <row r="140">
      <c r="A140" s="70"/>
      <c r="B140" s="61"/>
      <c r="C140" s="70"/>
      <c r="D140" s="61"/>
      <c r="E140" s="61"/>
      <c r="F140" s="70"/>
      <c r="G140" s="70"/>
    </row>
    <row r="141">
      <c r="A141" s="70"/>
      <c r="B141" s="61"/>
      <c r="C141" s="70"/>
      <c r="D141" s="61"/>
      <c r="E141" s="61"/>
      <c r="F141" s="70"/>
      <c r="G141" s="70"/>
    </row>
    <row r="142">
      <c r="A142" s="70"/>
      <c r="B142" s="61"/>
      <c r="C142" s="70"/>
      <c r="D142" s="61"/>
      <c r="E142" s="61"/>
      <c r="F142" s="70"/>
      <c r="G142" s="70"/>
    </row>
    <row r="143">
      <c r="A143" s="70"/>
      <c r="B143" s="61"/>
      <c r="C143" s="70"/>
      <c r="D143" s="61"/>
      <c r="E143" s="61"/>
      <c r="F143" s="70"/>
      <c r="G143" s="70"/>
    </row>
    <row r="144">
      <c r="A144" s="70"/>
      <c r="B144" s="61"/>
      <c r="C144" s="70"/>
      <c r="D144" s="61"/>
      <c r="E144" s="61"/>
      <c r="F144" s="70"/>
      <c r="G144" s="70"/>
    </row>
    <row r="145">
      <c r="A145" s="70"/>
      <c r="B145" s="61"/>
      <c r="C145" s="70"/>
      <c r="D145" s="61"/>
      <c r="E145" s="61"/>
      <c r="F145" s="70"/>
      <c r="G145" s="70"/>
    </row>
    <row r="146">
      <c r="A146" s="70"/>
      <c r="B146" s="61"/>
      <c r="C146" s="70"/>
      <c r="D146" s="61"/>
      <c r="E146" s="61"/>
      <c r="F146" s="70"/>
      <c r="G146" s="70"/>
    </row>
    <row r="147">
      <c r="A147" s="70"/>
      <c r="B147" s="61"/>
      <c r="C147" s="70"/>
      <c r="D147" s="61"/>
      <c r="E147" s="61"/>
      <c r="F147" s="70"/>
      <c r="G147" s="70"/>
    </row>
    <row r="148">
      <c r="A148" s="70"/>
      <c r="B148" s="61"/>
      <c r="C148" s="70"/>
      <c r="D148" s="61"/>
      <c r="E148" s="61"/>
      <c r="F148" s="70"/>
      <c r="G148" s="70"/>
    </row>
    <row r="149">
      <c r="A149" s="70"/>
      <c r="B149" s="61"/>
      <c r="C149" s="70"/>
      <c r="D149" s="61"/>
      <c r="E149" s="61"/>
      <c r="F149" s="70"/>
      <c r="G149" s="70"/>
    </row>
    <row r="150">
      <c r="A150" s="70"/>
      <c r="B150" s="61"/>
      <c r="C150" s="70"/>
      <c r="D150" s="61"/>
      <c r="E150" s="61"/>
      <c r="F150" s="70"/>
      <c r="G150" s="70"/>
    </row>
    <row r="151">
      <c r="A151" s="70"/>
      <c r="B151" s="61"/>
      <c r="C151" s="70"/>
      <c r="D151" s="61"/>
      <c r="E151" s="61"/>
      <c r="F151" s="70"/>
      <c r="G151" s="70"/>
    </row>
    <row r="152">
      <c r="A152" s="70"/>
      <c r="B152" s="61"/>
      <c r="C152" s="70"/>
      <c r="D152" s="61"/>
      <c r="E152" s="61"/>
      <c r="F152" s="70"/>
      <c r="G152" s="70"/>
    </row>
    <row r="153">
      <c r="A153" s="70"/>
      <c r="B153" s="61"/>
      <c r="C153" s="70"/>
      <c r="D153" s="61"/>
      <c r="E153" s="61"/>
      <c r="F153" s="70"/>
      <c r="G153" s="70"/>
    </row>
    <row r="154">
      <c r="A154" s="70"/>
      <c r="B154" s="61"/>
      <c r="C154" s="70"/>
      <c r="D154" s="61"/>
      <c r="E154" s="61"/>
      <c r="F154" s="70"/>
      <c r="G154" s="70"/>
    </row>
    <row r="155">
      <c r="A155" s="70"/>
      <c r="B155" s="61"/>
      <c r="C155" s="70"/>
      <c r="D155" s="61"/>
      <c r="E155" s="61"/>
      <c r="F155" s="70"/>
      <c r="G155" s="70"/>
    </row>
    <row r="156">
      <c r="A156" s="70"/>
      <c r="B156" s="61"/>
      <c r="C156" s="70"/>
      <c r="D156" s="61"/>
      <c r="E156" s="61"/>
      <c r="F156" s="70"/>
      <c r="G156" s="70"/>
    </row>
    <row r="157">
      <c r="A157" s="70"/>
      <c r="B157" s="61"/>
      <c r="C157" s="70"/>
      <c r="D157" s="61"/>
      <c r="E157" s="61"/>
      <c r="F157" s="70"/>
      <c r="G157" s="70"/>
    </row>
    <row r="158">
      <c r="A158" s="70"/>
      <c r="B158" s="61"/>
      <c r="C158" s="70"/>
      <c r="D158" s="61"/>
      <c r="E158" s="61"/>
      <c r="F158" s="70"/>
      <c r="G158" s="70"/>
    </row>
    <row r="159">
      <c r="A159" s="70"/>
      <c r="B159" s="61"/>
      <c r="C159" s="70"/>
      <c r="D159" s="61"/>
      <c r="E159" s="61"/>
      <c r="F159" s="70"/>
      <c r="G159" s="70"/>
    </row>
    <row r="160">
      <c r="A160" s="70"/>
      <c r="B160" s="61"/>
      <c r="C160" s="70"/>
      <c r="D160" s="61"/>
      <c r="E160" s="61"/>
      <c r="F160" s="70"/>
      <c r="G160" s="70"/>
    </row>
    <row r="161">
      <c r="A161" s="70"/>
      <c r="B161" s="61"/>
      <c r="C161" s="70"/>
      <c r="D161" s="61"/>
      <c r="E161" s="61"/>
      <c r="F161" s="70"/>
      <c r="G161" s="70"/>
    </row>
    <row r="162">
      <c r="A162" s="70"/>
      <c r="B162" s="61"/>
      <c r="C162" s="70"/>
      <c r="D162" s="61"/>
      <c r="E162" s="61"/>
      <c r="F162" s="70"/>
      <c r="G162" s="70"/>
    </row>
    <row r="163">
      <c r="A163" s="70"/>
      <c r="B163" s="61"/>
      <c r="C163" s="70"/>
      <c r="D163" s="61"/>
      <c r="E163" s="61"/>
      <c r="F163" s="70"/>
      <c r="G163" s="70"/>
    </row>
    <row r="164">
      <c r="A164" s="70"/>
      <c r="B164" s="61"/>
      <c r="C164" s="70"/>
      <c r="D164" s="61"/>
      <c r="E164" s="61"/>
      <c r="F164" s="70"/>
      <c r="G164" s="70"/>
    </row>
    <row r="165">
      <c r="A165" s="70"/>
      <c r="B165" s="61"/>
      <c r="C165" s="70"/>
      <c r="D165" s="61"/>
      <c r="E165" s="61"/>
      <c r="F165" s="70"/>
      <c r="G165" s="70"/>
    </row>
    <row r="166">
      <c r="A166" s="70"/>
      <c r="B166" s="61"/>
      <c r="C166" s="70"/>
      <c r="D166" s="61"/>
      <c r="E166" s="61"/>
      <c r="F166" s="70"/>
      <c r="G166" s="70"/>
    </row>
    <row r="167">
      <c r="A167" s="70"/>
      <c r="B167" s="61"/>
      <c r="C167" s="70"/>
      <c r="D167" s="61"/>
      <c r="E167" s="61"/>
      <c r="F167" s="70"/>
      <c r="G167" s="70"/>
    </row>
    <row r="168">
      <c r="A168" s="70"/>
      <c r="B168" s="61"/>
      <c r="C168" s="70"/>
      <c r="D168" s="61"/>
      <c r="E168" s="61"/>
      <c r="F168" s="70"/>
      <c r="G168" s="70"/>
    </row>
    <row r="169">
      <c r="A169" s="70"/>
      <c r="B169" s="61"/>
      <c r="C169" s="70"/>
      <c r="D169" s="61"/>
      <c r="E169" s="61"/>
      <c r="F169" s="70"/>
      <c r="G169" s="70"/>
    </row>
    <row r="170">
      <c r="A170" s="70"/>
      <c r="B170" s="61"/>
      <c r="C170" s="70"/>
      <c r="D170" s="61"/>
      <c r="E170" s="61"/>
      <c r="F170" s="70"/>
      <c r="G170" s="70"/>
    </row>
    <row r="171">
      <c r="A171" s="70"/>
      <c r="B171" s="61"/>
      <c r="C171" s="70"/>
      <c r="D171" s="61"/>
      <c r="E171" s="61"/>
      <c r="F171" s="70"/>
      <c r="G171" s="70"/>
    </row>
    <row r="172">
      <c r="A172" s="70"/>
      <c r="B172" s="61"/>
      <c r="C172" s="70"/>
      <c r="D172" s="61"/>
      <c r="E172" s="61"/>
      <c r="F172" s="70"/>
      <c r="G172" s="70"/>
    </row>
    <row r="173">
      <c r="A173" s="70"/>
      <c r="B173" s="61"/>
      <c r="C173" s="70"/>
      <c r="D173" s="61"/>
      <c r="E173" s="61"/>
      <c r="F173" s="70"/>
      <c r="G173" s="70"/>
    </row>
    <row r="174">
      <c r="A174" s="70"/>
      <c r="B174" s="61"/>
      <c r="C174" s="70"/>
      <c r="D174" s="61"/>
      <c r="E174" s="61"/>
      <c r="F174" s="70"/>
      <c r="G174" s="70"/>
    </row>
    <row r="175">
      <c r="A175" s="70"/>
      <c r="B175" s="61"/>
      <c r="C175" s="70"/>
      <c r="D175" s="61"/>
      <c r="E175" s="61"/>
      <c r="F175" s="70"/>
      <c r="G175" s="70"/>
    </row>
    <row r="176">
      <c r="A176" s="70"/>
      <c r="B176" s="61"/>
      <c r="C176" s="70"/>
      <c r="D176" s="61"/>
      <c r="E176" s="61"/>
      <c r="F176" s="70"/>
      <c r="G176" s="70"/>
    </row>
    <row r="177">
      <c r="A177" s="70"/>
      <c r="B177" s="61"/>
      <c r="C177" s="70"/>
      <c r="D177" s="61"/>
      <c r="E177" s="61"/>
      <c r="F177" s="70"/>
      <c r="G177" s="70"/>
    </row>
    <row r="178">
      <c r="A178" s="70"/>
      <c r="B178" s="61"/>
      <c r="C178" s="70"/>
      <c r="D178" s="61"/>
      <c r="E178" s="61"/>
      <c r="F178" s="70"/>
      <c r="G178" s="70"/>
    </row>
    <row r="179">
      <c r="A179" s="70"/>
      <c r="B179" s="61"/>
      <c r="C179" s="70"/>
      <c r="D179" s="61"/>
      <c r="E179" s="61"/>
      <c r="F179" s="70"/>
      <c r="G179" s="70"/>
    </row>
    <row r="180">
      <c r="A180" s="70"/>
      <c r="B180" s="61"/>
      <c r="C180" s="70"/>
      <c r="D180" s="61"/>
      <c r="E180" s="61"/>
      <c r="F180" s="70"/>
      <c r="G180" s="70"/>
    </row>
    <row r="181">
      <c r="A181" s="70"/>
      <c r="B181" s="61"/>
      <c r="C181" s="70"/>
      <c r="D181" s="61"/>
      <c r="E181" s="61"/>
      <c r="F181" s="70"/>
      <c r="G181" s="70"/>
    </row>
    <row r="182">
      <c r="A182" s="70"/>
      <c r="B182" s="61"/>
      <c r="C182" s="70"/>
      <c r="D182" s="61"/>
      <c r="E182" s="61"/>
      <c r="F182" s="70"/>
      <c r="G182" s="70"/>
    </row>
    <row r="183">
      <c r="A183" s="70"/>
      <c r="B183" s="61"/>
      <c r="C183" s="70"/>
      <c r="D183" s="61"/>
      <c r="E183" s="61"/>
      <c r="F183" s="70"/>
      <c r="G183" s="70"/>
    </row>
    <row r="184">
      <c r="A184" s="70"/>
      <c r="B184" s="61"/>
      <c r="C184" s="70"/>
      <c r="D184" s="61"/>
      <c r="E184" s="61"/>
      <c r="F184" s="70"/>
      <c r="G184" s="70"/>
    </row>
    <row r="185">
      <c r="A185" s="70"/>
      <c r="B185" s="61"/>
      <c r="C185" s="70"/>
      <c r="D185" s="61"/>
      <c r="E185" s="61"/>
      <c r="F185" s="70"/>
      <c r="G185" s="70"/>
    </row>
    <row r="186">
      <c r="A186" s="70"/>
      <c r="B186" s="61"/>
      <c r="C186" s="70"/>
      <c r="D186" s="61"/>
      <c r="E186" s="61"/>
      <c r="F186" s="70"/>
      <c r="G186" s="70"/>
    </row>
    <row r="187">
      <c r="A187" s="70"/>
      <c r="B187" s="61"/>
      <c r="C187" s="70"/>
      <c r="D187" s="61"/>
      <c r="E187" s="61"/>
      <c r="F187" s="70"/>
      <c r="G187" s="70"/>
    </row>
    <row r="188">
      <c r="A188" s="70"/>
      <c r="B188" s="61"/>
      <c r="C188" s="70"/>
      <c r="D188" s="61"/>
      <c r="E188" s="61"/>
      <c r="F188" s="70"/>
      <c r="G188" s="70"/>
    </row>
    <row r="189">
      <c r="A189" s="70"/>
      <c r="B189" s="61"/>
      <c r="C189" s="70"/>
      <c r="D189" s="61"/>
      <c r="E189" s="61"/>
      <c r="F189" s="70"/>
      <c r="G189" s="70"/>
    </row>
    <row r="190">
      <c r="A190" s="70"/>
      <c r="B190" s="61"/>
      <c r="C190" s="70"/>
      <c r="D190" s="61"/>
      <c r="E190" s="61"/>
      <c r="F190" s="70"/>
      <c r="G190" s="70"/>
    </row>
    <row r="191">
      <c r="A191" s="70"/>
      <c r="B191" s="61"/>
      <c r="C191" s="70"/>
      <c r="D191" s="61"/>
      <c r="E191" s="61"/>
      <c r="F191" s="70"/>
      <c r="G191" s="70"/>
    </row>
    <row r="192">
      <c r="A192" s="70"/>
      <c r="B192" s="61"/>
      <c r="C192" s="70"/>
      <c r="D192" s="61"/>
      <c r="E192" s="61"/>
      <c r="F192" s="70"/>
      <c r="G192" s="70"/>
    </row>
    <row r="193">
      <c r="A193" s="70"/>
      <c r="B193" s="61"/>
      <c r="C193" s="70"/>
      <c r="D193" s="61"/>
      <c r="E193" s="61"/>
      <c r="F193" s="70"/>
      <c r="G193" s="70"/>
    </row>
    <row r="194">
      <c r="A194" s="70"/>
      <c r="B194" s="61"/>
      <c r="C194" s="70"/>
      <c r="D194" s="61"/>
      <c r="E194" s="61"/>
      <c r="F194" s="70"/>
      <c r="G194" s="70"/>
    </row>
    <row r="195">
      <c r="A195" s="70"/>
      <c r="B195" s="61"/>
      <c r="C195" s="70"/>
      <c r="D195" s="61"/>
      <c r="E195" s="61"/>
      <c r="F195" s="70"/>
      <c r="G195" s="70"/>
    </row>
    <row r="196">
      <c r="A196" s="70"/>
      <c r="B196" s="61"/>
      <c r="C196" s="70"/>
      <c r="D196" s="61"/>
      <c r="E196" s="61"/>
      <c r="F196" s="70"/>
      <c r="G196" s="70"/>
    </row>
    <row r="197">
      <c r="A197" s="70"/>
      <c r="B197" s="61"/>
      <c r="C197" s="70"/>
      <c r="D197" s="61"/>
      <c r="E197" s="61"/>
      <c r="F197" s="70"/>
      <c r="G197" s="70"/>
    </row>
    <row r="198">
      <c r="A198" s="70"/>
      <c r="B198" s="61"/>
      <c r="C198" s="70"/>
      <c r="D198" s="61"/>
      <c r="E198" s="61"/>
      <c r="F198" s="70"/>
      <c r="G198" s="70"/>
    </row>
    <row r="199">
      <c r="A199" s="70"/>
      <c r="B199" s="61"/>
      <c r="C199" s="70"/>
      <c r="D199" s="61"/>
      <c r="E199" s="61"/>
      <c r="F199" s="70"/>
      <c r="G199" s="70"/>
    </row>
    <row r="200">
      <c r="A200" s="70"/>
      <c r="B200" s="61"/>
      <c r="C200" s="70"/>
      <c r="D200" s="61"/>
      <c r="E200" s="61"/>
      <c r="F200" s="70"/>
      <c r="G200" s="70"/>
    </row>
    <row r="201">
      <c r="A201" s="70"/>
      <c r="B201" s="61"/>
      <c r="C201" s="70"/>
      <c r="D201" s="61"/>
      <c r="E201" s="61"/>
      <c r="F201" s="70"/>
      <c r="G201" s="70"/>
    </row>
    <row r="202">
      <c r="A202" s="70"/>
      <c r="B202" s="61"/>
      <c r="C202" s="70"/>
      <c r="D202" s="61"/>
      <c r="E202" s="61"/>
      <c r="F202" s="70"/>
      <c r="G202" s="70"/>
    </row>
    <row r="203">
      <c r="A203" s="70"/>
      <c r="B203" s="61"/>
      <c r="C203" s="70"/>
      <c r="D203" s="61"/>
      <c r="E203" s="61"/>
      <c r="F203" s="70"/>
      <c r="G203" s="70"/>
    </row>
    <row r="204">
      <c r="A204" s="70"/>
      <c r="B204" s="61"/>
      <c r="C204" s="70"/>
      <c r="D204" s="61"/>
      <c r="E204" s="61"/>
      <c r="F204" s="70"/>
      <c r="G204" s="70"/>
    </row>
    <row r="205">
      <c r="A205" s="70"/>
      <c r="B205" s="61"/>
      <c r="C205" s="70"/>
      <c r="D205" s="61"/>
      <c r="E205" s="61"/>
      <c r="F205" s="70"/>
      <c r="G205" s="70"/>
    </row>
    <row r="206">
      <c r="A206" s="70"/>
      <c r="B206" s="61"/>
      <c r="C206" s="70"/>
      <c r="D206" s="61"/>
      <c r="E206" s="61"/>
      <c r="F206" s="70"/>
      <c r="G206" s="70"/>
    </row>
    <row r="207">
      <c r="A207" s="70"/>
      <c r="B207" s="61"/>
      <c r="C207" s="70"/>
      <c r="D207" s="61"/>
      <c r="E207" s="61"/>
      <c r="F207" s="70"/>
      <c r="G207" s="70"/>
    </row>
    <row r="208">
      <c r="A208" s="70"/>
      <c r="B208" s="61"/>
      <c r="C208" s="70"/>
      <c r="D208" s="61"/>
      <c r="E208" s="61"/>
      <c r="F208" s="70"/>
      <c r="G208" s="70"/>
    </row>
    <row r="209">
      <c r="A209" s="70"/>
      <c r="B209" s="61"/>
      <c r="C209" s="70"/>
      <c r="D209" s="61"/>
      <c r="E209" s="61"/>
      <c r="F209" s="70"/>
      <c r="G209" s="70"/>
    </row>
    <row r="210">
      <c r="A210" s="70"/>
      <c r="B210" s="61"/>
      <c r="C210" s="70"/>
      <c r="D210" s="61"/>
      <c r="E210" s="61"/>
      <c r="F210" s="70"/>
      <c r="G210" s="70"/>
    </row>
    <row r="211">
      <c r="A211" s="70"/>
      <c r="B211" s="61"/>
      <c r="C211" s="70"/>
      <c r="D211" s="61"/>
      <c r="E211" s="61"/>
      <c r="F211" s="70"/>
      <c r="G211" s="70"/>
    </row>
    <row r="212">
      <c r="A212" s="70"/>
      <c r="B212" s="61"/>
      <c r="C212" s="70"/>
      <c r="D212" s="61"/>
      <c r="E212" s="61"/>
      <c r="F212" s="70"/>
      <c r="G212" s="70"/>
    </row>
    <row r="213">
      <c r="A213" s="70"/>
      <c r="B213" s="61"/>
      <c r="C213" s="70"/>
      <c r="D213" s="61"/>
      <c r="E213" s="61"/>
      <c r="F213" s="70"/>
      <c r="G213" s="70"/>
    </row>
    <row r="214">
      <c r="A214" s="70"/>
      <c r="B214" s="61"/>
      <c r="C214" s="70"/>
      <c r="D214" s="61"/>
      <c r="E214" s="61"/>
      <c r="F214" s="70"/>
      <c r="G214" s="70"/>
    </row>
    <row r="215">
      <c r="A215" s="70"/>
      <c r="B215" s="61"/>
      <c r="C215" s="70"/>
      <c r="D215" s="61"/>
      <c r="E215" s="61"/>
      <c r="F215" s="70"/>
      <c r="G215" s="70"/>
    </row>
    <row r="216">
      <c r="A216" s="70"/>
      <c r="B216" s="61"/>
      <c r="C216" s="70"/>
      <c r="D216" s="61"/>
      <c r="E216" s="61"/>
      <c r="F216" s="70"/>
      <c r="G216" s="70"/>
    </row>
    <row r="217">
      <c r="A217" s="70"/>
      <c r="B217" s="61"/>
      <c r="C217" s="70"/>
      <c r="D217" s="61"/>
      <c r="E217" s="61"/>
      <c r="F217" s="70"/>
      <c r="G217" s="70"/>
    </row>
    <row r="218">
      <c r="A218" s="70"/>
      <c r="B218" s="61"/>
      <c r="C218" s="70"/>
      <c r="D218" s="61"/>
      <c r="E218" s="61"/>
      <c r="F218" s="70"/>
      <c r="G218" s="70"/>
    </row>
    <row r="219">
      <c r="A219" s="70"/>
      <c r="B219" s="61"/>
      <c r="C219" s="70"/>
      <c r="D219" s="61"/>
      <c r="E219" s="61"/>
      <c r="F219" s="70"/>
      <c r="G219" s="70"/>
    </row>
    <row r="220">
      <c r="A220" s="70"/>
      <c r="B220" s="61"/>
      <c r="C220" s="70"/>
      <c r="D220" s="61"/>
      <c r="E220" s="61"/>
      <c r="F220" s="70"/>
      <c r="G220" s="70"/>
    </row>
    <row r="221">
      <c r="A221" s="70"/>
      <c r="B221" s="61"/>
      <c r="C221" s="70"/>
      <c r="D221" s="61"/>
      <c r="E221" s="61"/>
      <c r="F221" s="70"/>
      <c r="G221" s="70"/>
    </row>
    <row r="222">
      <c r="A222" s="70"/>
      <c r="B222" s="61"/>
      <c r="C222" s="70"/>
      <c r="D222" s="61"/>
      <c r="E222" s="61"/>
      <c r="F222" s="70"/>
      <c r="G222" s="70"/>
    </row>
    <row r="223">
      <c r="A223" s="70"/>
      <c r="B223" s="61"/>
      <c r="C223" s="70"/>
      <c r="D223" s="61"/>
      <c r="E223" s="61"/>
      <c r="F223" s="70"/>
      <c r="G223" s="70"/>
    </row>
    <row r="224">
      <c r="A224" s="70"/>
      <c r="B224" s="61"/>
      <c r="C224" s="70"/>
      <c r="D224" s="61"/>
      <c r="E224" s="61"/>
      <c r="F224" s="70"/>
      <c r="G224" s="70"/>
    </row>
    <row r="225">
      <c r="A225" s="70"/>
      <c r="B225" s="61"/>
      <c r="C225" s="70"/>
      <c r="D225" s="61"/>
      <c r="E225" s="61"/>
      <c r="F225" s="70"/>
      <c r="G225" s="70"/>
    </row>
    <row r="226">
      <c r="A226" s="70"/>
      <c r="B226" s="61"/>
      <c r="C226" s="70"/>
      <c r="D226" s="61"/>
      <c r="E226" s="61"/>
      <c r="F226" s="70"/>
      <c r="G226" s="70"/>
    </row>
    <row r="227">
      <c r="A227" s="70"/>
      <c r="B227" s="61"/>
      <c r="C227" s="70"/>
      <c r="D227" s="61"/>
      <c r="E227" s="61"/>
      <c r="F227" s="70"/>
      <c r="G227" s="70"/>
    </row>
    <row r="228">
      <c r="A228" s="70"/>
      <c r="B228" s="61"/>
      <c r="C228" s="70"/>
      <c r="D228" s="61"/>
      <c r="E228" s="61"/>
      <c r="F228" s="70"/>
      <c r="G228" s="70"/>
    </row>
    <row r="229">
      <c r="A229" s="70"/>
      <c r="B229" s="61"/>
      <c r="C229" s="70"/>
      <c r="D229" s="61"/>
      <c r="E229" s="61"/>
      <c r="F229" s="70"/>
      <c r="G229" s="70"/>
    </row>
    <row r="230">
      <c r="A230" s="70"/>
      <c r="B230" s="61"/>
      <c r="C230" s="70"/>
      <c r="D230" s="61"/>
      <c r="E230" s="61"/>
      <c r="F230" s="70"/>
      <c r="G230" s="70"/>
    </row>
    <row r="231">
      <c r="A231" s="70"/>
      <c r="B231" s="61"/>
      <c r="C231" s="70"/>
      <c r="D231" s="61"/>
      <c r="E231" s="61"/>
      <c r="F231" s="70"/>
      <c r="G231" s="70"/>
    </row>
    <row r="232">
      <c r="A232" s="70"/>
      <c r="B232" s="61"/>
      <c r="C232" s="70"/>
      <c r="D232" s="61"/>
      <c r="E232" s="61"/>
      <c r="F232" s="70"/>
      <c r="G232" s="70"/>
    </row>
    <row r="233">
      <c r="A233" s="70"/>
      <c r="B233" s="61"/>
      <c r="C233" s="70"/>
      <c r="D233" s="61"/>
      <c r="E233" s="61"/>
      <c r="F233" s="70"/>
      <c r="G233" s="70"/>
    </row>
    <row r="234">
      <c r="A234" s="70"/>
      <c r="B234" s="61"/>
      <c r="C234" s="70"/>
      <c r="D234" s="61"/>
      <c r="E234" s="61"/>
      <c r="F234" s="70"/>
      <c r="G234" s="70"/>
    </row>
    <row r="235">
      <c r="A235" s="70"/>
      <c r="B235" s="61"/>
      <c r="C235" s="70"/>
      <c r="D235" s="61"/>
      <c r="E235" s="61"/>
      <c r="F235" s="70"/>
      <c r="G235" s="70"/>
    </row>
    <row r="236">
      <c r="A236" s="70"/>
      <c r="B236" s="61"/>
      <c r="C236" s="70"/>
      <c r="D236" s="61"/>
      <c r="E236" s="61"/>
      <c r="F236" s="70"/>
      <c r="G236" s="70"/>
    </row>
    <row r="237">
      <c r="A237" s="70"/>
      <c r="B237" s="61"/>
      <c r="C237" s="70"/>
      <c r="D237" s="61"/>
      <c r="E237" s="61"/>
      <c r="F237" s="70"/>
      <c r="G237" s="70"/>
    </row>
    <row r="238">
      <c r="A238" s="70"/>
      <c r="B238" s="61"/>
      <c r="C238" s="70"/>
      <c r="D238" s="61"/>
      <c r="E238" s="61"/>
      <c r="F238" s="70"/>
      <c r="G238" s="70"/>
    </row>
    <row r="239">
      <c r="A239" s="70"/>
      <c r="B239" s="61"/>
      <c r="C239" s="70"/>
      <c r="D239" s="61"/>
      <c r="E239" s="61"/>
      <c r="F239" s="70"/>
      <c r="G239" s="70"/>
    </row>
    <row r="240">
      <c r="A240" s="70"/>
      <c r="B240" s="61"/>
      <c r="C240" s="70"/>
      <c r="D240" s="61"/>
      <c r="E240" s="61"/>
      <c r="F240" s="70"/>
      <c r="G240" s="70"/>
    </row>
    <row r="241">
      <c r="A241" s="70"/>
      <c r="B241" s="61"/>
      <c r="C241" s="70"/>
      <c r="D241" s="61"/>
      <c r="E241" s="61"/>
      <c r="F241" s="70"/>
      <c r="G241" s="70"/>
    </row>
    <row r="242">
      <c r="A242" s="70"/>
      <c r="B242" s="61"/>
      <c r="C242" s="70"/>
      <c r="D242" s="61"/>
      <c r="E242" s="61"/>
      <c r="F242" s="70"/>
      <c r="G242" s="70"/>
    </row>
    <row r="243">
      <c r="A243" s="70"/>
      <c r="B243" s="61"/>
      <c r="C243" s="70"/>
      <c r="D243" s="61"/>
      <c r="E243" s="61"/>
      <c r="F243" s="70"/>
      <c r="G243" s="70"/>
    </row>
    <row r="244">
      <c r="A244" s="70"/>
      <c r="B244" s="61"/>
      <c r="C244" s="70"/>
      <c r="D244" s="61"/>
      <c r="E244" s="61"/>
      <c r="F244" s="70"/>
      <c r="G244" s="70"/>
    </row>
    <row r="245">
      <c r="A245" s="70"/>
      <c r="B245" s="61"/>
      <c r="C245" s="70"/>
      <c r="D245" s="61"/>
      <c r="E245" s="61"/>
      <c r="F245" s="70"/>
      <c r="G245" s="70"/>
    </row>
    <row r="246">
      <c r="A246" s="70"/>
      <c r="B246" s="61"/>
      <c r="C246" s="70"/>
      <c r="D246" s="61"/>
      <c r="E246" s="61"/>
      <c r="F246" s="70"/>
      <c r="G246" s="70"/>
    </row>
    <row r="247">
      <c r="A247" s="70"/>
      <c r="B247" s="61"/>
      <c r="C247" s="70"/>
      <c r="D247" s="61"/>
      <c r="E247" s="61"/>
      <c r="F247" s="70"/>
      <c r="G247" s="70"/>
    </row>
    <row r="248">
      <c r="A248" s="70"/>
      <c r="B248" s="61"/>
      <c r="C248" s="70"/>
      <c r="D248" s="61"/>
      <c r="E248" s="61"/>
      <c r="F248" s="70"/>
      <c r="G248" s="70"/>
    </row>
    <row r="249">
      <c r="A249" s="70"/>
      <c r="B249" s="61"/>
      <c r="C249" s="70"/>
      <c r="D249" s="61"/>
      <c r="E249" s="61"/>
      <c r="F249" s="70"/>
      <c r="G249" s="70"/>
    </row>
    <row r="250">
      <c r="A250" s="70"/>
      <c r="B250" s="61"/>
      <c r="C250" s="70"/>
      <c r="D250" s="61"/>
      <c r="E250" s="61"/>
      <c r="F250" s="70"/>
      <c r="G250" s="70"/>
    </row>
    <row r="251">
      <c r="A251" s="70"/>
      <c r="B251" s="61"/>
      <c r="C251" s="70"/>
      <c r="D251" s="61"/>
      <c r="E251" s="61"/>
      <c r="F251" s="70"/>
      <c r="G251" s="70"/>
    </row>
    <row r="252">
      <c r="A252" s="70"/>
      <c r="B252" s="61"/>
      <c r="C252" s="70"/>
      <c r="D252" s="61"/>
      <c r="E252" s="61"/>
      <c r="F252" s="70"/>
      <c r="G252" s="70"/>
    </row>
    <row r="253">
      <c r="A253" s="70"/>
      <c r="B253" s="61"/>
      <c r="C253" s="70"/>
      <c r="D253" s="61"/>
      <c r="E253" s="61"/>
      <c r="F253" s="70"/>
      <c r="G253" s="70"/>
    </row>
    <row r="254">
      <c r="A254" s="70"/>
      <c r="B254" s="61"/>
      <c r="C254" s="70"/>
      <c r="D254" s="61"/>
      <c r="E254" s="61"/>
      <c r="F254" s="70"/>
      <c r="G254" s="70"/>
    </row>
    <row r="255">
      <c r="A255" s="70"/>
      <c r="B255" s="61"/>
      <c r="C255" s="70"/>
      <c r="D255" s="61"/>
      <c r="E255" s="61"/>
      <c r="F255" s="70"/>
      <c r="G255" s="70"/>
    </row>
    <row r="256">
      <c r="A256" s="70"/>
      <c r="B256" s="61"/>
      <c r="C256" s="70"/>
      <c r="D256" s="61"/>
      <c r="E256" s="61"/>
      <c r="F256" s="70"/>
      <c r="G256" s="70"/>
    </row>
    <row r="257">
      <c r="A257" s="70"/>
      <c r="B257" s="61"/>
      <c r="C257" s="70"/>
      <c r="D257" s="61"/>
      <c r="E257" s="61"/>
      <c r="F257" s="70"/>
      <c r="G257" s="70"/>
    </row>
    <row r="258">
      <c r="A258" s="70"/>
      <c r="B258" s="61"/>
      <c r="C258" s="70"/>
      <c r="D258" s="61"/>
      <c r="E258" s="61"/>
      <c r="F258" s="70"/>
      <c r="G258" s="70"/>
    </row>
    <row r="259">
      <c r="A259" s="70"/>
      <c r="B259" s="61"/>
      <c r="C259" s="70"/>
      <c r="D259" s="61"/>
      <c r="E259" s="61"/>
      <c r="F259" s="70"/>
      <c r="G259" s="70"/>
    </row>
    <row r="260">
      <c r="A260" s="70"/>
      <c r="B260" s="61"/>
      <c r="C260" s="70"/>
      <c r="D260" s="61"/>
      <c r="E260" s="61"/>
      <c r="F260" s="70"/>
      <c r="G260" s="70"/>
    </row>
    <row r="261">
      <c r="A261" s="70"/>
      <c r="B261" s="61"/>
      <c r="C261" s="70"/>
      <c r="D261" s="61"/>
      <c r="E261" s="61"/>
      <c r="F261" s="70"/>
      <c r="G261" s="70"/>
    </row>
    <row r="262">
      <c r="A262" s="70"/>
      <c r="B262" s="61"/>
      <c r="C262" s="70"/>
      <c r="D262" s="61"/>
      <c r="E262" s="61"/>
      <c r="F262" s="70"/>
      <c r="G262" s="70"/>
    </row>
    <row r="263">
      <c r="A263" s="70"/>
      <c r="B263" s="61"/>
      <c r="C263" s="70"/>
      <c r="D263" s="61"/>
      <c r="E263" s="61"/>
      <c r="F263" s="70"/>
      <c r="G263" s="70"/>
    </row>
    <row r="264">
      <c r="A264" s="70"/>
      <c r="B264" s="61"/>
      <c r="C264" s="70"/>
      <c r="D264" s="61"/>
      <c r="E264" s="61"/>
      <c r="F264" s="70"/>
      <c r="G264" s="70"/>
    </row>
    <row r="265">
      <c r="A265" s="70"/>
      <c r="B265" s="61"/>
      <c r="C265" s="70"/>
      <c r="D265" s="61"/>
      <c r="E265" s="61"/>
      <c r="F265" s="70"/>
      <c r="G265" s="70"/>
    </row>
    <row r="266">
      <c r="A266" s="70"/>
      <c r="B266" s="61"/>
      <c r="C266" s="70"/>
      <c r="D266" s="61"/>
      <c r="E266" s="61"/>
      <c r="F266" s="70"/>
      <c r="G266" s="70"/>
    </row>
    <row r="267">
      <c r="A267" s="70"/>
      <c r="B267" s="61"/>
      <c r="C267" s="70"/>
      <c r="D267" s="61"/>
      <c r="E267" s="61"/>
      <c r="F267" s="70"/>
      <c r="G267" s="70"/>
    </row>
    <row r="268">
      <c r="A268" s="70"/>
      <c r="B268" s="61"/>
      <c r="C268" s="70"/>
      <c r="D268" s="61"/>
      <c r="E268" s="61"/>
      <c r="F268" s="70"/>
      <c r="G268" s="70"/>
    </row>
    <row r="269">
      <c r="A269" s="70"/>
      <c r="B269" s="61"/>
      <c r="C269" s="70"/>
      <c r="D269" s="61"/>
      <c r="E269" s="61"/>
      <c r="F269" s="70"/>
      <c r="G269" s="70"/>
    </row>
    <row r="270">
      <c r="A270" s="70"/>
      <c r="B270" s="61"/>
      <c r="C270" s="70"/>
      <c r="D270" s="61"/>
      <c r="E270" s="61"/>
      <c r="F270" s="70"/>
      <c r="G270" s="70"/>
    </row>
    <row r="271">
      <c r="A271" s="70"/>
      <c r="B271" s="61"/>
      <c r="C271" s="70"/>
      <c r="D271" s="61"/>
      <c r="E271" s="61"/>
      <c r="F271" s="70"/>
      <c r="G271" s="70"/>
    </row>
    <row r="272">
      <c r="A272" s="70"/>
      <c r="B272" s="61"/>
      <c r="C272" s="70"/>
      <c r="D272" s="61"/>
      <c r="E272" s="61"/>
      <c r="F272" s="70"/>
      <c r="G272" s="70"/>
    </row>
    <row r="273">
      <c r="A273" s="70"/>
      <c r="B273" s="61"/>
      <c r="C273" s="70"/>
      <c r="D273" s="61"/>
      <c r="E273" s="61"/>
      <c r="F273" s="70"/>
      <c r="G273" s="70"/>
    </row>
    <row r="274">
      <c r="A274" s="70"/>
      <c r="B274" s="61"/>
      <c r="C274" s="70"/>
      <c r="D274" s="61"/>
      <c r="E274" s="61"/>
      <c r="F274" s="70"/>
      <c r="G274" s="70"/>
    </row>
    <row r="275">
      <c r="A275" s="70"/>
      <c r="B275" s="61"/>
      <c r="C275" s="70"/>
      <c r="D275" s="61"/>
      <c r="E275" s="61"/>
      <c r="F275" s="70"/>
      <c r="G275" s="70"/>
    </row>
    <row r="276">
      <c r="A276" s="70"/>
      <c r="B276" s="61"/>
      <c r="C276" s="70"/>
      <c r="D276" s="61"/>
      <c r="E276" s="61"/>
      <c r="F276" s="70"/>
      <c r="G276" s="70"/>
    </row>
    <row r="277">
      <c r="A277" s="70"/>
      <c r="B277" s="61"/>
      <c r="C277" s="70"/>
      <c r="D277" s="61"/>
      <c r="E277" s="61"/>
      <c r="F277" s="70"/>
      <c r="G277" s="70"/>
    </row>
    <row r="278">
      <c r="A278" s="70"/>
      <c r="B278" s="61"/>
      <c r="C278" s="70"/>
      <c r="D278" s="61"/>
      <c r="E278" s="61"/>
      <c r="F278" s="70"/>
      <c r="G278" s="70"/>
    </row>
    <row r="279">
      <c r="A279" s="70"/>
      <c r="B279" s="61"/>
      <c r="C279" s="70"/>
      <c r="D279" s="61"/>
      <c r="E279" s="61"/>
      <c r="F279" s="70"/>
      <c r="G279" s="70"/>
    </row>
    <row r="280">
      <c r="A280" s="70"/>
      <c r="B280" s="61"/>
      <c r="C280" s="70"/>
      <c r="D280" s="61"/>
      <c r="E280" s="61"/>
      <c r="F280" s="70"/>
      <c r="G280" s="70"/>
    </row>
    <row r="281">
      <c r="A281" s="70"/>
      <c r="B281" s="61"/>
      <c r="C281" s="70"/>
      <c r="D281" s="61"/>
      <c r="E281" s="61"/>
      <c r="F281" s="70"/>
      <c r="G281" s="70"/>
    </row>
    <row r="282">
      <c r="A282" s="70"/>
      <c r="B282" s="61"/>
      <c r="C282" s="70"/>
      <c r="D282" s="61"/>
      <c r="E282" s="61"/>
      <c r="F282" s="70"/>
      <c r="G282" s="70"/>
    </row>
    <row r="283">
      <c r="A283" s="70"/>
      <c r="B283" s="61"/>
      <c r="C283" s="70"/>
      <c r="D283" s="61"/>
      <c r="E283" s="61"/>
      <c r="F283" s="70"/>
      <c r="G283" s="70"/>
    </row>
    <row r="284">
      <c r="A284" s="70"/>
      <c r="B284" s="61"/>
      <c r="C284" s="70"/>
      <c r="D284" s="61"/>
      <c r="E284" s="61"/>
      <c r="F284" s="70"/>
      <c r="G284" s="70"/>
    </row>
    <row r="285">
      <c r="A285" s="70"/>
      <c r="B285" s="61"/>
      <c r="C285" s="70"/>
      <c r="D285" s="61"/>
      <c r="E285" s="61"/>
      <c r="F285" s="70"/>
      <c r="G285" s="70"/>
    </row>
    <row r="286">
      <c r="A286" s="70"/>
      <c r="B286" s="61"/>
      <c r="C286" s="70"/>
      <c r="D286" s="61"/>
      <c r="E286" s="61"/>
      <c r="F286" s="70"/>
      <c r="G286" s="70"/>
    </row>
    <row r="287">
      <c r="A287" s="70"/>
      <c r="B287" s="61"/>
      <c r="C287" s="70"/>
      <c r="D287" s="61"/>
      <c r="E287" s="61"/>
      <c r="F287" s="70"/>
      <c r="G287" s="70"/>
    </row>
    <row r="288">
      <c r="A288" s="70"/>
      <c r="B288" s="61"/>
      <c r="C288" s="70"/>
      <c r="D288" s="61"/>
      <c r="E288" s="61"/>
      <c r="F288" s="70"/>
      <c r="G288" s="70"/>
    </row>
    <row r="289">
      <c r="A289" s="70"/>
      <c r="B289" s="61"/>
      <c r="C289" s="70"/>
      <c r="D289" s="61"/>
      <c r="E289" s="61"/>
      <c r="F289" s="70"/>
      <c r="G289" s="70"/>
    </row>
    <row r="290">
      <c r="A290" s="70"/>
      <c r="B290" s="61"/>
      <c r="C290" s="70"/>
      <c r="D290" s="61"/>
      <c r="E290" s="61"/>
      <c r="F290" s="70"/>
      <c r="G290" s="70"/>
    </row>
    <row r="291">
      <c r="A291" s="70"/>
      <c r="B291" s="61"/>
      <c r="C291" s="70"/>
      <c r="D291" s="61"/>
      <c r="E291" s="61"/>
      <c r="F291" s="70"/>
      <c r="G291" s="70"/>
    </row>
    <row r="292">
      <c r="A292" s="70"/>
      <c r="B292" s="61"/>
      <c r="C292" s="70"/>
      <c r="D292" s="61"/>
      <c r="E292" s="61"/>
      <c r="F292" s="70"/>
      <c r="G292" s="70"/>
    </row>
    <row r="293">
      <c r="A293" s="70"/>
      <c r="B293" s="61"/>
      <c r="C293" s="70"/>
      <c r="D293" s="61"/>
      <c r="E293" s="61"/>
      <c r="F293" s="70"/>
      <c r="G293" s="70"/>
    </row>
    <row r="294">
      <c r="A294" s="70"/>
      <c r="B294" s="61"/>
      <c r="C294" s="70"/>
      <c r="D294" s="61"/>
      <c r="E294" s="61"/>
      <c r="F294" s="70"/>
      <c r="G294" s="70"/>
    </row>
    <row r="295">
      <c r="A295" s="70"/>
      <c r="B295" s="61"/>
      <c r="C295" s="70"/>
      <c r="D295" s="61"/>
      <c r="E295" s="61"/>
      <c r="F295" s="70"/>
      <c r="G295" s="70"/>
    </row>
    <row r="296">
      <c r="A296" s="70"/>
      <c r="B296" s="61"/>
      <c r="C296" s="70"/>
      <c r="D296" s="61"/>
      <c r="E296" s="61"/>
      <c r="F296" s="70"/>
      <c r="G296" s="70"/>
    </row>
    <row r="297">
      <c r="A297" s="70"/>
      <c r="B297" s="61"/>
      <c r="C297" s="70"/>
      <c r="D297" s="61"/>
      <c r="E297" s="61"/>
      <c r="F297" s="70"/>
      <c r="G297" s="70"/>
    </row>
    <row r="298">
      <c r="A298" s="70"/>
      <c r="B298" s="61"/>
      <c r="C298" s="70"/>
      <c r="D298" s="61"/>
      <c r="E298" s="61"/>
      <c r="F298" s="70"/>
      <c r="G298" s="70"/>
    </row>
    <row r="299">
      <c r="A299" s="70"/>
      <c r="B299" s="61"/>
      <c r="C299" s="70"/>
      <c r="D299" s="61"/>
      <c r="E299" s="61"/>
      <c r="F299" s="70"/>
      <c r="G299" s="70"/>
    </row>
    <row r="300">
      <c r="A300" s="70"/>
      <c r="B300" s="61"/>
      <c r="C300" s="70"/>
      <c r="D300" s="61"/>
      <c r="E300" s="61"/>
      <c r="F300" s="70"/>
      <c r="G300" s="70"/>
    </row>
    <row r="301">
      <c r="A301" s="70"/>
      <c r="B301" s="61"/>
      <c r="C301" s="70"/>
      <c r="D301" s="61"/>
      <c r="E301" s="61"/>
      <c r="F301" s="70"/>
      <c r="G301" s="70"/>
    </row>
    <row r="302">
      <c r="A302" s="70"/>
      <c r="B302" s="61"/>
      <c r="C302" s="70"/>
      <c r="D302" s="61"/>
      <c r="E302" s="61"/>
      <c r="F302" s="70"/>
      <c r="G302" s="70"/>
    </row>
    <row r="303">
      <c r="A303" s="70"/>
      <c r="B303" s="61"/>
      <c r="C303" s="70"/>
      <c r="D303" s="61"/>
      <c r="E303" s="61"/>
      <c r="F303" s="70"/>
      <c r="G303" s="70"/>
    </row>
    <row r="304">
      <c r="A304" s="70"/>
      <c r="B304" s="61"/>
      <c r="C304" s="70"/>
      <c r="D304" s="61"/>
      <c r="E304" s="61"/>
      <c r="F304" s="70"/>
      <c r="G304" s="70"/>
    </row>
    <row r="305">
      <c r="A305" s="70"/>
      <c r="B305" s="61"/>
      <c r="C305" s="70"/>
      <c r="D305" s="61"/>
      <c r="E305" s="61"/>
      <c r="F305" s="70"/>
      <c r="G305" s="70"/>
    </row>
    <row r="306">
      <c r="A306" s="70"/>
      <c r="B306" s="61"/>
      <c r="C306" s="70"/>
      <c r="D306" s="61"/>
      <c r="E306" s="61"/>
      <c r="F306" s="70"/>
      <c r="G306" s="70"/>
    </row>
    <row r="307">
      <c r="A307" s="70"/>
      <c r="B307" s="61"/>
      <c r="C307" s="70"/>
      <c r="D307" s="61"/>
      <c r="E307" s="61"/>
      <c r="F307" s="70"/>
      <c r="G307" s="70"/>
    </row>
    <row r="308">
      <c r="A308" s="70"/>
      <c r="B308" s="61"/>
      <c r="C308" s="70"/>
      <c r="D308" s="61"/>
      <c r="E308" s="61"/>
      <c r="F308" s="70"/>
      <c r="G308" s="70"/>
    </row>
    <row r="309">
      <c r="A309" s="70"/>
      <c r="B309" s="61"/>
      <c r="C309" s="70"/>
      <c r="D309" s="61"/>
      <c r="E309" s="61"/>
      <c r="F309" s="70"/>
      <c r="G309" s="70"/>
    </row>
    <row r="310">
      <c r="A310" s="70"/>
      <c r="B310" s="61"/>
      <c r="C310" s="70"/>
      <c r="D310" s="61"/>
      <c r="E310" s="61"/>
      <c r="F310" s="70"/>
      <c r="G310" s="70"/>
    </row>
    <row r="311">
      <c r="A311" s="70"/>
      <c r="B311" s="61"/>
      <c r="C311" s="70"/>
      <c r="D311" s="61"/>
      <c r="E311" s="61"/>
      <c r="F311" s="70"/>
      <c r="G311" s="70"/>
    </row>
    <row r="312">
      <c r="A312" s="70"/>
      <c r="B312" s="61"/>
      <c r="C312" s="70"/>
      <c r="D312" s="61"/>
      <c r="E312" s="61"/>
      <c r="F312" s="70"/>
      <c r="G312" s="70"/>
    </row>
    <row r="313">
      <c r="A313" s="70"/>
      <c r="B313" s="61"/>
      <c r="C313" s="70"/>
      <c r="D313" s="61"/>
      <c r="E313" s="61"/>
      <c r="F313" s="70"/>
      <c r="G313" s="70"/>
    </row>
    <row r="314">
      <c r="A314" s="70"/>
      <c r="B314" s="61"/>
      <c r="C314" s="70"/>
      <c r="D314" s="61"/>
      <c r="E314" s="61"/>
      <c r="F314" s="70"/>
      <c r="G314" s="70"/>
    </row>
    <row r="315">
      <c r="A315" s="70"/>
      <c r="B315" s="61"/>
      <c r="C315" s="70"/>
      <c r="D315" s="61"/>
      <c r="E315" s="61"/>
      <c r="F315" s="70"/>
      <c r="G315" s="70"/>
    </row>
    <row r="316">
      <c r="A316" s="70"/>
      <c r="B316" s="61"/>
      <c r="C316" s="70"/>
      <c r="D316" s="61"/>
      <c r="E316" s="61"/>
      <c r="F316" s="70"/>
      <c r="G316" s="70"/>
    </row>
    <row r="317">
      <c r="A317" s="70"/>
      <c r="B317" s="61"/>
      <c r="C317" s="70"/>
      <c r="D317" s="61"/>
      <c r="E317" s="61"/>
      <c r="F317" s="70"/>
      <c r="G317" s="70"/>
    </row>
    <row r="318">
      <c r="A318" s="70"/>
      <c r="B318" s="61"/>
      <c r="C318" s="70"/>
      <c r="D318" s="61"/>
      <c r="E318" s="61"/>
      <c r="F318" s="70"/>
      <c r="G318" s="70"/>
    </row>
    <row r="319">
      <c r="A319" s="70"/>
      <c r="B319" s="61"/>
      <c r="C319" s="70"/>
      <c r="D319" s="61"/>
      <c r="E319" s="61"/>
      <c r="F319" s="70"/>
      <c r="G319" s="70"/>
    </row>
    <row r="320">
      <c r="A320" s="70"/>
      <c r="B320" s="61"/>
      <c r="C320" s="70"/>
      <c r="D320" s="61"/>
      <c r="E320" s="61"/>
      <c r="F320" s="70"/>
      <c r="G320" s="70"/>
    </row>
    <row r="321">
      <c r="A321" s="70"/>
      <c r="B321" s="61"/>
      <c r="C321" s="70"/>
      <c r="D321" s="61"/>
      <c r="E321" s="61"/>
      <c r="F321" s="70"/>
      <c r="G321" s="70"/>
    </row>
    <row r="322">
      <c r="A322" s="70"/>
      <c r="B322" s="61"/>
      <c r="C322" s="70"/>
      <c r="D322" s="61"/>
      <c r="E322" s="61"/>
      <c r="F322" s="70"/>
      <c r="G322" s="70"/>
    </row>
    <row r="323">
      <c r="A323" s="70"/>
      <c r="B323" s="61"/>
      <c r="C323" s="70"/>
      <c r="D323" s="61"/>
      <c r="E323" s="61"/>
      <c r="F323" s="70"/>
      <c r="G323" s="70"/>
    </row>
    <row r="324">
      <c r="A324" s="70"/>
      <c r="B324" s="61"/>
      <c r="C324" s="70"/>
      <c r="D324" s="61"/>
      <c r="E324" s="61"/>
      <c r="F324" s="70"/>
      <c r="G324" s="70"/>
    </row>
    <row r="325">
      <c r="A325" s="70"/>
      <c r="B325" s="61"/>
      <c r="C325" s="70"/>
      <c r="D325" s="61"/>
      <c r="E325" s="61"/>
      <c r="F325" s="70"/>
      <c r="G325" s="70"/>
    </row>
    <row r="326">
      <c r="A326" s="70"/>
      <c r="B326" s="61"/>
      <c r="C326" s="70"/>
      <c r="D326" s="61"/>
      <c r="E326" s="61"/>
      <c r="F326" s="70"/>
      <c r="G326" s="70"/>
    </row>
    <row r="327">
      <c r="A327" s="70"/>
      <c r="B327" s="61"/>
      <c r="C327" s="70"/>
      <c r="D327" s="61"/>
      <c r="E327" s="61"/>
      <c r="F327" s="70"/>
      <c r="G327" s="70"/>
    </row>
    <row r="328">
      <c r="A328" s="70"/>
      <c r="B328" s="61"/>
      <c r="C328" s="70"/>
      <c r="D328" s="61"/>
      <c r="E328" s="61"/>
      <c r="F328" s="70"/>
      <c r="G328" s="70"/>
    </row>
    <row r="329">
      <c r="A329" s="70"/>
      <c r="B329" s="61"/>
      <c r="C329" s="70"/>
      <c r="D329" s="61"/>
      <c r="E329" s="61"/>
      <c r="F329" s="70"/>
      <c r="G329" s="70"/>
    </row>
    <row r="330">
      <c r="A330" s="70"/>
      <c r="B330" s="61"/>
      <c r="C330" s="70"/>
      <c r="D330" s="61"/>
      <c r="E330" s="61"/>
      <c r="F330" s="70"/>
      <c r="G330" s="70"/>
    </row>
    <row r="331">
      <c r="A331" s="70"/>
      <c r="B331" s="61"/>
      <c r="C331" s="70"/>
      <c r="D331" s="61"/>
      <c r="E331" s="61"/>
      <c r="F331" s="70"/>
      <c r="G331" s="70"/>
    </row>
    <row r="332">
      <c r="A332" s="70"/>
      <c r="B332" s="61"/>
      <c r="C332" s="70"/>
      <c r="D332" s="61"/>
      <c r="E332" s="61"/>
      <c r="F332" s="70"/>
      <c r="G332" s="70"/>
    </row>
    <row r="333">
      <c r="A333" s="70"/>
      <c r="B333" s="61"/>
      <c r="C333" s="70"/>
      <c r="D333" s="61"/>
      <c r="E333" s="61"/>
      <c r="F333" s="70"/>
      <c r="G333" s="70"/>
    </row>
    <row r="334">
      <c r="A334" s="70"/>
      <c r="B334" s="61"/>
      <c r="C334" s="70"/>
      <c r="D334" s="61"/>
      <c r="E334" s="61"/>
      <c r="F334" s="70"/>
      <c r="G334" s="70"/>
    </row>
    <row r="335">
      <c r="A335" s="70"/>
      <c r="B335" s="61"/>
      <c r="C335" s="70"/>
      <c r="D335" s="61"/>
      <c r="E335" s="61"/>
      <c r="F335" s="70"/>
      <c r="G335" s="70"/>
    </row>
    <row r="336">
      <c r="A336" s="70"/>
      <c r="B336" s="61"/>
      <c r="C336" s="70"/>
      <c r="D336" s="61"/>
      <c r="E336" s="61"/>
      <c r="F336" s="70"/>
      <c r="G336" s="70"/>
    </row>
    <row r="337">
      <c r="A337" s="70"/>
      <c r="B337" s="61"/>
      <c r="C337" s="70"/>
      <c r="D337" s="61"/>
      <c r="E337" s="61"/>
      <c r="F337" s="70"/>
      <c r="G337" s="70"/>
    </row>
    <row r="338">
      <c r="A338" s="70"/>
      <c r="B338" s="61"/>
      <c r="C338" s="70"/>
      <c r="D338" s="61"/>
      <c r="E338" s="61"/>
      <c r="F338" s="70"/>
      <c r="G338" s="70"/>
    </row>
    <row r="339">
      <c r="A339" s="70"/>
      <c r="B339" s="61"/>
      <c r="C339" s="70"/>
      <c r="D339" s="61"/>
      <c r="E339" s="61"/>
      <c r="F339" s="70"/>
      <c r="G339" s="70"/>
    </row>
    <row r="340">
      <c r="A340" s="70"/>
      <c r="B340" s="61"/>
      <c r="C340" s="70"/>
      <c r="D340" s="61"/>
      <c r="E340" s="61"/>
      <c r="F340" s="70"/>
      <c r="G340" s="70"/>
    </row>
    <row r="341">
      <c r="A341" s="70"/>
      <c r="B341" s="61"/>
      <c r="C341" s="70"/>
      <c r="D341" s="61"/>
      <c r="E341" s="61"/>
      <c r="F341" s="70"/>
      <c r="G341" s="70"/>
    </row>
    <row r="342">
      <c r="A342" s="70"/>
      <c r="B342" s="61"/>
      <c r="C342" s="70"/>
      <c r="D342" s="61"/>
      <c r="E342" s="61"/>
      <c r="F342" s="70"/>
      <c r="G342" s="70"/>
    </row>
    <row r="343">
      <c r="A343" s="70"/>
      <c r="B343" s="61"/>
      <c r="C343" s="70"/>
      <c r="D343" s="61"/>
      <c r="E343" s="61"/>
      <c r="F343" s="70"/>
      <c r="G343" s="70"/>
    </row>
    <row r="344">
      <c r="A344" s="70"/>
      <c r="B344" s="61"/>
      <c r="C344" s="70"/>
      <c r="D344" s="61"/>
      <c r="E344" s="61"/>
      <c r="F344" s="70"/>
      <c r="G344" s="70"/>
    </row>
    <row r="345">
      <c r="A345" s="70"/>
      <c r="B345" s="61"/>
      <c r="C345" s="70"/>
      <c r="D345" s="61"/>
      <c r="E345" s="61"/>
      <c r="F345" s="70"/>
      <c r="G345" s="70"/>
    </row>
    <row r="346">
      <c r="A346" s="70"/>
      <c r="B346" s="61"/>
      <c r="C346" s="70"/>
      <c r="D346" s="61"/>
      <c r="E346" s="61"/>
      <c r="F346" s="70"/>
      <c r="G346" s="70"/>
    </row>
    <row r="347">
      <c r="A347" s="70"/>
      <c r="B347" s="61"/>
      <c r="C347" s="70"/>
      <c r="D347" s="61"/>
      <c r="E347" s="61"/>
      <c r="F347" s="70"/>
      <c r="G347" s="70"/>
    </row>
    <row r="348">
      <c r="A348" s="70"/>
      <c r="B348" s="61"/>
      <c r="C348" s="70"/>
      <c r="D348" s="61"/>
      <c r="E348" s="61"/>
      <c r="F348" s="70"/>
      <c r="G348" s="70"/>
    </row>
    <row r="349">
      <c r="A349" s="70"/>
      <c r="B349" s="61"/>
      <c r="C349" s="70"/>
      <c r="D349" s="61"/>
      <c r="E349" s="61"/>
      <c r="F349" s="70"/>
      <c r="G349" s="70"/>
    </row>
    <row r="350">
      <c r="A350" s="70"/>
      <c r="B350" s="61"/>
      <c r="C350" s="70"/>
      <c r="D350" s="61"/>
      <c r="E350" s="61"/>
      <c r="F350" s="70"/>
      <c r="G350" s="70"/>
    </row>
    <row r="351">
      <c r="A351" s="70"/>
      <c r="B351" s="61"/>
      <c r="C351" s="70"/>
      <c r="D351" s="61"/>
      <c r="E351" s="61"/>
      <c r="F351" s="70"/>
      <c r="G351" s="70"/>
    </row>
    <row r="352">
      <c r="A352" s="70"/>
      <c r="B352" s="61"/>
      <c r="C352" s="70"/>
      <c r="D352" s="61"/>
      <c r="E352" s="61"/>
      <c r="F352" s="70"/>
      <c r="G352" s="70"/>
    </row>
    <row r="353">
      <c r="A353" s="70"/>
      <c r="B353" s="61"/>
      <c r="C353" s="70"/>
      <c r="D353" s="61"/>
      <c r="E353" s="61"/>
      <c r="F353" s="70"/>
      <c r="G353" s="70"/>
    </row>
    <row r="354">
      <c r="A354" s="70"/>
      <c r="B354" s="61"/>
      <c r="C354" s="70"/>
      <c r="D354" s="61"/>
      <c r="E354" s="61"/>
      <c r="F354" s="70"/>
      <c r="G354" s="70"/>
    </row>
    <row r="355">
      <c r="A355" s="70"/>
      <c r="B355" s="61"/>
      <c r="C355" s="70"/>
      <c r="D355" s="61"/>
      <c r="E355" s="61"/>
      <c r="F355" s="70"/>
      <c r="G355" s="70"/>
    </row>
    <row r="356">
      <c r="A356" s="70"/>
      <c r="B356" s="61"/>
      <c r="C356" s="70"/>
      <c r="D356" s="61"/>
      <c r="E356" s="61"/>
      <c r="F356" s="70"/>
      <c r="G356" s="70"/>
    </row>
    <row r="357">
      <c r="A357" s="70"/>
      <c r="B357" s="61"/>
      <c r="C357" s="70"/>
      <c r="D357" s="61"/>
      <c r="E357" s="61"/>
      <c r="F357" s="70"/>
      <c r="G357" s="70"/>
    </row>
    <row r="358">
      <c r="A358" s="70"/>
      <c r="B358" s="61"/>
      <c r="C358" s="70"/>
      <c r="D358" s="61"/>
      <c r="E358" s="61"/>
      <c r="F358" s="70"/>
      <c r="G358" s="70"/>
    </row>
    <row r="359">
      <c r="A359" s="70"/>
      <c r="B359" s="61"/>
      <c r="C359" s="70"/>
      <c r="D359" s="61"/>
      <c r="E359" s="61"/>
      <c r="F359" s="70"/>
      <c r="G359" s="70"/>
    </row>
    <row r="360">
      <c r="A360" s="70"/>
      <c r="B360" s="61"/>
      <c r="C360" s="70"/>
      <c r="D360" s="61"/>
      <c r="E360" s="61"/>
      <c r="F360" s="70"/>
      <c r="G360" s="70"/>
    </row>
    <row r="361">
      <c r="A361" s="70"/>
      <c r="B361" s="61"/>
      <c r="C361" s="70"/>
      <c r="D361" s="61"/>
      <c r="E361" s="61"/>
      <c r="F361" s="70"/>
      <c r="G361" s="70"/>
    </row>
    <row r="362">
      <c r="A362" s="70"/>
      <c r="B362" s="61"/>
      <c r="C362" s="70"/>
      <c r="D362" s="61"/>
      <c r="E362" s="61"/>
      <c r="F362" s="70"/>
      <c r="G362" s="70"/>
    </row>
    <row r="363">
      <c r="A363" s="70"/>
      <c r="B363" s="61"/>
      <c r="C363" s="70"/>
      <c r="D363" s="61"/>
      <c r="E363" s="61"/>
      <c r="F363" s="70"/>
      <c r="G363" s="70"/>
    </row>
    <row r="364">
      <c r="A364" s="70"/>
      <c r="B364" s="61"/>
      <c r="C364" s="70"/>
      <c r="D364" s="61"/>
      <c r="E364" s="61"/>
      <c r="F364" s="70"/>
      <c r="G364" s="70"/>
    </row>
    <row r="365">
      <c r="A365" s="70"/>
      <c r="B365" s="61"/>
      <c r="C365" s="70"/>
      <c r="D365" s="61"/>
      <c r="E365" s="61"/>
      <c r="F365" s="70"/>
      <c r="G365" s="70"/>
    </row>
    <row r="366">
      <c r="A366" s="70"/>
      <c r="B366" s="61"/>
      <c r="C366" s="70"/>
      <c r="D366" s="61"/>
      <c r="E366" s="61"/>
      <c r="F366" s="70"/>
      <c r="G366" s="70"/>
    </row>
    <row r="367">
      <c r="A367" s="70"/>
      <c r="B367" s="61"/>
      <c r="C367" s="70"/>
      <c r="D367" s="61"/>
      <c r="E367" s="61"/>
      <c r="F367" s="70"/>
      <c r="G367" s="70"/>
    </row>
    <row r="368">
      <c r="A368" s="70"/>
      <c r="B368" s="61"/>
      <c r="C368" s="70"/>
      <c r="D368" s="61"/>
      <c r="E368" s="61"/>
      <c r="F368" s="70"/>
      <c r="G368" s="70"/>
    </row>
    <row r="369">
      <c r="A369" s="70"/>
      <c r="B369" s="61"/>
      <c r="C369" s="70"/>
      <c r="D369" s="61"/>
      <c r="E369" s="61"/>
      <c r="F369" s="70"/>
      <c r="G369" s="70"/>
    </row>
    <row r="370">
      <c r="A370" s="70"/>
      <c r="B370" s="61"/>
      <c r="C370" s="70"/>
      <c r="D370" s="61"/>
      <c r="E370" s="61"/>
      <c r="F370" s="70"/>
      <c r="G370" s="70"/>
    </row>
    <row r="371">
      <c r="A371" s="70"/>
      <c r="B371" s="61"/>
      <c r="C371" s="70"/>
      <c r="D371" s="61"/>
      <c r="E371" s="61"/>
      <c r="F371" s="70"/>
      <c r="G371" s="70"/>
    </row>
    <row r="372">
      <c r="A372" s="70"/>
      <c r="B372" s="61"/>
      <c r="C372" s="70"/>
      <c r="D372" s="61"/>
      <c r="E372" s="61"/>
      <c r="F372" s="70"/>
      <c r="G372" s="70"/>
    </row>
    <row r="373">
      <c r="A373" s="70"/>
      <c r="B373" s="61"/>
      <c r="C373" s="70"/>
      <c r="D373" s="61"/>
      <c r="E373" s="61"/>
      <c r="F373" s="70"/>
      <c r="G373" s="70"/>
    </row>
    <row r="374">
      <c r="A374" s="70"/>
      <c r="B374" s="61"/>
      <c r="C374" s="70"/>
      <c r="D374" s="61"/>
      <c r="E374" s="61"/>
      <c r="F374" s="70"/>
      <c r="G374" s="70"/>
    </row>
    <row r="375">
      <c r="A375" s="70"/>
      <c r="B375" s="61"/>
      <c r="C375" s="70"/>
      <c r="D375" s="61"/>
      <c r="E375" s="61"/>
      <c r="F375" s="70"/>
      <c r="G375" s="70"/>
    </row>
    <row r="376">
      <c r="A376" s="70"/>
      <c r="B376" s="61"/>
      <c r="C376" s="70"/>
      <c r="D376" s="61"/>
      <c r="E376" s="61"/>
      <c r="F376" s="70"/>
      <c r="G376" s="70"/>
    </row>
    <row r="377">
      <c r="A377" s="70"/>
      <c r="B377" s="61"/>
      <c r="C377" s="70"/>
      <c r="D377" s="61"/>
      <c r="E377" s="61"/>
      <c r="F377" s="70"/>
      <c r="G377" s="70"/>
    </row>
    <row r="378">
      <c r="A378" s="70"/>
      <c r="B378" s="61"/>
      <c r="C378" s="70"/>
      <c r="D378" s="61"/>
      <c r="E378" s="61"/>
      <c r="F378" s="70"/>
      <c r="G378" s="70"/>
    </row>
    <row r="379">
      <c r="A379" s="70"/>
      <c r="B379" s="61"/>
      <c r="C379" s="70"/>
      <c r="D379" s="61"/>
      <c r="E379" s="61"/>
      <c r="F379" s="70"/>
      <c r="G379" s="70"/>
    </row>
    <row r="380">
      <c r="A380" s="70"/>
      <c r="B380" s="61"/>
      <c r="C380" s="70"/>
      <c r="D380" s="61"/>
      <c r="E380" s="61"/>
      <c r="F380" s="70"/>
      <c r="G380" s="70"/>
    </row>
    <row r="381">
      <c r="A381" s="70"/>
      <c r="B381" s="61"/>
      <c r="C381" s="70"/>
      <c r="D381" s="61"/>
      <c r="E381" s="61"/>
      <c r="F381" s="70"/>
      <c r="G381" s="70"/>
    </row>
    <row r="382">
      <c r="A382" s="70"/>
      <c r="B382" s="61"/>
      <c r="C382" s="70"/>
      <c r="D382" s="61"/>
      <c r="E382" s="61"/>
      <c r="F382" s="70"/>
      <c r="G382" s="70"/>
    </row>
    <row r="383">
      <c r="A383" s="70"/>
      <c r="B383" s="61"/>
      <c r="C383" s="70"/>
      <c r="D383" s="61"/>
      <c r="E383" s="61"/>
      <c r="F383" s="70"/>
      <c r="G383" s="70"/>
    </row>
    <row r="384">
      <c r="A384" s="70"/>
      <c r="B384" s="61"/>
      <c r="C384" s="70"/>
      <c r="D384" s="61"/>
      <c r="E384" s="61"/>
      <c r="F384" s="70"/>
      <c r="G384" s="70"/>
    </row>
    <row r="385">
      <c r="A385" s="70"/>
      <c r="B385" s="61"/>
      <c r="C385" s="70"/>
      <c r="D385" s="61"/>
      <c r="E385" s="61"/>
      <c r="F385" s="70"/>
      <c r="G385" s="70"/>
    </row>
    <row r="386">
      <c r="A386" s="70"/>
      <c r="B386" s="61"/>
      <c r="C386" s="70"/>
      <c r="D386" s="61"/>
      <c r="E386" s="61"/>
      <c r="F386" s="70"/>
      <c r="G386" s="70"/>
    </row>
    <row r="387">
      <c r="A387" s="70"/>
      <c r="B387" s="61"/>
      <c r="C387" s="70"/>
      <c r="D387" s="61"/>
      <c r="E387" s="61"/>
      <c r="F387" s="70"/>
      <c r="G387" s="70"/>
    </row>
    <row r="388">
      <c r="A388" s="70"/>
      <c r="B388" s="61"/>
      <c r="C388" s="70"/>
      <c r="D388" s="61"/>
      <c r="E388" s="61"/>
      <c r="F388" s="70"/>
      <c r="G388" s="70"/>
    </row>
    <row r="389">
      <c r="A389" s="70"/>
      <c r="B389" s="61"/>
      <c r="C389" s="70"/>
      <c r="D389" s="61"/>
      <c r="E389" s="61"/>
      <c r="F389" s="70"/>
      <c r="G389" s="70"/>
    </row>
    <row r="390">
      <c r="A390" s="70"/>
      <c r="B390" s="61"/>
      <c r="C390" s="70"/>
      <c r="D390" s="61"/>
      <c r="E390" s="61"/>
      <c r="F390" s="70"/>
      <c r="G390" s="70"/>
    </row>
    <row r="391">
      <c r="A391" s="70"/>
      <c r="B391" s="61"/>
      <c r="C391" s="70"/>
      <c r="D391" s="61"/>
      <c r="E391" s="61"/>
      <c r="F391" s="70"/>
      <c r="G391" s="70"/>
    </row>
    <row r="392">
      <c r="A392" s="70"/>
      <c r="B392" s="61"/>
      <c r="C392" s="70"/>
      <c r="D392" s="61"/>
      <c r="E392" s="61"/>
      <c r="F392" s="70"/>
      <c r="G392" s="70"/>
    </row>
    <row r="393">
      <c r="A393" s="70"/>
      <c r="B393" s="61"/>
      <c r="C393" s="70"/>
      <c r="D393" s="61"/>
      <c r="E393" s="61"/>
      <c r="F393" s="70"/>
      <c r="G393" s="70"/>
    </row>
    <row r="394">
      <c r="A394" s="70"/>
      <c r="B394" s="61"/>
      <c r="C394" s="70"/>
      <c r="D394" s="61"/>
      <c r="E394" s="61"/>
      <c r="F394" s="70"/>
      <c r="G394" s="70"/>
    </row>
    <row r="395">
      <c r="A395" s="70"/>
      <c r="B395" s="61"/>
      <c r="C395" s="70"/>
      <c r="D395" s="61"/>
      <c r="E395" s="61"/>
      <c r="F395" s="70"/>
      <c r="G395" s="70"/>
    </row>
    <row r="396">
      <c r="A396" s="70"/>
      <c r="B396" s="61"/>
      <c r="C396" s="70"/>
      <c r="D396" s="61"/>
      <c r="E396" s="61"/>
      <c r="F396" s="70"/>
      <c r="G396" s="70"/>
    </row>
    <row r="397">
      <c r="A397" s="70"/>
      <c r="B397" s="61"/>
      <c r="C397" s="70"/>
      <c r="D397" s="61"/>
      <c r="E397" s="61"/>
      <c r="F397" s="70"/>
      <c r="G397" s="70"/>
    </row>
    <row r="398">
      <c r="A398" s="70"/>
      <c r="B398" s="61"/>
      <c r="C398" s="70"/>
      <c r="D398" s="61"/>
      <c r="E398" s="61"/>
      <c r="F398" s="70"/>
      <c r="G398" s="70"/>
    </row>
    <row r="399">
      <c r="A399" s="70"/>
      <c r="B399" s="61"/>
      <c r="C399" s="70"/>
      <c r="D399" s="61"/>
      <c r="E399" s="61"/>
      <c r="F399" s="70"/>
      <c r="G399" s="70"/>
    </row>
    <row r="400">
      <c r="A400" s="70"/>
      <c r="B400" s="61"/>
      <c r="C400" s="70"/>
      <c r="D400" s="61"/>
      <c r="E400" s="61"/>
      <c r="F400" s="70"/>
      <c r="G400" s="70"/>
    </row>
    <row r="401">
      <c r="A401" s="70"/>
      <c r="B401" s="61"/>
      <c r="C401" s="70"/>
      <c r="D401" s="61"/>
      <c r="E401" s="61"/>
      <c r="F401" s="70"/>
      <c r="G401" s="70"/>
    </row>
    <row r="402">
      <c r="A402" s="70"/>
      <c r="B402" s="61"/>
      <c r="C402" s="70"/>
      <c r="D402" s="61"/>
      <c r="E402" s="61"/>
      <c r="F402" s="70"/>
      <c r="G402" s="70"/>
    </row>
    <row r="403">
      <c r="A403" s="70"/>
      <c r="B403" s="61"/>
      <c r="C403" s="70"/>
      <c r="D403" s="61"/>
      <c r="E403" s="61"/>
      <c r="F403" s="70"/>
      <c r="G403" s="70"/>
    </row>
    <row r="404">
      <c r="A404" s="70"/>
      <c r="B404" s="61"/>
      <c r="C404" s="70"/>
      <c r="D404" s="61"/>
      <c r="E404" s="61"/>
      <c r="F404" s="70"/>
      <c r="G404" s="70"/>
    </row>
    <row r="405">
      <c r="A405" s="70"/>
      <c r="B405" s="61"/>
      <c r="C405" s="70"/>
      <c r="D405" s="61"/>
      <c r="E405" s="61"/>
      <c r="F405" s="70"/>
      <c r="G405" s="70"/>
    </row>
    <row r="406">
      <c r="A406" s="70"/>
      <c r="B406" s="61"/>
      <c r="C406" s="70"/>
      <c r="D406" s="61"/>
      <c r="E406" s="61"/>
      <c r="F406" s="70"/>
      <c r="G406" s="70"/>
    </row>
    <row r="407">
      <c r="A407" s="70"/>
      <c r="B407" s="61"/>
      <c r="C407" s="70"/>
      <c r="D407" s="61"/>
      <c r="E407" s="61"/>
      <c r="F407" s="70"/>
      <c r="G407" s="70"/>
    </row>
    <row r="408">
      <c r="A408" s="70"/>
      <c r="B408" s="61"/>
      <c r="C408" s="70"/>
      <c r="D408" s="61"/>
      <c r="E408" s="61"/>
      <c r="F408" s="70"/>
      <c r="G408" s="70"/>
    </row>
    <row r="409">
      <c r="A409" s="70"/>
      <c r="B409" s="61"/>
      <c r="C409" s="70"/>
      <c r="D409" s="61"/>
      <c r="E409" s="61"/>
      <c r="F409" s="70"/>
      <c r="G409" s="70"/>
    </row>
    <row r="410">
      <c r="A410" s="70"/>
      <c r="B410" s="61"/>
      <c r="C410" s="70"/>
      <c r="D410" s="61"/>
      <c r="E410" s="61"/>
      <c r="F410" s="70"/>
      <c r="G410" s="70"/>
    </row>
    <row r="411">
      <c r="A411" s="70"/>
      <c r="B411" s="61"/>
      <c r="C411" s="70"/>
      <c r="D411" s="61"/>
      <c r="E411" s="61"/>
      <c r="F411" s="70"/>
      <c r="G411" s="70"/>
    </row>
    <row r="412">
      <c r="A412" s="70"/>
      <c r="B412" s="61"/>
      <c r="C412" s="70"/>
      <c r="D412" s="61"/>
      <c r="E412" s="61"/>
      <c r="F412" s="70"/>
      <c r="G412" s="70"/>
    </row>
    <row r="413">
      <c r="A413" s="70"/>
      <c r="B413" s="61"/>
      <c r="C413" s="70"/>
      <c r="D413" s="61"/>
      <c r="E413" s="61"/>
      <c r="F413" s="70"/>
      <c r="G413" s="70"/>
    </row>
    <row r="414">
      <c r="A414" s="70"/>
      <c r="B414" s="61"/>
      <c r="C414" s="70"/>
      <c r="D414" s="61"/>
      <c r="E414" s="61"/>
      <c r="F414" s="70"/>
      <c r="G414" s="70"/>
    </row>
    <row r="415">
      <c r="A415" s="70"/>
      <c r="B415" s="61"/>
      <c r="C415" s="70"/>
      <c r="D415" s="61"/>
      <c r="E415" s="61"/>
      <c r="F415" s="70"/>
      <c r="G415" s="70"/>
    </row>
    <row r="416">
      <c r="A416" s="70"/>
      <c r="B416" s="61"/>
      <c r="C416" s="70"/>
      <c r="D416" s="61"/>
      <c r="E416" s="61"/>
      <c r="F416" s="70"/>
      <c r="G416" s="70"/>
    </row>
    <row r="417">
      <c r="A417" s="70"/>
      <c r="B417" s="61"/>
      <c r="C417" s="70"/>
      <c r="D417" s="61"/>
      <c r="E417" s="61"/>
      <c r="F417" s="70"/>
      <c r="G417" s="70"/>
    </row>
    <row r="418">
      <c r="A418" s="70"/>
      <c r="B418" s="61"/>
      <c r="C418" s="70"/>
      <c r="D418" s="61"/>
      <c r="E418" s="61"/>
      <c r="F418" s="70"/>
      <c r="G418" s="70"/>
    </row>
    <row r="419">
      <c r="A419" s="70"/>
      <c r="B419" s="61"/>
      <c r="C419" s="70"/>
      <c r="D419" s="61"/>
      <c r="E419" s="61"/>
      <c r="F419" s="70"/>
      <c r="G419" s="70"/>
    </row>
    <row r="420">
      <c r="A420" s="70"/>
      <c r="B420" s="61"/>
      <c r="C420" s="70"/>
      <c r="D420" s="61"/>
      <c r="E420" s="61"/>
      <c r="F420" s="70"/>
      <c r="G420" s="70"/>
    </row>
    <row r="421">
      <c r="A421" s="70"/>
      <c r="B421" s="61"/>
      <c r="C421" s="70"/>
      <c r="D421" s="61"/>
      <c r="E421" s="61"/>
      <c r="F421" s="70"/>
      <c r="G421" s="70"/>
    </row>
    <row r="422">
      <c r="A422" s="70"/>
      <c r="B422" s="61"/>
      <c r="C422" s="70"/>
      <c r="D422" s="61"/>
      <c r="E422" s="61"/>
      <c r="F422" s="70"/>
      <c r="G422" s="70"/>
    </row>
    <row r="423">
      <c r="A423" s="70"/>
      <c r="B423" s="61"/>
      <c r="C423" s="70"/>
      <c r="D423" s="61"/>
      <c r="E423" s="61"/>
      <c r="F423" s="70"/>
      <c r="G423" s="70"/>
    </row>
    <row r="424">
      <c r="A424" s="70"/>
      <c r="B424" s="61"/>
      <c r="C424" s="70"/>
      <c r="D424" s="61"/>
      <c r="E424" s="61"/>
      <c r="F424" s="70"/>
      <c r="G424" s="70"/>
    </row>
    <row r="425">
      <c r="A425" s="70"/>
      <c r="B425" s="61"/>
      <c r="C425" s="70"/>
      <c r="D425" s="61"/>
      <c r="E425" s="61"/>
      <c r="F425" s="70"/>
      <c r="G425" s="70"/>
    </row>
    <row r="426">
      <c r="A426" s="70"/>
      <c r="B426" s="61"/>
      <c r="C426" s="70"/>
      <c r="D426" s="61"/>
      <c r="E426" s="61"/>
      <c r="F426" s="70"/>
      <c r="G426" s="70"/>
    </row>
    <row r="427">
      <c r="A427" s="70"/>
      <c r="B427" s="61"/>
      <c r="C427" s="70"/>
      <c r="D427" s="61"/>
      <c r="E427" s="61"/>
      <c r="F427" s="70"/>
      <c r="G427" s="70"/>
    </row>
    <row r="428">
      <c r="A428" s="70"/>
      <c r="B428" s="61"/>
      <c r="C428" s="70"/>
      <c r="D428" s="61"/>
      <c r="E428" s="61"/>
      <c r="F428" s="70"/>
      <c r="G428" s="70"/>
    </row>
    <row r="429">
      <c r="A429" s="70"/>
      <c r="B429" s="61"/>
      <c r="C429" s="70"/>
      <c r="D429" s="61"/>
      <c r="E429" s="61"/>
      <c r="F429" s="70"/>
      <c r="G429" s="70"/>
    </row>
    <row r="430">
      <c r="A430" s="70"/>
      <c r="B430" s="61"/>
      <c r="C430" s="70"/>
      <c r="D430" s="61"/>
      <c r="E430" s="61"/>
      <c r="F430" s="70"/>
      <c r="G430" s="70"/>
    </row>
    <row r="431">
      <c r="A431" s="70"/>
      <c r="B431" s="61"/>
      <c r="C431" s="70"/>
      <c r="D431" s="61"/>
      <c r="E431" s="61"/>
      <c r="F431" s="70"/>
      <c r="G431" s="70"/>
    </row>
    <row r="432">
      <c r="A432" s="70"/>
      <c r="B432" s="61"/>
      <c r="C432" s="70"/>
      <c r="D432" s="61"/>
      <c r="E432" s="61"/>
      <c r="F432" s="70"/>
      <c r="G432" s="70"/>
    </row>
    <row r="433">
      <c r="A433" s="70"/>
      <c r="B433" s="61"/>
      <c r="C433" s="70"/>
      <c r="D433" s="61"/>
      <c r="E433" s="61"/>
      <c r="F433" s="70"/>
      <c r="G433" s="70"/>
    </row>
    <row r="434">
      <c r="A434" s="70"/>
      <c r="B434" s="61"/>
      <c r="C434" s="70"/>
      <c r="D434" s="61"/>
      <c r="E434" s="61"/>
      <c r="F434" s="70"/>
      <c r="G434" s="70"/>
    </row>
    <row r="435">
      <c r="A435" s="70"/>
      <c r="B435" s="61"/>
      <c r="C435" s="70"/>
      <c r="D435" s="61"/>
      <c r="E435" s="61"/>
      <c r="F435" s="70"/>
      <c r="G435" s="70"/>
    </row>
    <row r="436">
      <c r="A436" s="70"/>
      <c r="B436" s="61"/>
      <c r="C436" s="70"/>
      <c r="D436" s="61"/>
      <c r="E436" s="61"/>
      <c r="F436" s="70"/>
      <c r="G436" s="70"/>
    </row>
    <row r="437">
      <c r="A437" s="70"/>
      <c r="B437" s="61"/>
      <c r="C437" s="70"/>
      <c r="D437" s="61"/>
      <c r="E437" s="61"/>
      <c r="F437" s="70"/>
      <c r="G437" s="70"/>
    </row>
    <row r="438">
      <c r="A438" s="70"/>
      <c r="B438" s="61"/>
      <c r="C438" s="70"/>
      <c r="D438" s="61"/>
      <c r="E438" s="61"/>
      <c r="F438" s="70"/>
      <c r="G438" s="70"/>
    </row>
    <row r="439">
      <c r="A439" s="70"/>
      <c r="B439" s="61"/>
      <c r="C439" s="70"/>
      <c r="D439" s="61"/>
      <c r="E439" s="61"/>
      <c r="F439" s="70"/>
      <c r="G439" s="70"/>
    </row>
    <row r="440">
      <c r="A440" s="70"/>
      <c r="B440" s="61"/>
      <c r="C440" s="70"/>
      <c r="D440" s="61"/>
      <c r="E440" s="61"/>
      <c r="F440" s="70"/>
      <c r="G440" s="70"/>
    </row>
    <row r="441">
      <c r="A441" s="70"/>
      <c r="B441" s="61"/>
      <c r="C441" s="70"/>
      <c r="D441" s="61"/>
      <c r="E441" s="61"/>
      <c r="F441" s="70"/>
      <c r="G441" s="70"/>
    </row>
    <row r="442">
      <c r="A442" s="70"/>
      <c r="B442" s="61"/>
      <c r="C442" s="70"/>
      <c r="D442" s="61"/>
      <c r="E442" s="61"/>
      <c r="F442" s="70"/>
      <c r="G442" s="70"/>
    </row>
    <row r="443">
      <c r="A443" s="70"/>
      <c r="B443" s="61"/>
      <c r="C443" s="70"/>
      <c r="D443" s="61"/>
      <c r="E443" s="61"/>
      <c r="F443" s="70"/>
      <c r="G443" s="70"/>
    </row>
    <row r="444">
      <c r="A444" s="70"/>
      <c r="B444" s="61"/>
      <c r="C444" s="70"/>
      <c r="D444" s="61"/>
      <c r="E444" s="61"/>
      <c r="F444" s="70"/>
      <c r="G444" s="70"/>
    </row>
    <row r="445">
      <c r="A445" s="70"/>
      <c r="B445" s="61"/>
      <c r="C445" s="70"/>
      <c r="D445" s="61"/>
      <c r="E445" s="61"/>
      <c r="F445" s="70"/>
      <c r="G445" s="70"/>
    </row>
    <row r="446">
      <c r="A446" s="70"/>
      <c r="B446" s="61"/>
      <c r="C446" s="70"/>
      <c r="D446" s="61"/>
      <c r="E446" s="61"/>
      <c r="F446" s="70"/>
      <c r="G446" s="70"/>
    </row>
    <row r="447">
      <c r="A447" s="70"/>
      <c r="B447" s="61"/>
      <c r="C447" s="70"/>
      <c r="D447" s="61"/>
      <c r="E447" s="61"/>
      <c r="F447" s="70"/>
      <c r="G447" s="70"/>
    </row>
    <row r="448">
      <c r="A448" s="70"/>
      <c r="B448" s="61"/>
      <c r="C448" s="70"/>
      <c r="D448" s="61"/>
      <c r="E448" s="61"/>
      <c r="F448" s="70"/>
      <c r="G448" s="70"/>
    </row>
    <row r="449">
      <c r="A449" s="70"/>
      <c r="B449" s="61"/>
      <c r="C449" s="70"/>
      <c r="D449" s="61"/>
      <c r="E449" s="61"/>
      <c r="F449" s="70"/>
      <c r="G449" s="70"/>
    </row>
    <row r="450">
      <c r="A450" s="70"/>
      <c r="B450" s="61"/>
      <c r="C450" s="70"/>
      <c r="D450" s="61"/>
      <c r="E450" s="61"/>
      <c r="F450" s="70"/>
      <c r="G450" s="70"/>
    </row>
    <row r="451">
      <c r="A451" s="70"/>
      <c r="B451" s="61"/>
      <c r="C451" s="70"/>
      <c r="D451" s="61"/>
      <c r="E451" s="61"/>
      <c r="F451" s="70"/>
      <c r="G451" s="70"/>
    </row>
    <row r="452">
      <c r="A452" s="70"/>
      <c r="B452" s="61"/>
      <c r="C452" s="70"/>
      <c r="D452" s="61"/>
      <c r="E452" s="61"/>
      <c r="F452" s="70"/>
      <c r="G452" s="70"/>
    </row>
    <row r="453">
      <c r="A453" s="70"/>
      <c r="B453" s="61"/>
      <c r="C453" s="70"/>
      <c r="D453" s="61"/>
      <c r="E453" s="61"/>
      <c r="F453" s="70"/>
      <c r="G453" s="70"/>
    </row>
    <row r="454">
      <c r="A454" s="70"/>
      <c r="B454" s="61"/>
      <c r="C454" s="70"/>
      <c r="D454" s="61"/>
      <c r="E454" s="61"/>
      <c r="F454" s="70"/>
      <c r="G454" s="70"/>
    </row>
    <row r="455">
      <c r="A455" s="70"/>
      <c r="B455" s="61"/>
      <c r="C455" s="70"/>
      <c r="D455" s="61"/>
      <c r="E455" s="61"/>
      <c r="F455" s="70"/>
      <c r="G455" s="70"/>
    </row>
    <row r="456">
      <c r="A456" s="70"/>
      <c r="B456" s="61"/>
      <c r="C456" s="70"/>
      <c r="D456" s="61"/>
      <c r="E456" s="61"/>
      <c r="F456" s="70"/>
      <c r="G456" s="70"/>
    </row>
    <row r="457">
      <c r="A457" s="70"/>
      <c r="B457" s="61"/>
      <c r="C457" s="70"/>
      <c r="D457" s="61"/>
      <c r="E457" s="61"/>
      <c r="F457" s="70"/>
      <c r="G457" s="70"/>
    </row>
    <row r="458">
      <c r="A458" s="70"/>
      <c r="B458" s="61"/>
      <c r="C458" s="70"/>
      <c r="D458" s="61"/>
      <c r="E458" s="61"/>
      <c r="F458" s="70"/>
      <c r="G458" s="70"/>
    </row>
    <row r="459">
      <c r="A459" s="70"/>
      <c r="B459" s="61"/>
      <c r="C459" s="70"/>
      <c r="D459" s="61"/>
      <c r="E459" s="61"/>
      <c r="F459" s="70"/>
      <c r="G459" s="70"/>
    </row>
    <row r="460">
      <c r="A460" s="70"/>
      <c r="B460" s="61"/>
      <c r="C460" s="70"/>
      <c r="D460" s="61"/>
      <c r="E460" s="61"/>
      <c r="F460" s="70"/>
      <c r="G460" s="70"/>
    </row>
    <row r="461">
      <c r="A461" s="70"/>
      <c r="B461" s="61"/>
      <c r="C461" s="70"/>
      <c r="D461" s="61"/>
      <c r="E461" s="61"/>
      <c r="F461" s="70"/>
      <c r="G461" s="70"/>
    </row>
    <row r="462">
      <c r="A462" s="70"/>
      <c r="B462" s="61"/>
      <c r="C462" s="70"/>
      <c r="D462" s="61"/>
      <c r="E462" s="61"/>
      <c r="F462" s="70"/>
      <c r="G462" s="70"/>
    </row>
    <row r="463">
      <c r="A463" s="70"/>
      <c r="B463" s="61"/>
      <c r="C463" s="70"/>
      <c r="D463" s="61"/>
      <c r="E463" s="61"/>
      <c r="F463" s="70"/>
      <c r="G463" s="70"/>
    </row>
    <row r="464">
      <c r="A464" s="70"/>
      <c r="B464" s="61"/>
      <c r="C464" s="70"/>
      <c r="D464" s="61"/>
      <c r="E464" s="61"/>
      <c r="F464" s="70"/>
      <c r="G464" s="70"/>
    </row>
    <row r="465">
      <c r="A465" s="70"/>
      <c r="B465" s="61"/>
      <c r="C465" s="70"/>
      <c r="D465" s="61"/>
      <c r="E465" s="61"/>
      <c r="F465" s="70"/>
      <c r="G465" s="70"/>
    </row>
    <row r="466">
      <c r="A466" s="70"/>
      <c r="B466" s="61"/>
      <c r="C466" s="70"/>
      <c r="D466" s="61"/>
      <c r="E466" s="61"/>
      <c r="F466" s="70"/>
      <c r="G466" s="70"/>
    </row>
    <row r="467">
      <c r="A467" s="70"/>
      <c r="B467" s="61"/>
      <c r="C467" s="70"/>
      <c r="D467" s="61"/>
      <c r="E467" s="61"/>
      <c r="F467" s="70"/>
      <c r="G467" s="70"/>
    </row>
    <row r="468">
      <c r="A468" s="70"/>
      <c r="B468" s="61"/>
      <c r="C468" s="70"/>
      <c r="D468" s="61"/>
      <c r="E468" s="61"/>
      <c r="F468" s="70"/>
      <c r="G468" s="70"/>
    </row>
    <row r="469">
      <c r="A469" s="70"/>
      <c r="B469" s="61"/>
      <c r="C469" s="70"/>
      <c r="D469" s="61"/>
      <c r="E469" s="61"/>
      <c r="F469" s="70"/>
      <c r="G469" s="70"/>
    </row>
    <row r="470">
      <c r="A470" s="70"/>
      <c r="B470" s="61"/>
      <c r="C470" s="70"/>
      <c r="D470" s="61"/>
      <c r="E470" s="61"/>
      <c r="F470" s="70"/>
      <c r="G470" s="70"/>
    </row>
    <row r="471">
      <c r="A471" s="70"/>
      <c r="B471" s="61"/>
      <c r="C471" s="70"/>
      <c r="D471" s="61"/>
      <c r="E471" s="61"/>
      <c r="F471" s="70"/>
      <c r="G471" s="70"/>
    </row>
    <row r="472">
      <c r="A472" s="70"/>
      <c r="B472" s="61"/>
      <c r="C472" s="70"/>
      <c r="D472" s="61"/>
      <c r="E472" s="61"/>
      <c r="F472" s="70"/>
      <c r="G472" s="70"/>
    </row>
    <row r="473">
      <c r="A473" s="70"/>
      <c r="B473" s="61"/>
      <c r="C473" s="70"/>
      <c r="D473" s="61"/>
      <c r="E473" s="61"/>
      <c r="F473" s="70"/>
      <c r="G473" s="70"/>
    </row>
    <row r="474">
      <c r="A474" s="70"/>
      <c r="B474" s="61"/>
      <c r="C474" s="70"/>
      <c r="D474" s="61"/>
      <c r="E474" s="61"/>
      <c r="F474" s="70"/>
      <c r="G474" s="70"/>
    </row>
    <row r="475">
      <c r="A475" s="70"/>
      <c r="B475" s="61"/>
      <c r="C475" s="70"/>
      <c r="D475" s="61"/>
      <c r="E475" s="61"/>
      <c r="F475" s="70"/>
      <c r="G475" s="70"/>
    </row>
    <row r="476">
      <c r="A476" s="70"/>
      <c r="B476" s="61"/>
      <c r="C476" s="70"/>
      <c r="D476" s="61"/>
      <c r="E476" s="61"/>
      <c r="F476" s="70"/>
      <c r="G476" s="70"/>
    </row>
    <row r="477">
      <c r="A477" s="70"/>
      <c r="B477" s="61"/>
      <c r="C477" s="70"/>
      <c r="D477" s="61"/>
      <c r="E477" s="61"/>
      <c r="F477" s="70"/>
      <c r="G477" s="70"/>
    </row>
    <row r="478">
      <c r="A478" s="70"/>
      <c r="B478" s="61"/>
      <c r="C478" s="70"/>
      <c r="D478" s="61"/>
      <c r="E478" s="61"/>
      <c r="F478" s="70"/>
      <c r="G478" s="70"/>
    </row>
    <row r="479">
      <c r="A479" s="70"/>
      <c r="B479" s="61"/>
      <c r="C479" s="70"/>
      <c r="D479" s="61"/>
      <c r="E479" s="61"/>
      <c r="F479" s="70"/>
      <c r="G479" s="70"/>
    </row>
    <row r="480">
      <c r="A480" s="70"/>
      <c r="B480" s="61"/>
      <c r="C480" s="70"/>
      <c r="D480" s="61"/>
      <c r="E480" s="61"/>
      <c r="F480" s="70"/>
      <c r="G480" s="70"/>
    </row>
    <row r="481">
      <c r="A481" s="70"/>
      <c r="B481" s="61"/>
      <c r="C481" s="70"/>
      <c r="D481" s="61"/>
      <c r="E481" s="61"/>
      <c r="F481" s="70"/>
      <c r="G481" s="70"/>
    </row>
    <row r="482">
      <c r="A482" s="70"/>
      <c r="B482" s="61"/>
      <c r="C482" s="70"/>
      <c r="D482" s="61"/>
      <c r="E482" s="61"/>
      <c r="F482" s="70"/>
      <c r="G482" s="70"/>
    </row>
    <row r="483">
      <c r="A483" s="70"/>
      <c r="B483" s="61"/>
      <c r="C483" s="70"/>
      <c r="D483" s="61"/>
      <c r="E483" s="61"/>
      <c r="F483" s="70"/>
      <c r="G483" s="70"/>
    </row>
    <row r="484">
      <c r="A484" s="70"/>
      <c r="B484" s="61"/>
      <c r="C484" s="70"/>
      <c r="D484" s="61"/>
      <c r="E484" s="61"/>
      <c r="F484" s="70"/>
      <c r="G484" s="70"/>
    </row>
    <row r="485">
      <c r="A485" s="70"/>
      <c r="B485" s="61"/>
      <c r="C485" s="70"/>
      <c r="D485" s="61"/>
      <c r="E485" s="61"/>
      <c r="F485" s="70"/>
      <c r="G485" s="70"/>
    </row>
    <row r="486">
      <c r="A486" s="70"/>
      <c r="B486" s="61"/>
      <c r="C486" s="70"/>
      <c r="D486" s="61"/>
      <c r="E486" s="61"/>
      <c r="F486" s="70"/>
      <c r="G486" s="70"/>
    </row>
    <row r="487">
      <c r="A487" s="70"/>
      <c r="B487" s="61"/>
      <c r="C487" s="70"/>
      <c r="D487" s="61"/>
      <c r="E487" s="61"/>
      <c r="F487" s="70"/>
      <c r="G487" s="70"/>
    </row>
    <row r="488">
      <c r="A488" s="70"/>
      <c r="B488" s="61"/>
      <c r="C488" s="70"/>
      <c r="D488" s="61"/>
      <c r="E488" s="61"/>
      <c r="F488" s="70"/>
      <c r="G488" s="70"/>
    </row>
    <row r="489">
      <c r="A489" s="70"/>
      <c r="B489" s="61"/>
      <c r="C489" s="70"/>
      <c r="D489" s="61"/>
      <c r="E489" s="61"/>
      <c r="F489" s="70"/>
      <c r="G489" s="70"/>
    </row>
    <row r="490">
      <c r="A490" s="70"/>
      <c r="B490" s="61"/>
      <c r="C490" s="70"/>
      <c r="D490" s="61"/>
      <c r="E490" s="61"/>
      <c r="F490" s="70"/>
      <c r="G490" s="70"/>
    </row>
    <row r="491">
      <c r="A491" s="70"/>
      <c r="B491" s="61"/>
      <c r="C491" s="70"/>
      <c r="D491" s="61"/>
      <c r="E491" s="61"/>
      <c r="F491" s="70"/>
      <c r="G491" s="70"/>
    </row>
    <row r="492">
      <c r="A492" s="70"/>
      <c r="B492" s="61"/>
      <c r="C492" s="70"/>
      <c r="D492" s="61"/>
      <c r="E492" s="61"/>
      <c r="F492" s="70"/>
      <c r="G492" s="70"/>
    </row>
    <row r="493">
      <c r="A493" s="70"/>
      <c r="B493" s="61"/>
      <c r="C493" s="70"/>
      <c r="D493" s="61"/>
      <c r="E493" s="61"/>
      <c r="F493" s="70"/>
      <c r="G493" s="70"/>
    </row>
    <row r="494">
      <c r="A494" s="70"/>
      <c r="B494" s="61"/>
      <c r="C494" s="70"/>
      <c r="D494" s="61"/>
      <c r="E494" s="61"/>
      <c r="F494" s="70"/>
      <c r="G494" s="70"/>
    </row>
    <row r="495">
      <c r="A495" s="70"/>
      <c r="B495" s="61"/>
      <c r="C495" s="70"/>
      <c r="D495" s="61"/>
      <c r="E495" s="61"/>
      <c r="F495" s="70"/>
      <c r="G495" s="70"/>
    </row>
    <row r="496">
      <c r="A496" s="70"/>
      <c r="B496" s="61"/>
      <c r="C496" s="70"/>
      <c r="D496" s="61"/>
      <c r="E496" s="61"/>
      <c r="F496" s="70"/>
      <c r="G496" s="70"/>
    </row>
    <row r="497">
      <c r="A497" s="70"/>
      <c r="B497" s="61"/>
      <c r="C497" s="70"/>
      <c r="D497" s="61"/>
      <c r="E497" s="61"/>
      <c r="F497" s="70"/>
      <c r="G497" s="70"/>
    </row>
    <row r="498">
      <c r="A498" s="70"/>
      <c r="B498" s="61"/>
      <c r="C498" s="70"/>
      <c r="D498" s="61"/>
      <c r="E498" s="61"/>
      <c r="F498" s="70"/>
      <c r="G498" s="70"/>
    </row>
    <row r="499">
      <c r="A499" s="70"/>
      <c r="B499" s="61"/>
      <c r="C499" s="70"/>
      <c r="D499" s="61"/>
      <c r="E499" s="61"/>
      <c r="F499" s="70"/>
      <c r="G499" s="70"/>
    </row>
    <row r="500">
      <c r="A500" s="70"/>
      <c r="B500" s="61"/>
      <c r="C500" s="70"/>
      <c r="D500" s="61"/>
      <c r="E500" s="61"/>
      <c r="F500" s="70"/>
      <c r="G500" s="70"/>
    </row>
    <row r="501">
      <c r="A501" s="70"/>
      <c r="B501" s="61"/>
      <c r="C501" s="70"/>
      <c r="D501" s="61"/>
      <c r="E501" s="61"/>
      <c r="F501" s="70"/>
      <c r="G501" s="70"/>
    </row>
    <row r="502">
      <c r="B502" s="61"/>
      <c r="D502" s="61"/>
      <c r="E502" s="61"/>
    </row>
    <row r="503">
      <c r="B503" s="61"/>
      <c r="D503" s="61"/>
      <c r="E503" s="61"/>
    </row>
    <row r="504">
      <c r="B504" s="61"/>
      <c r="D504" s="61"/>
      <c r="E504" s="61"/>
    </row>
    <row r="505">
      <c r="B505" s="61"/>
      <c r="D505" s="61"/>
      <c r="E505" s="61"/>
    </row>
    <row r="506">
      <c r="B506" s="61"/>
      <c r="D506" s="61"/>
      <c r="E506" s="61"/>
    </row>
    <row r="507">
      <c r="B507" s="61"/>
      <c r="D507" s="61"/>
      <c r="E507" s="61"/>
    </row>
    <row r="508">
      <c r="B508" s="61"/>
      <c r="D508" s="61"/>
      <c r="E508" s="61"/>
    </row>
    <row r="509">
      <c r="B509" s="61"/>
      <c r="D509" s="61"/>
      <c r="E509" s="61"/>
    </row>
    <row r="510">
      <c r="B510" s="61"/>
      <c r="D510" s="61"/>
      <c r="E510" s="61"/>
    </row>
    <row r="511">
      <c r="B511" s="61"/>
      <c r="D511" s="61"/>
      <c r="E511" s="61"/>
    </row>
    <row r="512">
      <c r="B512" s="61"/>
      <c r="D512" s="61"/>
      <c r="E512" s="61"/>
    </row>
    <row r="513">
      <c r="B513" s="61"/>
      <c r="D513" s="61"/>
      <c r="E513" s="61"/>
    </row>
    <row r="514">
      <c r="B514" s="61"/>
      <c r="D514" s="61"/>
      <c r="E514" s="61"/>
    </row>
    <row r="515">
      <c r="B515" s="61"/>
      <c r="D515" s="61"/>
      <c r="E515" s="61"/>
    </row>
    <row r="516">
      <c r="B516" s="61"/>
      <c r="D516" s="61"/>
      <c r="E516" s="61"/>
    </row>
    <row r="517">
      <c r="B517" s="61"/>
      <c r="D517" s="61"/>
      <c r="E517" s="61"/>
    </row>
    <row r="518">
      <c r="B518" s="61"/>
      <c r="D518" s="61"/>
      <c r="E518" s="61"/>
    </row>
    <row r="519">
      <c r="B519" s="61"/>
      <c r="D519" s="61"/>
      <c r="E519" s="61"/>
    </row>
    <row r="520">
      <c r="B520" s="61"/>
      <c r="D520" s="61"/>
      <c r="E520" s="61"/>
    </row>
    <row r="521">
      <c r="B521" s="61"/>
      <c r="D521" s="61"/>
      <c r="E521" s="61"/>
    </row>
    <row r="522">
      <c r="B522" s="61"/>
      <c r="D522" s="61"/>
      <c r="E522" s="61"/>
    </row>
    <row r="523">
      <c r="B523" s="61"/>
      <c r="D523" s="61"/>
      <c r="E523" s="61"/>
    </row>
    <row r="524">
      <c r="B524" s="61"/>
      <c r="D524" s="61"/>
      <c r="E524" s="61"/>
    </row>
    <row r="525">
      <c r="B525" s="61"/>
      <c r="D525" s="61"/>
      <c r="E525" s="61"/>
    </row>
    <row r="526">
      <c r="B526" s="61"/>
      <c r="D526" s="61"/>
      <c r="E526" s="61"/>
    </row>
    <row r="527">
      <c r="B527" s="61"/>
      <c r="D527" s="61"/>
      <c r="E527" s="61"/>
    </row>
    <row r="528">
      <c r="B528" s="61"/>
      <c r="D528" s="61"/>
      <c r="E528" s="61"/>
    </row>
    <row r="529">
      <c r="B529" s="61"/>
      <c r="D529" s="61"/>
      <c r="E529" s="61"/>
    </row>
    <row r="530">
      <c r="B530" s="61"/>
      <c r="D530" s="61"/>
      <c r="E530" s="61"/>
    </row>
    <row r="531">
      <c r="B531" s="61"/>
      <c r="D531" s="61"/>
      <c r="E531" s="61"/>
    </row>
    <row r="532">
      <c r="B532" s="61"/>
      <c r="D532" s="61"/>
      <c r="E532" s="61"/>
    </row>
    <row r="533">
      <c r="B533" s="61"/>
      <c r="D533" s="61"/>
      <c r="E533" s="61"/>
    </row>
    <row r="534">
      <c r="B534" s="61"/>
      <c r="D534" s="61"/>
      <c r="E534" s="61"/>
    </row>
    <row r="535">
      <c r="B535" s="61"/>
      <c r="D535" s="61"/>
      <c r="E535" s="61"/>
    </row>
    <row r="536">
      <c r="B536" s="61"/>
      <c r="D536" s="61"/>
      <c r="E536" s="61"/>
    </row>
    <row r="537">
      <c r="B537" s="61"/>
      <c r="D537" s="61"/>
      <c r="E537" s="61"/>
    </row>
    <row r="538">
      <c r="B538" s="61"/>
      <c r="D538" s="61"/>
      <c r="E538" s="61"/>
    </row>
    <row r="539">
      <c r="B539" s="61"/>
      <c r="D539" s="61"/>
      <c r="E539" s="61"/>
    </row>
    <row r="540">
      <c r="B540" s="61"/>
      <c r="D540" s="61"/>
      <c r="E540" s="61"/>
    </row>
    <row r="541">
      <c r="B541" s="61"/>
      <c r="D541" s="61"/>
      <c r="E541" s="61"/>
    </row>
    <row r="542">
      <c r="B542" s="61"/>
      <c r="D542" s="61"/>
      <c r="E542" s="61"/>
    </row>
    <row r="543">
      <c r="B543" s="61"/>
      <c r="D543" s="61"/>
      <c r="E543" s="61"/>
    </row>
    <row r="544">
      <c r="B544" s="61"/>
      <c r="D544" s="61"/>
      <c r="E544" s="61"/>
    </row>
    <row r="545">
      <c r="B545" s="61"/>
      <c r="D545" s="61"/>
      <c r="E545" s="61"/>
    </row>
    <row r="546">
      <c r="B546" s="61"/>
      <c r="D546" s="61"/>
      <c r="E546" s="61"/>
    </row>
    <row r="547">
      <c r="B547" s="61"/>
      <c r="D547" s="61"/>
      <c r="E547" s="61"/>
    </row>
    <row r="548">
      <c r="B548" s="61"/>
      <c r="D548" s="61"/>
      <c r="E548" s="61"/>
    </row>
    <row r="549">
      <c r="B549" s="61"/>
      <c r="D549" s="61"/>
      <c r="E549" s="61"/>
    </row>
    <row r="550">
      <c r="B550" s="61"/>
      <c r="D550" s="61"/>
      <c r="E550" s="61"/>
    </row>
    <row r="551">
      <c r="B551" s="61"/>
      <c r="D551" s="61"/>
      <c r="E551" s="61"/>
    </row>
    <row r="552">
      <c r="B552" s="61"/>
      <c r="D552" s="61"/>
      <c r="E552" s="61"/>
    </row>
    <row r="553">
      <c r="B553" s="61"/>
      <c r="D553" s="61"/>
      <c r="E553" s="61"/>
    </row>
    <row r="554">
      <c r="B554" s="61"/>
      <c r="D554" s="61"/>
      <c r="E554" s="61"/>
    </row>
    <row r="555">
      <c r="B555" s="61"/>
      <c r="D555" s="61"/>
      <c r="E555" s="61"/>
    </row>
    <row r="556">
      <c r="B556" s="61"/>
      <c r="D556" s="61"/>
      <c r="E556" s="61"/>
    </row>
    <row r="557">
      <c r="B557" s="61"/>
      <c r="D557" s="61"/>
      <c r="E557" s="61"/>
    </row>
    <row r="558">
      <c r="B558" s="61"/>
      <c r="D558" s="61"/>
      <c r="E558" s="61"/>
    </row>
    <row r="559">
      <c r="B559" s="61"/>
      <c r="D559" s="61"/>
      <c r="E559" s="61"/>
    </row>
    <row r="560">
      <c r="B560" s="61"/>
      <c r="D560" s="61"/>
      <c r="E560" s="61"/>
    </row>
    <row r="561">
      <c r="B561" s="61"/>
      <c r="D561" s="61"/>
      <c r="E561" s="61"/>
    </row>
    <row r="562">
      <c r="B562" s="61"/>
      <c r="D562" s="61"/>
      <c r="E562" s="61"/>
    </row>
    <row r="563">
      <c r="B563" s="61"/>
      <c r="D563" s="61"/>
      <c r="E563" s="61"/>
    </row>
    <row r="564">
      <c r="B564" s="61"/>
      <c r="D564" s="61"/>
      <c r="E564" s="61"/>
    </row>
    <row r="565">
      <c r="B565" s="61"/>
      <c r="D565" s="61"/>
      <c r="E565" s="61"/>
    </row>
    <row r="566">
      <c r="B566" s="61"/>
      <c r="D566" s="61"/>
      <c r="E566" s="61"/>
    </row>
    <row r="567">
      <c r="B567" s="61"/>
      <c r="D567" s="61"/>
      <c r="E567" s="61"/>
    </row>
    <row r="568">
      <c r="B568" s="61"/>
      <c r="D568" s="61"/>
      <c r="E568" s="61"/>
    </row>
    <row r="569">
      <c r="B569" s="61"/>
      <c r="D569" s="61"/>
      <c r="E569" s="61"/>
    </row>
    <row r="570">
      <c r="B570" s="61"/>
      <c r="D570" s="61"/>
      <c r="E570" s="61"/>
    </row>
    <row r="571">
      <c r="B571" s="61"/>
      <c r="D571" s="61"/>
      <c r="E571" s="61"/>
    </row>
    <row r="572">
      <c r="B572" s="61"/>
      <c r="D572" s="61"/>
      <c r="E572" s="61"/>
    </row>
    <row r="573">
      <c r="B573" s="61"/>
      <c r="D573" s="61"/>
      <c r="E573" s="61"/>
    </row>
    <row r="574">
      <c r="B574" s="61"/>
      <c r="D574" s="61"/>
      <c r="E574" s="61"/>
    </row>
    <row r="575">
      <c r="B575" s="61"/>
      <c r="D575" s="61"/>
      <c r="E575" s="61"/>
    </row>
    <row r="576">
      <c r="B576" s="61"/>
      <c r="D576" s="61"/>
      <c r="E576" s="61"/>
    </row>
    <row r="577">
      <c r="B577" s="61"/>
      <c r="D577" s="61"/>
      <c r="E577" s="61"/>
    </row>
    <row r="578">
      <c r="B578" s="61"/>
      <c r="D578" s="61"/>
      <c r="E578" s="61"/>
    </row>
    <row r="579">
      <c r="B579" s="61"/>
      <c r="D579" s="61"/>
      <c r="E579" s="61"/>
    </row>
    <row r="580">
      <c r="B580" s="61"/>
      <c r="D580" s="61"/>
      <c r="E580" s="61"/>
    </row>
    <row r="581">
      <c r="B581" s="61"/>
      <c r="D581" s="61"/>
      <c r="E581" s="61"/>
    </row>
    <row r="582">
      <c r="B582" s="61"/>
      <c r="D582" s="61"/>
      <c r="E582" s="61"/>
    </row>
    <row r="583">
      <c r="B583" s="61"/>
      <c r="D583" s="61"/>
      <c r="E583" s="61"/>
    </row>
    <row r="584">
      <c r="B584" s="61"/>
      <c r="D584" s="61"/>
      <c r="E584" s="61"/>
    </row>
    <row r="585">
      <c r="B585" s="61"/>
      <c r="D585" s="61"/>
      <c r="E585" s="61"/>
    </row>
    <row r="586">
      <c r="B586" s="61"/>
      <c r="D586" s="61"/>
      <c r="E586" s="61"/>
    </row>
    <row r="587">
      <c r="B587" s="61"/>
      <c r="D587" s="61"/>
      <c r="E587" s="61"/>
    </row>
    <row r="588">
      <c r="B588" s="61"/>
      <c r="D588" s="61"/>
      <c r="E588" s="61"/>
    </row>
    <row r="589">
      <c r="B589" s="61"/>
      <c r="D589" s="61"/>
      <c r="E589" s="61"/>
    </row>
    <row r="590">
      <c r="B590" s="61"/>
      <c r="D590" s="61"/>
      <c r="E590" s="61"/>
    </row>
    <row r="591">
      <c r="B591" s="61"/>
      <c r="D591" s="61"/>
      <c r="E591" s="61"/>
    </row>
    <row r="592">
      <c r="B592" s="61"/>
      <c r="D592" s="61"/>
      <c r="E592" s="61"/>
    </row>
    <row r="593">
      <c r="B593" s="61"/>
      <c r="D593" s="61"/>
      <c r="E593" s="61"/>
    </row>
    <row r="594">
      <c r="B594" s="61"/>
      <c r="D594" s="61"/>
      <c r="E594" s="61"/>
    </row>
    <row r="595">
      <c r="B595" s="61"/>
      <c r="D595" s="61"/>
      <c r="E595" s="61"/>
    </row>
    <row r="596">
      <c r="B596" s="61"/>
      <c r="D596" s="61"/>
      <c r="E596" s="61"/>
    </row>
    <row r="597">
      <c r="B597" s="61"/>
      <c r="D597" s="61"/>
      <c r="E597" s="61"/>
    </row>
    <row r="598">
      <c r="B598" s="61"/>
      <c r="D598" s="61"/>
      <c r="E598" s="61"/>
    </row>
    <row r="599">
      <c r="B599" s="61"/>
      <c r="D599" s="61"/>
      <c r="E599" s="61"/>
    </row>
    <row r="600">
      <c r="B600" s="61"/>
      <c r="D600" s="61"/>
      <c r="E600" s="61"/>
    </row>
    <row r="601">
      <c r="B601" s="61"/>
      <c r="D601" s="61"/>
      <c r="E601" s="61"/>
    </row>
    <row r="602">
      <c r="B602" s="61"/>
      <c r="D602" s="61"/>
      <c r="E602" s="61"/>
    </row>
    <row r="603">
      <c r="B603" s="61"/>
      <c r="D603" s="61"/>
      <c r="E603" s="61"/>
    </row>
    <row r="604">
      <c r="B604" s="61"/>
      <c r="D604" s="61"/>
      <c r="E604" s="61"/>
    </row>
    <row r="605">
      <c r="B605" s="61"/>
      <c r="D605" s="61"/>
      <c r="E605" s="61"/>
    </row>
    <row r="606">
      <c r="B606" s="61"/>
      <c r="D606" s="61"/>
      <c r="E606" s="61"/>
    </row>
    <row r="607">
      <c r="B607" s="61"/>
      <c r="D607" s="61"/>
      <c r="E607" s="61"/>
    </row>
    <row r="608">
      <c r="B608" s="61"/>
      <c r="D608" s="61"/>
      <c r="E608" s="61"/>
    </row>
    <row r="609">
      <c r="B609" s="61"/>
      <c r="D609" s="61"/>
      <c r="E609" s="61"/>
    </row>
    <row r="610">
      <c r="B610" s="61"/>
      <c r="D610" s="61"/>
      <c r="E610" s="61"/>
    </row>
    <row r="611">
      <c r="B611" s="61"/>
      <c r="D611" s="61"/>
      <c r="E611" s="61"/>
    </row>
    <row r="612">
      <c r="B612" s="61"/>
      <c r="D612" s="61"/>
      <c r="E612" s="61"/>
    </row>
    <row r="613">
      <c r="B613" s="61"/>
      <c r="D613" s="61"/>
      <c r="E613" s="61"/>
    </row>
    <row r="614">
      <c r="B614" s="61"/>
      <c r="D614" s="61"/>
      <c r="E614" s="61"/>
    </row>
    <row r="615">
      <c r="B615" s="61"/>
      <c r="D615" s="61"/>
      <c r="E615" s="61"/>
    </row>
    <row r="616">
      <c r="B616" s="61"/>
      <c r="D616" s="61"/>
      <c r="E616" s="61"/>
    </row>
    <row r="617">
      <c r="B617" s="61"/>
      <c r="D617" s="61"/>
      <c r="E617" s="61"/>
    </row>
    <row r="618">
      <c r="B618" s="61"/>
      <c r="D618" s="61"/>
      <c r="E618" s="61"/>
    </row>
    <row r="619">
      <c r="B619" s="61"/>
      <c r="D619" s="61"/>
      <c r="E619" s="61"/>
    </row>
    <row r="620">
      <c r="B620" s="61"/>
      <c r="D620" s="61"/>
      <c r="E620" s="61"/>
    </row>
    <row r="621">
      <c r="B621" s="61"/>
      <c r="D621" s="61"/>
      <c r="E621" s="61"/>
    </row>
    <row r="622">
      <c r="B622" s="61"/>
      <c r="D622" s="61"/>
      <c r="E622" s="61"/>
    </row>
    <row r="623">
      <c r="B623" s="61"/>
      <c r="D623" s="61"/>
      <c r="E623" s="61"/>
    </row>
    <row r="624">
      <c r="B624" s="61"/>
      <c r="D624" s="61"/>
      <c r="E624" s="61"/>
    </row>
    <row r="625">
      <c r="B625" s="61"/>
      <c r="D625" s="61"/>
      <c r="E625" s="61"/>
    </row>
    <row r="626">
      <c r="B626" s="61"/>
      <c r="D626" s="61"/>
      <c r="E626" s="61"/>
    </row>
    <row r="627">
      <c r="B627" s="61"/>
      <c r="D627" s="61"/>
      <c r="E627" s="61"/>
    </row>
    <row r="628">
      <c r="B628" s="61"/>
      <c r="D628" s="61"/>
      <c r="E628" s="61"/>
    </row>
    <row r="629">
      <c r="B629" s="61"/>
      <c r="D629" s="61"/>
      <c r="E629" s="61"/>
    </row>
    <row r="630">
      <c r="B630" s="61"/>
      <c r="D630" s="61"/>
      <c r="E630" s="61"/>
    </row>
    <row r="631">
      <c r="B631" s="61"/>
      <c r="D631" s="61"/>
      <c r="E631" s="61"/>
    </row>
    <row r="632">
      <c r="B632" s="61"/>
      <c r="D632" s="61"/>
      <c r="E632" s="61"/>
    </row>
    <row r="633">
      <c r="B633" s="61"/>
      <c r="D633" s="61"/>
      <c r="E633" s="61"/>
    </row>
    <row r="634">
      <c r="B634" s="61"/>
      <c r="D634" s="61"/>
      <c r="E634" s="61"/>
    </row>
    <row r="635">
      <c r="B635" s="61"/>
      <c r="D635" s="61"/>
      <c r="E635" s="61"/>
    </row>
    <row r="636">
      <c r="B636" s="61"/>
      <c r="D636" s="61"/>
      <c r="E636" s="61"/>
    </row>
    <row r="637">
      <c r="B637" s="61"/>
      <c r="D637" s="61"/>
      <c r="E637" s="61"/>
    </row>
    <row r="638">
      <c r="B638" s="61"/>
      <c r="D638" s="61"/>
      <c r="E638" s="61"/>
    </row>
    <row r="639">
      <c r="B639" s="61"/>
      <c r="D639" s="61"/>
      <c r="E639" s="61"/>
    </row>
    <row r="640">
      <c r="B640" s="61"/>
      <c r="D640" s="61"/>
      <c r="E640" s="61"/>
    </row>
    <row r="641">
      <c r="B641" s="61"/>
      <c r="D641" s="61"/>
      <c r="E641" s="61"/>
    </row>
    <row r="642">
      <c r="B642" s="61"/>
      <c r="D642" s="61"/>
      <c r="E642" s="61"/>
    </row>
    <row r="643">
      <c r="B643" s="61"/>
      <c r="D643" s="61"/>
      <c r="E643" s="61"/>
    </row>
    <row r="644">
      <c r="B644" s="61"/>
      <c r="D644" s="61"/>
      <c r="E644" s="61"/>
    </row>
    <row r="645">
      <c r="B645" s="61"/>
      <c r="D645" s="61"/>
      <c r="E645" s="61"/>
    </row>
    <row r="646">
      <c r="B646" s="61"/>
      <c r="D646" s="61"/>
      <c r="E646" s="61"/>
    </row>
    <row r="647">
      <c r="B647" s="61"/>
      <c r="D647" s="61"/>
      <c r="E647" s="61"/>
    </row>
    <row r="648">
      <c r="B648" s="61"/>
      <c r="D648" s="61"/>
      <c r="E648" s="61"/>
    </row>
    <row r="649">
      <c r="B649" s="61"/>
      <c r="D649" s="61"/>
      <c r="E649" s="61"/>
    </row>
    <row r="650">
      <c r="B650" s="61"/>
      <c r="D650" s="61"/>
      <c r="E650" s="61"/>
    </row>
    <row r="651">
      <c r="B651" s="61"/>
      <c r="D651" s="61"/>
      <c r="E651" s="61"/>
    </row>
    <row r="652">
      <c r="B652" s="61"/>
      <c r="D652" s="61"/>
      <c r="E652" s="61"/>
    </row>
    <row r="653">
      <c r="B653" s="61"/>
      <c r="D653" s="61"/>
      <c r="E653" s="61"/>
    </row>
    <row r="654">
      <c r="B654" s="61"/>
      <c r="D654" s="61"/>
      <c r="E654" s="61"/>
    </row>
    <row r="655">
      <c r="B655" s="61"/>
      <c r="D655" s="61"/>
      <c r="E655" s="61"/>
    </row>
    <row r="656">
      <c r="B656" s="61"/>
      <c r="D656" s="61"/>
      <c r="E656" s="61"/>
    </row>
    <row r="657">
      <c r="B657" s="61"/>
      <c r="D657" s="61"/>
      <c r="E657" s="61"/>
    </row>
    <row r="658">
      <c r="B658" s="61"/>
      <c r="D658" s="61"/>
      <c r="E658" s="61"/>
    </row>
    <row r="659">
      <c r="B659" s="61"/>
      <c r="D659" s="61"/>
      <c r="E659" s="61"/>
    </row>
    <row r="660">
      <c r="B660" s="61"/>
      <c r="D660" s="61"/>
      <c r="E660" s="61"/>
    </row>
    <row r="661">
      <c r="B661" s="61"/>
      <c r="D661" s="61"/>
      <c r="E661" s="61"/>
    </row>
    <row r="662">
      <c r="B662" s="61"/>
      <c r="D662" s="61"/>
      <c r="E662" s="61"/>
    </row>
    <row r="663">
      <c r="B663" s="61"/>
      <c r="D663" s="61"/>
      <c r="E663" s="61"/>
    </row>
    <row r="664">
      <c r="B664" s="61"/>
      <c r="D664" s="61"/>
      <c r="E664" s="61"/>
    </row>
    <row r="665">
      <c r="B665" s="61"/>
      <c r="D665" s="61"/>
      <c r="E665" s="61"/>
    </row>
    <row r="666">
      <c r="B666" s="61"/>
      <c r="D666" s="61"/>
      <c r="E666" s="61"/>
    </row>
    <row r="667">
      <c r="B667" s="61"/>
      <c r="D667" s="61"/>
      <c r="E667" s="61"/>
    </row>
    <row r="668">
      <c r="B668" s="61"/>
      <c r="D668" s="61"/>
      <c r="E668" s="61"/>
    </row>
    <row r="669">
      <c r="B669" s="61"/>
      <c r="D669" s="61"/>
      <c r="E669" s="61"/>
    </row>
    <row r="670">
      <c r="B670" s="61"/>
      <c r="D670" s="61"/>
      <c r="E670" s="61"/>
    </row>
    <row r="671">
      <c r="B671" s="61"/>
      <c r="D671" s="61"/>
      <c r="E671" s="61"/>
    </row>
    <row r="672">
      <c r="B672" s="61"/>
      <c r="D672" s="61"/>
      <c r="E672" s="61"/>
    </row>
    <row r="673">
      <c r="B673" s="61"/>
      <c r="D673" s="61"/>
      <c r="E673" s="61"/>
    </row>
    <row r="674">
      <c r="B674" s="61"/>
      <c r="D674" s="61"/>
      <c r="E674" s="61"/>
    </row>
    <row r="675">
      <c r="B675" s="61"/>
      <c r="D675" s="61"/>
      <c r="E675" s="61"/>
    </row>
    <row r="676">
      <c r="B676" s="61"/>
      <c r="D676" s="61"/>
      <c r="E676" s="61"/>
    </row>
    <row r="677">
      <c r="B677" s="61"/>
      <c r="D677" s="61"/>
      <c r="E677" s="61"/>
    </row>
    <row r="678">
      <c r="B678" s="61"/>
      <c r="D678" s="61"/>
      <c r="E678" s="61"/>
    </row>
    <row r="679">
      <c r="B679" s="61"/>
      <c r="D679" s="61"/>
      <c r="E679" s="61"/>
    </row>
    <row r="680">
      <c r="B680" s="61"/>
      <c r="D680" s="61"/>
      <c r="E680" s="61"/>
    </row>
    <row r="681">
      <c r="B681" s="61"/>
      <c r="D681" s="61"/>
      <c r="E681" s="61"/>
    </row>
    <row r="682">
      <c r="B682" s="61"/>
      <c r="D682" s="61"/>
      <c r="E682" s="61"/>
    </row>
    <row r="683">
      <c r="B683" s="61"/>
      <c r="D683" s="61"/>
      <c r="E683" s="61"/>
    </row>
    <row r="684">
      <c r="B684" s="61"/>
      <c r="D684" s="61"/>
      <c r="E684" s="61"/>
    </row>
    <row r="685">
      <c r="B685" s="61"/>
      <c r="D685" s="61"/>
      <c r="E685" s="61"/>
    </row>
    <row r="686">
      <c r="B686" s="61"/>
      <c r="D686" s="61"/>
      <c r="E686" s="61"/>
    </row>
    <row r="687">
      <c r="B687" s="61"/>
      <c r="D687" s="61"/>
      <c r="E687" s="61"/>
    </row>
    <row r="688">
      <c r="B688" s="61"/>
      <c r="D688" s="61"/>
      <c r="E688" s="61"/>
    </row>
    <row r="689">
      <c r="B689" s="61"/>
      <c r="D689" s="61"/>
      <c r="E689" s="61"/>
    </row>
    <row r="690">
      <c r="B690" s="61"/>
      <c r="D690" s="61"/>
      <c r="E690" s="61"/>
    </row>
    <row r="691">
      <c r="B691" s="61"/>
      <c r="D691" s="61"/>
      <c r="E691" s="61"/>
    </row>
    <row r="692">
      <c r="B692" s="61"/>
      <c r="D692" s="61"/>
      <c r="E692" s="61"/>
    </row>
    <row r="693">
      <c r="B693" s="61"/>
      <c r="D693" s="61"/>
      <c r="E693" s="61"/>
    </row>
    <row r="694">
      <c r="B694" s="61"/>
      <c r="D694" s="61"/>
      <c r="E694" s="61"/>
    </row>
    <row r="695">
      <c r="B695" s="61"/>
      <c r="D695" s="61"/>
      <c r="E695" s="61"/>
    </row>
    <row r="696">
      <c r="B696" s="61"/>
      <c r="D696" s="61"/>
      <c r="E696" s="61"/>
    </row>
    <row r="697">
      <c r="B697" s="61"/>
      <c r="D697" s="61"/>
      <c r="E697" s="61"/>
    </row>
    <row r="698">
      <c r="B698" s="61"/>
      <c r="D698" s="61"/>
      <c r="E698" s="61"/>
    </row>
    <row r="699">
      <c r="B699" s="61"/>
      <c r="D699" s="61"/>
      <c r="E699" s="61"/>
    </row>
    <row r="700">
      <c r="B700" s="61"/>
      <c r="D700" s="61"/>
      <c r="E700" s="61"/>
    </row>
    <row r="701">
      <c r="B701" s="61"/>
      <c r="D701" s="61"/>
      <c r="E701" s="61"/>
    </row>
    <row r="702">
      <c r="B702" s="61"/>
      <c r="D702" s="61"/>
      <c r="E702" s="61"/>
    </row>
    <row r="703">
      <c r="B703" s="61"/>
      <c r="D703" s="61"/>
      <c r="E703" s="61"/>
    </row>
    <row r="704">
      <c r="B704" s="61"/>
      <c r="D704" s="61"/>
      <c r="E704" s="61"/>
    </row>
    <row r="705">
      <c r="B705" s="61"/>
      <c r="D705" s="61"/>
      <c r="E705" s="61"/>
    </row>
    <row r="706">
      <c r="B706" s="61"/>
      <c r="D706" s="61"/>
      <c r="E706" s="61"/>
    </row>
    <row r="707">
      <c r="B707" s="61"/>
      <c r="D707" s="61"/>
      <c r="E707" s="61"/>
    </row>
    <row r="708">
      <c r="B708" s="61"/>
      <c r="D708" s="61"/>
      <c r="E708" s="61"/>
    </row>
    <row r="709">
      <c r="B709" s="61"/>
      <c r="D709" s="61"/>
      <c r="E709" s="61"/>
    </row>
    <row r="710">
      <c r="B710" s="61"/>
      <c r="D710" s="61"/>
      <c r="E710" s="61"/>
    </row>
    <row r="711">
      <c r="B711" s="61"/>
      <c r="D711" s="61"/>
      <c r="E711" s="61"/>
    </row>
    <row r="712">
      <c r="B712" s="61"/>
      <c r="D712" s="61"/>
      <c r="E712" s="61"/>
    </row>
    <row r="713">
      <c r="B713" s="61"/>
      <c r="D713" s="61"/>
      <c r="E713" s="61"/>
    </row>
    <row r="714">
      <c r="B714" s="61"/>
      <c r="D714" s="61"/>
      <c r="E714" s="61"/>
    </row>
    <row r="715">
      <c r="B715" s="61"/>
      <c r="D715" s="61"/>
      <c r="E715" s="61"/>
    </row>
    <row r="716">
      <c r="B716" s="61"/>
      <c r="D716" s="61"/>
      <c r="E716" s="61"/>
    </row>
    <row r="717">
      <c r="B717" s="61"/>
      <c r="D717" s="61"/>
      <c r="E717" s="61"/>
    </row>
    <row r="718">
      <c r="B718" s="61"/>
      <c r="D718" s="61"/>
      <c r="E718" s="61"/>
    </row>
    <row r="719">
      <c r="B719" s="61"/>
      <c r="D719" s="61"/>
      <c r="E719" s="61"/>
    </row>
    <row r="720">
      <c r="B720" s="61"/>
      <c r="D720" s="61"/>
      <c r="E720" s="61"/>
    </row>
    <row r="721">
      <c r="B721" s="61"/>
      <c r="D721" s="61"/>
      <c r="E721" s="61"/>
    </row>
    <row r="722">
      <c r="B722" s="61"/>
      <c r="D722" s="61"/>
      <c r="E722" s="61"/>
    </row>
    <row r="723">
      <c r="B723" s="61"/>
      <c r="D723" s="61"/>
      <c r="E723" s="61"/>
    </row>
    <row r="724">
      <c r="B724" s="61"/>
      <c r="D724" s="61"/>
      <c r="E724" s="61"/>
    </row>
    <row r="725">
      <c r="B725" s="61"/>
      <c r="D725" s="61"/>
      <c r="E725" s="61"/>
    </row>
    <row r="726">
      <c r="B726" s="61"/>
      <c r="D726" s="61"/>
      <c r="E726" s="61"/>
    </row>
    <row r="727">
      <c r="B727" s="61"/>
      <c r="D727" s="61"/>
      <c r="E727" s="61"/>
    </row>
    <row r="728">
      <c r="B728" s="61"/>
      <c r="D728" s="61"/>
      <c r="E728" s="61"/>
    </row>
    <row r="729">
      <c r="B729" s="61"/>
      <c r="D729" s="61"/>
      <c r="E729" s="61"/>
    </row>
    <row r="730">
      <c r="B730" s="61"/>
      <c r="D730" s="61"/>
      <c r="E730" s="61"/>
    </row>
    <row r="731">
      <c r="B731" s="61"/>
      <c r="D731" s="61"/>
      <c r="E731" s="61"/>
    </row>
    <row r="732">
      <c r="B732" s="61"/>
      <c r="D732" s="61"/>
      <c r="E732" s="61"/>
    </row>
    <row r="733">
      <c r="B733" s="61"/>
      <c r="D733" s="61"/>
      <c r="E733" s="61"/>
    </row>
    <row r="734">
      <c r="B734" s="61"/>
      <c r="D734" s="61"/>
      <c r="E734" s="61"/>
    </row>
    <row r="735">
      <c r="B735" s="61"/>
      <c r="D735" s="61"/>
      <c r="E735" s="61"/>
    </row>
    <row r="736">
      <c r="B736" s="61"/>
      <c r="D736" s="61"/>
      <c r="E736" s="61"/>
    </row>
    <row r="737">
      <c r="B737" s="61"/>
      <c r="D737" s="61"/>
      <c r="E737" s="61"/>
    </row>
    <row r="738">
      <c r="B738" s="61"/>
      <c r="D738" s="61"/>
      <c r="E738" s="61"/>
    </row>
    <row r="739">
      <c r="B739" s="61"/>
      <c r="D739" s="61"/>
      <c r="E739" s="61"/>
    </row>
    <row r="740">
      <c r="B740" s="61"/>
      <c r="D740" s="61"/>
      <c r="E740" s="61"/>
    </row>
    <row r="741">
      <c r="B741" s="61"/>
      <c r="D741" s="61"/>
      <c r="E741" s="61"/>
    </row>
    <row r="742">
      <c r="B742" s="61"/>
      <c r="D742" s="61"/>
      <c r="E742" s="61"/>
    </row>
    <row r="743">
      <c r="B743" s="61"/>
      <c r="D743" s="61"/>
      <c r="E743" s="61"/>
    </row>
    <row r="744">
      <c r="B744" s="61"/>
      <c r="D744" s="61"/>
      <c r="E744" s="61"/>
    </row>
    <row r="745">
      <c r="B745" s="61"/>
      <c r="D745" s="61"/>
      <c r="E745" s="61"/>
    </row>
    <row r="746">
      <c r="B746" s="61"/>
      <c r="D746" s="61"/>
      <c r="E746" s="61"/>
    </row>
    <row r="747">
      <c r="B747" s="61"/>
      <c r="D747" s="61"/>
      <c r="E747" s="61"/>
    </row>
    <row r="748">
      <c r="B748" s="61"/>
      <c r="D748" s="61"/>
      <c r="E748" s="61"/>
    </row>
    <row r="749">
      <c r="B749" s="61"/>
      <c r="D749" s="61"/>
      <c r="E749" s="61"/>
    </row>
    <row r="750">
      <c r="B750" s="61"/>
      <c r="D750" s="61"/>
      <c r="E750" s="61"/>
    </row>
    <row r="751">
      <c r="B751" s="61"/>
      <c r="D751" s="61"/>
      <c r="E751" s="61"/>
    </row>
    <row r="752">
      <c r="B752" s="61"/>
      <c r="D752" s="61"/>
      <c r="E752" s="61"/>
    </row>
    <row r="753">
      <c r="B753" s="61"/>
      <c r="D753" s="61"/>
      <c r="E753" s="61"/>
    </row>
    <row r="754">
      <c r="B754" s="61"/>
      <c r="D754" s="61"/>
      <c r="E754" s="61"/>
    </row>
    <row r="755">
      <c r="B755" s="61"/>
      <c r="D755" s="61"/>
      <c r="E755" s="61"/>
    </row>
    <row r="756">
      <c r="B756" s="61"/>
      <c r="D756" s="61"/>
      <c r="E756" s="61"/>
    </row>
    <row r="757">
      <c r="B757" s="61"/>
      <c r="D757" s="61"/>
      <c r="E757" s="61"/>
    </row>
    <row r="758">
      <c r="B758" s="61"/>
      <c r="D758" s="61"/>
      <c r="E758" s="61"/>
    </row>
    <row r="759">
      <c r="B759" s="61"/>
      <c r="D759" s="61"/>
      <c r="E759" s="61"/>
    </row>
    <row r="760">
      <c r="B760" s="61"/>
      <c r="D760" s="61"/>
      <c r="E760" s="61"/>
    </row>
    <row r="761">
      <c r="B761" s="61"/>
      <c r="D761" s="61"/>
      <c r="E761" s="61"/>
    </row>
    <row r="762">
      <c r="B762" s="61"/>
      <c r="D762" s="61"/>
      <c r="E762" s="61"/>
    </row>
    <row r="763">
      <c r="B763" s="61"/>
      <c r="D763" s="61"/>
      <c r="E763" s="61"/>
    </row>
    <row r="764">
      <c r="B764" s="61"/>
      <c r="D764" s="61"/>
      <c r="E764" s="61"/>
    </row>
    <row r="765">
      <c r="B765" s="61"/>
      <c r="D765" s="61"/>
      <c r="E765" s="61"/>
    </row>
    <row r="766">
      <c r="B766" s="61"/>
      <c r="D766" s="61"/>
      <c r="E766" s="61"/>
    </row>
    <row r="767">
      <c r="B767" s="61"/>
      <c r="D767" s="61"/>
      <c r="E767" s="61"/>
    </row>
    <row r="768">
      <c r="B768" s="61"/>
      <c r="D768" s="61"/>
      <c r="E768" s="61"/>
    </row>
    <row r="769">
      <c r="B769" s="61"/>
      <c r="D769" s="61"/>
      <c r="E769" s="61"/>
    </row>
    <row r="770">
      <c r="B770" s="61"/>
      <c r="D770" s="61"/>
      <c r="E770" s="61"/>
    </row>
    <row r="771">
      <c r="B771" s="61"/>
      <c r="D771" s="61"/>
      <c r="E771" s="61"/>
    </row>
    <row r="772">
      <c r="B772" s="61"/>
      <c r="D772" s="61"/>
      <c r="E772" s="61"/>
    </row>
    <row r="773">
      <c r="B773" s="61"/>
      <c r="D773" s="61"/>
      <c r="E773" s="61"/>
    </row>
    <row r="774">
      <c r="B774" s="61"/>
      <c r="D774" s="61"/>
      <c r="E774" s="61"/>
    </row>
    <row r="775">
      <c r="B775" s="61"/>
      <c r="D775" s="61"/>
      <c r="E775" s="61"/>
    </row>
    <row r="776">
      <c r="B776" s="61"/>
      <c r="D776" s="61"/>
      <c r="E776" s="61"/>
    </row>
    <row r="777">
      <c r="B777" s="61"/>
      <c r="D777" s="61"/>
      <c r="E777" s="61"/>
    </row>
    <row r="778">
      <c r="B778" s="61"/>
      <c r="D778" s="61"/>
      <c r="E778" s="61"/>
    </row>
    <row r="779">
      <c r="B779" s="61"/>
      <c r="D779" s="61"/>
      <c r="E779" s="61"/>
    </row>
    <row r="780">
      <c r="B780" s="61"/>
      <c r="D780" s="61"/>
      <c r="E780" s="61"/>
    </row>
    <row r="781">
      <c r="B781" s="61"/>
      <c r="D781" s="61"/>
      <c r="E781" s="61"/>
    </row>
    <row r="782">
      <c r="B782" s="61"/>
      <c r="D782" s="61"/>
      <c r="E782" s="61"/>
    </row>
    <row r="783">
      <c r="B783" s="61"/>
      <c r="D783" s="61"/>
      <c r="E783" s="61"/>
    </row>
    <row r="784">
      <c r="B784" s="61"/>
      <c r="D784" s="61"/>
      <c r="E784" s="61"/>
    </row>
    <row r="785">
      <c r="B785" s="61"/>
      <c r="D785" s="61"/>
      <c r="E785" s="61"/>
    </row>
    <row r="786">
      <c r="B786" s="61"/>
      <c r="D786" s="61"/>
      <c r="E786" s="61"/>
    </row>
    <row r="787">
      <c r="B787" s="61"/>
      <c r="D787" s="61"/>
      <c r="E787" s="61"/>
    </row>
    <row r="788">
      <c r="B788" s="61"/>
      <c r="D788" s="61"/>
      <c r="E788" s="61"/>
    </row>
    <row r="789">
      <c r="B789" s="61"/>
      <c r="D789" s="61"/>
      <c r="E789" s="61"/>
    </row>
    <row r="790">
      <c r="B790" s="61"/>
      <c r="D790" s="61"/>
      <c r="E790" s="61"/>
    </row>
    <row r="791">
      <c r="B791" s="61"/>
      <c r="D791" s="61"/>
      <c r="E791" s="61"/>
    </row>
    <row r="792">
      <c r="B792" s="61"/>
      <c r="D792" s="61"/>
      <c r="E792" s="61"/>
    </row>
    <row r="793">
      <c r="B793" s="61"/>
      <c r="D793" s="61"/>
      <c r="E793" s="61"/>
    </row>
    <row r="794">
      <c r="B794" s="61"/>
      <c r="D794" s="61"/>
      <c r="E794" s="61"/>
    </row>
    <row r="795">
      <c r="B795" s="61"/>
      <c r="D795" s="61"/>
      <c r="E795" s="61"/>
    </row>
    <row r="796">
      <c r="B796" s="61"/>
      <c r="D796" s="61"/>
      <c r="E796" s="61"/>
    </row>
    <row r="797">
      <c r="B797" s="61"/>
      <c r="D797" s="61"/>
      <c r="E797" s="61"/>
    </row>
    <row r="798">
      <c r="B798" s="61"/>
      <c r="D798" s="61"/>
      <c r="E798" s="61"/>
    </row>
    <row r="799">
      <c r="B799" s="61"/>
      <c r="D799" s="61"/>
      <c r="E799" s="61"/>
    </row>
    <row r="800">
      <c r="B800" s="61"/>
      <c r="D800" s="61"/>
      <c r="E800" s="61"/>
    </row>
    <row r="801">
      <c r="B801" s="61"/>
      <c r="D801" s="61"/>
      <c r="E801" s="61"/>
    </row>
    <row r="802">
      <c r="B802" s="61"/>
      <c r="D802" s="61"/>
      <c r="E802" s="61"/>
    </row>
    <row r="803">
      <c r="B803" s="61"/>
      <c r="D803" s="61"/>
      <c r="E803" s="61"/>
    </row>
    <row r="804">
      <c r="B804" s="61"/>
      <c r="D804" s="61"/>
      <c r="E804" s="61"/>
    </row>
    <row r="805">
      <c r="B805" s="61"/>
      <c r="D805" s="61"/>
      <c r="E805" s="61"/>
    </row>
    <row r="806">
      <c r="B806" s="61"/>
      <c r="D806" s="61"/>
      <c r="E806" s="61"/>
    </row>
    <row r="807">
      <c r="B807" s="61"/>
      <c r="D807" s="61"/>
      <c r="E807" s="61"/>
    </row>
    <row r="808">
      <c r="B808" s="61"/>
      <c r="D808" s="61"/>
      <c r="E808" s="61"/>
    </row>
    <row r="809">
      <c r="B809" s="61"/>
      <c r="D809" s="61"/>
      <c r="E809" s="61"/>
    </row>
    <row r="810">
      <c r="B810" s="61"/>
      <c r="D810" s="61"/>
      <c r="E810" s="61"/>
    </row>
    <row r="811">
      <c r="B811" s="61"/>
      <c r="D811" s="61"/>
      <c r="E811" s="61"/>
    </row>
    <row r="812">
      <c r="B812" s="61"/>
      <c r="D812" s="61"/>
      <c r="E812" s="61"/>
    </row>
    <row r="813">
      <c r="B813" s="61"/>
      <c r="D813" s="61"/>
      <c r="E813" s="61"/>
    </row>
    <row r="814">
      <c r="B814" s="61"/>
      <c r="D814" s="61"/>
      <c r="E814" s="61"/>
    </row>
    <row r="815">
      <c r="B815" s="61"/>
      <c r="D815" s="61"/>
      <c r="E815" s="61"/>
    </row>
    <row r="816">
      <c r="B816" s="61"/>
      <c r="D816" s="61"/>
      <c r="E816" s="61"/>
    </row>
    <row r="817">
      <c r="B817" s="61"/>
      <c r="D817" s="61"/>
      <c r="E817" s="61"/>
    </row>
    <row r="818">
      <c r="B818" s="61"/>
      <c r="D818" s="61"/>
      <c r="E818" s="61"/>
    </row>
    <row r="819">
      <c r="B819" s="61"/>
      <c r="D819" s="61"/>
      <c r="E819" s="61"/>
    </row>
    <row r="820">
      <c r="B820" s="61"/>
      <c r="D820" s="61"/>
      <c r="E820" s="61"/>
    </row>
    <row r="821">
      <c r="B821" s="61"/>
      <c r="D821" s="61"/>
      <c r="E821" s="61"/>
    </row>
    <row r="822">
      <c r="B822" s="61"/>
      <c r="D822" s="61"/>
      <c r="E822" s="61"/>
    </row>
    <row r="823">
      <c r="B823" s="61"/>
      <c r="D823" s="61"/>
      <c r="E823" s="61"/>
    </row>
    <row r="824">
      <c r="B824" s="61"/>
      <c r="D824" s="61"/>
      <c r="E824" s="61"/>
    </row>
    <row r="825">
      <c r="B825" s="61"/>
      <c r="D825" s="61"/>
      <c r="E825" s="61"/>
    </row>
    <row r="826">
      <c r="B826" s="61"/>
      <c r="D826" s="61"/>
      <c r="E826" s="61"/>
    </row>
    <row r="827">
      <c r="B827" s="61"/>
      <c r="D827" s="61"/>
      <c r="E827" s="61"/>
    </row>
    <row r="828">
      <c r="B828" s="61"/>
      <c r="D828" s="61"/>
      <c r="E828" s="61"/>
    </row>
    <row r="829">
      <c r="B829" s="61"/>
      <c r="D829" s="61"/>
      <c r="E829" s="61"/>
    </row>
    <row r="830">
      <c r="B830" s="61"/>
      <c r="D830" s="61"/>
      <c r="E830" s="61"/>
    </row>
    <row r="831">
      <c r="B831" s="61"/>
      <c r="D831" s="61"/>
      <c r="E831" s="61"/>
    </row>
    <row r="832">
      <c r="B832" s="61"/>
      <c r="D832" s="61"/>
      <c r="E832" s="61"/>
    </row>
    <row r="833">
      <c r="B833" s="61"/>
      <c r="D833" s="61"/>
      <c r="E833" s="61"/>
    </row>
    <row r="834">
      <c r="B834" s="61"/>
      <c r="D834" s="61"/>
      <c r="E834" s="61"/>
    </row>
    <row r="835">
      <c r="B835" s="61"/>
      <c r="D835" s="61"/>
      <c r="E835" s="61"/>
    </row>
    <row r="836">
      <c r="B836" s="61"/>
      <c r="D836" s="61"/>
      <c r="E836" s="61"/>
    </row>
    <row r="837">
      <c r="B837" s="61"/>
      <c r="D837" s="61"/>
      <c r="E837" s="61"/>
    </row>
    <row r="838">
      <c r="B838" s="61"/>
      <c r="D838" s="61"/>
      <c r="E838" s="61"/>
    </row>
    <row r="839">
      <c r="B839" s="61"/>
      <c r="D839" s="61"/>
      <c r="E839" s="61"/>
    </row>
    <row r="840">
      <c r="B840" s="61"/>
      <c r="D840" s="61"/>
      <c r="E840" s="61"/>
    </row>
    <row r="841">
      <c r="B841" s="61"/>
      <c r="D841" s="61"/>
      <c r="E841" s="61"/>
    </row>
    <row r="842">
      <c r="B842" s="61"/>
      <c r="D842" s="61"/>
      <c r="E842" s="61"/>
    </row>
    <row r="843">
      <c r="B843" s="61"/>
      <c r="D843" s="61"/>
      <c r="E843" s="61"/>
    </row>
    <row r="844">
      <c r="B844" s="61"/>
      <c r="D844" s="61"/>
      <c r="E844" s="61"/>
    </row>
    <row r="845">
      <c r="B845" s="61"/>
      <c r="D845" s="61"/>
      <c r="E845" s="61"/>
    </row>
    <row r="846">
      <c r="B846" s="61"/>
      <c r="D846" s="61"/>
      <c r="E846" s="61"/>
    </row>
    <row r="847">
      <c r="B847" s="61"/>
      <c r="D847" s="61"/>
      <c r="E847" s="61"/>
    </row>
    <row r="848">
      <c r="B848" s="61"/>
      <c r="D848" s="61"/>
      <c r="E848" s="61"/>
    </row>
    <row r="849">
      <c r="B849" s="61"/>
      <c r="D849" s="61"/>
      <c r="E849" s="61"/>
    </row>
    <row r="850">
      <c r="B850" s="61"/>
      <c r="D850" s="61"/>
      <c r="E850" s="61"/>
    </row>
    <row r="851">
      <c r="B851" s="61"/>
      <c r="D851" s="61"/>
      <c r="E851" s="61"/>
    </row>
    <row r="852">
      <c r="B852" s="61"/>
      <c r="D852" s="61"/>
      <c r="E852" s="61"/>
    </row>
    <row r="853">
      <c r="B853" s="61"/>
      <c r="D853" s="61"/>
      <c r="E853" s="61"/>
    </row>
    <row r="854">
      <c r="B854" s="61"/>
      <c r="D854" s="61"/>
      <c r="E854" s="61"/>
    </row>
    <row r="855">
      <c r="B855" s="61"/>
      <c r="D855" s="61"/>
      <c r="E855" s="61"/>
    </row>
    <row r="856">
      <c r="B856" s="61"/>
      <c r="D856" s="61"/>
      <c r="E856" s="61"/>
    </row>
    <row r="857">
      <c r="B857" s="61"/>
      <c r="D857" s="61"/>
      <c r="E857" s="61"/>
    </row>
    <row r="858">
      <c r="B858" s="61"/>
      <c r="D858" s="61"/>
      <c r="E858" s="61"/>
    </row>
    <row r="859">
      <c r="B859" s="61"/>
      <c r="D859" s="61"/>
      <c r="E859" s="61"/>
    </row>
    <row r="860">
      <c r="B860" s="61"/>
      <c r="D860" s="61"/>
      <c r="E860" s="61"/>
    </row>
    <row r="861">
      <c r="B861" s="61"/>
      <c r="D861" s="61"/>
      <c r="E861" s="61"/>
    </row>
    <row r="862">
      <c r="B862" s="61"/>
      <c r="D862" s="61"/>
      <c r="E862" s="61"/>
    </row>
    <row r="863">
      <c r="B863" s="61"/>
      <c r="D863" s="61"/>
      <c r="E863" s="61"/>
    </row>
    <row r="864">
      <c r="B864" s="61"/>
      <c r="D864" s="61"/>
      <c r="E864" s="61"/>
    </row>
    <row r="865">
      <c r="B865" s="61"/>
      <c r="D865" s="61"/>
      <c r="E865" s="61"/>
    </row>
    <row r="866">
      <c r="B866" s="61"/>
      <c r="D866" s="61"/>
      <c r="E866" s="61"/>
    </row>
    <row r="867">
      <c r="B867" s="61"/>
      <c r="D867" s="61"/>
      <c r="E867" s="61"/>
    </row>
    <row r="868">
      <c r="B868" s="61"/>
      <c r="D868" s="61"/>
      <c r="E868" s="61"/>
    </row>
    <row r="869">
      <c r="B869" s="61"/>
      <c r="D869" s="61"/>
      <c r="E869" s="61"/>
    </row>
    <row r="870">
      <c r="B870" s="61"/>
      <c r="D870" s="61"/>
      <c r="E870" s="61"/>
    </row>
    <row r="871">
      <c r="B871" s="61"/>
      <c r="D871" s="61"/>
      <c r="E871" s="61"/>
    </row>
    <row r="872">
      <c r="B872" s="61"/>
      <c r="D872" s="61"/>
      <c r="E872" s="61"/>
    </row>
    <row r="873">
      <c r="B873" s="61"/>
      <c r="D873" s="61"/>
      <c r="E873" s="61"/>
    </row>
    <row r="874">
      <c r="B874" s="61"/>
      <c r="D874" s="61"/>
      <c r="E874" s="61"/>
    </row>
    <row r="875">
      <c r="B875" s="61"/>
      <c r="D875" s="61"/>
      <c r="E875" s="61"/>
    </row>
    <row r="876">
      <c r="B876" s="61"/>
      <c r="D876" s="61"/>
      <c r="E876" s="61"/>
    </row>
    <row r="877">
      <c r="B877" s="61"/>
      <c r="D877" s="61"/>
      <c r="E877" s="61"/>
    </row>
    <row r="878">
      <c r="B878" s="61"/>
      <c r="D878" s="61"/>
      <c r="E878" s="61"/>
    </row>
    <row r="879">
      <c r="B879" s="61"/>
      <c r="D879" s="61"/>
      <c r="E879" s="61"/>
    </row>
    <row r="880">
      <c r="B880" s="61"/>
      <c r="D880" s="61"/>
      <c r="E880" s="61"/>
    </row>
    <row r="881">
      <c r="B881" s="61"/>
      <c r="D881" s="61"/>
      <c r="E881" s="61"/>
    </row>
    <row r="882">
      <c r="B882" s="61"/>
      <c r="D882" s="61"/>
      <c r="E882" s="61"/>
    </row>
    <row r="883">
      <c r="B883" s="61"/>
      <c r="D883" s="61"/>
      <c r="E883" s="61"/>
    </row>
    <row r="884">
      <c r="B884" s="61"/>
      <c r="D884" s="61"/>
      <c r="E884" s="61"/>
    </row>
    <row r="885">
      <c r="B885" s="61"/>
      <c r="D885" s="61"/>
      <c r="E885" s="61"/>
    </row>
    <row r="886">
      <c r="B886" s="61"/>
      <c r="D886" s="61"/>
      <c r="E886" s="61"/>
    </row>
    <row r="887">
      <c r="B887" s="61"/>
      <c r="D887" s="61"/>
      <c r="E887" s="61"/>
    </row>
    <row r="888">
      <c r="B888" s="61"/>
      <c r="D888" s="61"/>
      <c r="E888" s="61"/>
    </row>
    <row r="889">
      <c r="B889" s="61"/>
      <c r="D889" s="61"/>
      <c r="E889" s="61"/>
    </row>
    <row r="890">
      <c r="B890" s="61"/>
      <c r="D890" s="61"/>
      <c r="E890" s="61"/>
    </row>
    <row r="891">
      <c r="B891" s="61"/>
      <c r="D891" s="61"/>
      <c r="E891" s="61"/>
    </row>
    <row r="892">
      <c r="B892" s="61"/>
      <c r="D892" s="61"/>
      <c r="E892" s="61"/>
    </row>
    <row r="893">
      <c r="B893" s="61"/>
      <c r="D893" s="61"/>
      <c r="E893" s="61"/>
    </row>
    <row r="894">
      <c r="B894" s="61"/>
      <c r="D894" s="61"/>
      <c r="E894" s="61"/>
    </row>
    <row r="895">
      <c r="B895" s="61"/>
      <c r="D895" s="61"/>
      <c r="E895" s="61"/>
    </row>
    <row r="896">
      <c r="B896" s="61"/>
      <c r="D896" s="61"/>
      <c r="E896" s="61"/>
    </row>
    <row r="897">
      <c r="B897" s="61"/>
      <c r="D897" s="61"/>
      <c r="E897" s="61"/>
    </row>
    <row r="898">
      <c r="B898" s="61"/>
      <c r="D898" s="61"/>
      <c r="E898" s="61"/>
    </row>
    <row r="899">
      <c r="B899" s="61"/>
      <c r="D899" s="61"/>
      <c r="E899" s="61"/>
    </row>
    <row r="900">
      <c r="B900" s="61"/>
      <c r="D900" s="61"/>
      <c r="E900" s="61"/>
    </row>
    <row r="901">
      <c r="B901" s="61"/>
      <c r="D901" s="61"/>
      <c r="E901" s="61"/>
    </row>
    <row r="902">
      <c r="B902" s="61"/>
      <c r="D902" s="61"/>
      <c r="E902" s="61"/>
    </row>
    <row r="903">
      <c r="B903" s="61"/>
      <c r="D903" s="61"/>
      <c r="E903" s="61"/>
    </row>
    <row r="904">
      <c r="B904" s="61"/>
      <c r="D904" s="61"/>
      <c r="E904" s="61"/>
    </row>
    <row r="905">
      <c r="B905" s="61"/>
      <c r="D905" s="61"/>
      <c r="E905" s="61"/>
    </row>
    <row r="906">
      <c r="B906" s="61"/>
      <c r="D906" s="61"/>
      <c r="E906" s="61"/>
    </row>
    <row r="907">
      <c r="B907" s="61"/>
      <c r="D907" s="61"/>
      <c r="E907" s="61"/>
    </row>
    <row r="908">
      <c r="B908" s="61"/>
      <c r="D908" s="61"/>
      <c r="E908" s="61"/>
    </row>
    <row r="909">
      <c r="B909" s="61"/>
      <c r="D909" s="61"/>
      <c r="E909" s="61"/>
    </row>
    <row r="910">
      <c r="B910" s="61"/>
      <c r="D910" s="61"/>
      <c r="E910" s="61"/>
    </row>
    <row r="911">
      <c r="B911" s="61"/>
      <c r="D911" s="61"/>
      <c r="E911" s="61"/>
    </row>
    <row r="912">
      <c r="B912" s="61"/>
      <c r="D912" s="61"/>
      <c r="E912" s="61"/>
    </row>
    <row r="913">
      <c r="B913" s="61"/>
      <c r="D913" s="61"/>
      <c r="E913" s="61"/>
    </row>
    <row r="914">
      <c r="B914" s="61"/>
      <c r="D914" s="61"/>
      <c r="E914" s="61"/>
    </row>
    <row r="915">
      <c r="B915" s="61"/>
      <c r="D915" s="61"/>
      <c r="E915" s="61"/>
    </row>
    <row r="916">
      <c r="B916" s="61"/>
      <c r="D916" s="61"/>
      <c r="E916" s="61"/>
    </row>
    <row r="917">
      <c r="B917" s="61"/>
      <c r="D917" s="61"/>
      <c r="E917" s="61"/>
    </row>
    <row r="918">
      <c r="B918" s="61"/>
      <c r="D918" s="61"/>
      <c r="E918" s="61"/>
    </row>
    <row r="919">
      <c r="B919" s="61"/>
      <c r="D919" s="61"/>
      <c r="E919" s="61"/>
    </row>
    <row r="920">
      <c r="B920" s="61"/>
      <c r="D920" s="61"/>
      <c r="E920" s="61"/>
    </row>
    <row r="921">
      <c r="B921" s="61"/>
      <c r="D921" s="61"/>
      <c r="E921" s="61"/>
    </row>
    <row r="922">
      <c r="B922" s="61"/>
      <c r="D922" s="61"/>
      <c r="E922" s="61"/>
    </row>
    <row r="923">
      <c r="B923" s="61"/>
      <c r="D923" s="61"/>
      <c r="E923" s="61"/>
    </row>
    <row r="924">
      <c r="B924" s="61"/>
      <c r="D924" s="61"/>
      <c r="E924" s="61"/>
    </row>
    <row r="925">
      <c r="B925" s="61"/>
      <c r="D925" s="61"/>
      <c r="E925" s="61"/>
    </row>
    <row r="926">
      <c r="B926" s="61"/>
      <c r="D926" s="61"/>
      <c r="E926" s="61"/>
    </row>
    <row r="927">
      <c r="B927" s="61"/>
      <c r="D927" s="61"/>
      <c r="E927" s="61"/>
    </row>
    <row r="928">
      <c r="B928" s="61"/>
      <c r="D928" s="61"/>
      <c r="E928" s="61"/>
    </row>
    <row r="929">
      <c r="B929" s="61"/>
      <c r="D929" s="61"/>
      <c r="E929" s="61"/>
    </row>
    <row r="930">
      <c r="B930" s="61"/>
      <c r="D930" s="61"/>
      <c r="E930" s="61"/>
    </row>
    <row r="931">
      <c r="B931" s="61"/>
      <c r="D931" s="61"/>
      <c r="E931" s="61"/>
    </row>
    <row r="932">
      <c r="B932" s="61"/>
      <c r="D932" s="61"/>
      <c r="E932" s="61"/>
    </row>
    <row r="933">
      <c r="B933" s="61"/>
      <c r="D933" s="61"/>
      <c r="E933" s="61"/>
    </row>
    <row r="934">
      <c r="B934" s="61"/>
      <c r="D934" s="61"/>
      <c r="E934" s="61"/>
    </row>
    <row r="935">
      <c r="B935" s="61"/>
      <c r="D935" s="61"/>
      <c r="E935" s="61"/>
    </row>
    <row r="936">
      <c r="B936" s="61"/>
      <c r="D936" s="61"/>
      <c r="E936" s="61"/>
    </row>
    <row r="937">
      <c r="B937" s="61"/>
      <c r="D937" s="61"/>
      <c r="E937" s="61"/>
    </row>
    <row r="938">
      <c r="B938" s="61"/>
      <c r="D938" s="61"/>
      <c r="E938" s="61"/>
    </row>
    <row r="939">
      <c r="B939" s="61"/>
      <c r="D939" s="61"/>
      <c r="E939" s="61"/>
    </row>
    <row r="940">
      <c r="B940" s="61"/>
      <c r="D940" s="61"/>
      <c r="E940" s="61"/>
    </row>
    <row r="941">
      <c r="B941" s="61"/>
      <c r="D941" s="61"/>
      <c r="E941" s="61"/>
    </row>
    <row r="942">
      <c r="B942" s="61"/>
      <c r="D942" s="61"/>
      <c r="E942" s="61"/>
    </row>
    <row r="943">
      <c r="B943" s="61"/>
      <c r="D943" s="61"/>
      <c r="E943" s="61"/>
    </row>
    <row r="944">
      <c r="B944" s="61"/>
      <c r="D944" s="61"/>
      <c r="E944" s="61"/>
    </row>
    <row r="945">
      <c r="B945" s="61"/>
      <c r="D945" s="61"/>
      <c r="E945" s="61"/>
    </row>
    <row r="946">
      <c r="B946" s="61"/>
      <c r="D946" s="61"/>
      <c r="E946" s="61"/>
    </row>
    <row r="947">
      <c r="B947" s="61"/>
      <c r="D947" s="61"/>
      <c r="E947" s="61"/>
    </row>
    <row r="948">
      <c r="B948" s="61"/>
      <c r="D948" s="61"/>
      <c r="E948" s="61"/>
    </row>
    <row r="949">
      <c r="B949" s="61"/>
      <c r="D949" s="61"/>
      <c r="E949" s="61"/>
    </row>
    <row r="950">
      <c r="B950" s="61"/>
      <c r="D950" s="61"/>
      <c r="E950" s="61"/>
    </row>
    <row r="951">
      <c r="B951" s="61"/>
      <c r="D951" s="61"/>
      <c r="E951" s="61"/>
    </row>
    <row r="952">
      <c r="B952" s="61"/>
      <c r="D952" s="61"/>
      <c r="E952" s="61"/>
    </row>
    <row r="953">
      <c r="B953" s="61"/>
      <c r="D953" s="61"/>
      <c r="E953" s="61"/>
    </row>
    <row r="954">
      <c r="B954" s="61"/>
      <c r="D954" s="61"/>
      <c r="E954" s="61"/>
    </row>
    <row r="955">
      <c r="B955" s="61"/>
      <c r="D955" s="61"/>
      <c r="E955" s="61"/>
    </row>
    <row r="956">
      <c r="B956" s="61"/>
      <c r="D956" s="61"/>
      <c r="E956" s="61"/>
    </row>
    <row r="957">
      <c r="B957" s="61"/>
      <c r="D957" s="61"/>
      <c r="E957" s="61"/>
    </row>
    <row r="958">
      <c r="B958" s="61"/>
      <c r="D958" s="61"/>
      <c r="E958" s="61"/>
    </row>
    <row r="959">
      <c r="B959" s="61"/>
      <c r="D959" s="61"/>
      <c r="E959" s="61"/>
    </row>
    <row r="960">
      <c r="B960" s="61"/>
      <c r="D960" s="61"/>
      <c r="E960" s="61"/>
    </row>
    <row r="961">
      <c r="B961" s="61"/>
      <c r="D961" s="61"/>
      <c r="E961" s="61"/>
    </row>
    <row r="962">
      <c r="B962" s="61"/>
      <c r="D962" s="61"/>
      <c r="E962" s="61"/>
    </row>
    <row r="963">
      <c r="B963" s="61"/>
      <c r="D963" s="61"/>
      <c r="E963" s="61"/>
    </row>
    <row r="964">
      <c r="B964" s="61"/>
      <c r="D964" s="61"/>
      <c r="E964" s="61"/>
    </row>
    <row r="965">
      <c r="B965" s="61"/>
      <c r="D965" s="61"/>
      <c r="E965" s="61"/>
    </row>
    <row r="966">
      <c r="B966" s="61"/>
      <c r="D966" s="61"/>
      <c r="E966" s="61"/>
    </row>
    <row r="967">
      <c r="B967" s="61"/>
      <c r="D967" s="61"/>
      <c r="E967" s="61"/>
    </row>
    <row r="968">
      <c r="B968" s="61"/>
      <c r="D968" s="61"/>
      <c r="E968" s="61"/>
    </row>
    <row r="969">
      <c r="B969" s="61"/>
      <c r="D969" s="61"/>
      <c r="E969" s="61"/>
    </row>
    <row r="970">
      <c r="B970" s="61"/>
      <c r="D970" s="61"/>
      <c r="E970" s="61"/>
    </row>
    <row r="971">
      <c r="B971" s="61"/>
      <c r="D971" s="61"/>
      <c r="E971" s="61"/>
    </row>
    <row r="972">
      <c r="B972" s="61"/>
      <c r="D972" s="61"/>
      <c r="E972" s="61"/>
    </row>
    <row r="973">
      <c r="B973" s="61"/>
      <c r="D973" s="61"/>
      <c r="E973" s="61"/>
    </row>
    <row r="974">
      <c r="B974" s="61"/>
      <c r="D974" s="61"/>
      <c r="E974" s="61"/>
    </row>
    <row r="975">
      <c r="B975" s="61"/>
      <c r="D975" s="61"/>
      <c r="E975" s="61"/>
    </row>
    <row r="976">
      <c r="B976" s="61"/>
      <c r="D976" s="61"/>
      <c r="E976" s="61"/>
    </row>
    <row r="977">
      <c r="B977" s="61"/>
      <c r="D977" s="61"/>
      <c r="E977" s="61"/>
    </row>
    <row r="978">
      <c r="B978" s="61"/>
      <c r="D978" s="61"/>
      <c r="E978" s="61"/>
    </row>
    <row r="979">
      <c r="B979" s="61"/>
      <c r="D979" s="61"/>
      <c r="E979" s="61"/>
    </row>
    <row r="980">
      <c r="B980" s="61"/>
      <c r="D980" s="61"/>
      <c r="E980" s="61"/>
    </row>
    <row r="981">
      <c r="B981" s="61"/>
      <c r="D981" s="61"/>
      <c r="E981" s="61"/>
    </row>
    <row r="982">
      <c r="B982" s="61"/>
      <c r="D982" s="61"/>
      <c r="E982" s="61"/>
    </row>
    <row r="983">
      <c r="B983" s="61"/>
      <c r="D983" s="61"/>
      <c r="E983" s="61"/>
    </row>
    <row r="984">
      <c r="B984" s="61"/>
      <c r="D984" s="61"/>
      <c r="E984" s="61"/>
    </row>
    <row r="985">
      <c r="B985" s="61"/>
      <c r="D985" s="61"/>
      <c r="E985" s="61"/>
    </row>
    <row r="986">
      <c r="B986" s="61"/>
      <c r="D986" s="61"/>
      <c r="E986" s="61"/>
    </row>
    <row r="987">
      <c r="B987" s="61"/>
      <c r="D987" s="61"/>
      <c r="E987" s="61"/>
    </row>
    <row r="988">
      <c r="B988" s="61"/>
      <c r="D988" s="61"/>
      <c r="E988" s="61"/>
    </row>
    <row r="989">
      <c r="B989" s="61"/>
      <c r="D989" s="61"/>
      <c r="E989" s="61"/>
    </row>
    <row r="990">
      <c r="B990" s="61"/>
      <c r="D990" s="61"/>
      <c r="E990" s="61"/>
    </row>
    <row r="991">
      <c r="B991" s="61"/>
      <c r="D991" s="61"/>
      <c r="E991" s="61"/>
    </row>
    <row r="992">
      <c r="B992" s="61"/>
      <c r="D992" s="61"/>
      <c r="E992" s="61"/>
    </row>
    <row r="993">
      <c r="B993" s="61"/>
      <c r="D993" s="61"/>
      <c r="E993" s="61"/>
    </row>
    <row r="994">
      <c r="B994" s="61"/>
      <c r="D994" s="61"/>
      <c r="E994" s="61"/>
    </row>
    <row r="995">
      <c r="B995" s="61"/>
      <c r="D995" s="61"/>
      <c r="E995" s="61"/>
    </row>
    <row r="996">
      <c r="B996" s="61"/>
      <c r="D996" s="61"/>
      <c r="E996" s="61"/>
    </row>
    <row r="997">
      <c r="B997" s="61"/>
      <c r="D997" s="61"/>
      <c r="E997" s="61"/>
    </row>
    <row r="998">
      <c r="B998" s="61"/>
      <c r="D998" s="61"/>
      <c r="E998" s="61"/>
    </row>
    <row r="999">
      <c r="B999" s="61"/>
      <c r="D999" s="61"/>
      <c r="E999" s="61"/>
    </row>
    <row r="1000">
      <c r="B1000" s="61"/>
      <c r="D1000" s="61"/>
      <c r="E1000" s="61"/>
    </row>
    <row r="1001">
      <c r="B1001" s="61"/>
      <c r="D1001" s="61"/>
      <c r="E1001" s="61"/>
    </row>
  </sheetData>
  <mergeCells count="4">
    <mergeCell ref="A1:E1"/>
    <mergeCell ref="H1:I4"/>
    <mergeCell ref="A3:B3"/>
    <mergeCell ref="F3:G3"/>
  </mergeCells>
  <dataValidations>
    <dataValidation type="list" allowBlank="1" showErrorMessage="1" sqref="A3">
      <formula1>'Información General'!$D$13:$D$27</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88"/>
    <col customWidth="1" min="2" max="2" width="63.13"/>
    <col customWidth="1" min="3" max="3" width="18.0"/>
    <col customWidth="1" min="4" max="4" width="41.75"/>
    <col customWidth="1" min="5" max="5" width="45.5"/>
  </cols>
  <sheetData>
    <row r="1">
      <c r="A1" s="71" t="s">
        <v>32</v>
      </c>
    </row>
    <row r="2">
      <c r="B2" s="61"/>
      <c r="C2" s="61"/>
      <c r="D2" s="61"/>
      <c r="E2" s="61"/>
    </row>
    <row r="3">
      <c r="A3" s="66" t="s">
        <v>13</v>
      </c>
      <c r="B3" s="67" t="s">
        <v>26</v>
      </c>
      <c r="C3" s="68" t="s">
        <v>27</v>
      </c>
      <c r="D3" s="68" t="s">
        <v>28</v>
      </c>
      <c r="E3" s="68" t="s">
        <v>29</v>
      </c>
      <c r="F3" s="66" t="s">
        <v>30</v>
      </c>
      <c r="G3" s="66" t="s">
        <v>31</v>
      </c>
    </row>
    <row r="4">
      <c r="A4" s="70">
        <f>IFERROR(__xludf.DUMMYFUNCTION("QUERY(IMPORTRANGE(VLOOKUP('Información General'!F3,MetaData!A:B,2,FALSE), ""Diseño Curricular!A4:G500""), )"),1.0)</f>
        <v>1</v>
      </c>
      <c r="B4" s="61" t="str">
        <f>IFERROR(__xludf.DUMMYFUNCTION("""COMPUTED_VALUE"""),"Aplica principios de programacion y estructuras de datos utilizando distintos lenguajes y control de versiones para resolver problemas de organización y almacenamiento de datos de forma eficiente ")</f>
        <v>Aplica principios de programacion y estructuras de datos utilizando distintos lenguajes y control de versiones para resolver problemas de organización y almacenamiento de datos de forma eficiente </v>
      </c>
      <c r="C4" s="61">
        <f>IFERROR(__xludf.DUMMYFUNCTION("""COMPUTED_VALUE"""),1.0)</f>
        <v>1</v>
      </c>
      <c r="D4" s="61" t="str">
        <f>IFERROR(__xludf.DUMMYFUNCTION("""COMPUTED_VALUE"""),"Introducción a TDA (Tipos de Datos Abstractos)")</f>
        <v>Introducción a TDA (Tipos de Datos Abstractos)</v>
      </c>
      <c r="E4" s="61" t="str">
        <f>IFERROR(__xludf.DUMMYFUNCTION("""COMPUTED_VALUE"""),"Tipos de datos primitivos y compuestos")</f>
        <v>Tipos de datos primitivos y compuestos</v>
      </c>
      <c r="F4" s="70" t="str">
        <f>IFERROR(__xludf.DUMMYFUNCTION("""COMPUTED_VALUE"""),"Julio")</f>
        <v>Julio</v>
      </c>
      <c r="G4" s="70">
        <f>IFERROR(__xludf.DUMMYFUNCTION("""COMPUTED_VALUE"""),1.0)</f>
        <v>1</v>
      </c>
    </row>
    <row r="5">
      <c r="A5" s="70">
        <f>IFERROR(__xludf.DUMMYFUNCTION("""COMPUTED_VALUE"""),2.0)</f>
        <v>2</v>
      </c>
      <c r="B5" s="61" t="str">
        <f>IFERROR(__xludf.DUMMYFUNCTION("""COMPUTED_VALUE"""),"Aplica principios de programacion y estructuras de datos utilizando distintos lenguajes y control de versiones para resolver problemas de organización y almacenamiento de datos de forma eficiente ")</f>
        <v>Aplica principios de programacion y estructuras de datos utilizando distintos lenguajes y control de versiones para resolver problemas de organización y almacenamiento de datos de forma eficiente </v>
      </c>
      <c r="C5" s="61">
        <f>IFERROR(__xludf.DUMMYFUNCTION("""COMPUTED_VALUE"""),1.0)</f>
        <v>1</v>
      </c>
      <c r="D5" s="61" t="str">
        <f>IFERROR(__xludf.DUMMYFUNCTION("""COMPUTED_VALUE"""),"Introducción a TDA (Tipos de Datos Abstractos)")</f>
        <v>Introducción a TDA (Tipos de Datos Abstractos)</v>
      </c>
      <c r="E5" s="61" t="str">
        <f>IFERROR(__xludf.DUMMYFUNCTION("""COMPUTED_VALUE"""),"Tipos de datos abstractos")</f>
        <v>Tipos de datos abstractos</v>
      </c>
      <c r="F5" s="70" t="str">
        <f>IFERROR(__xludf.DUMMYFUNCTION("""COMPUTED_VALUE"""),"Julio")</f>
        <v>Julio</v>
      </c>
      <c r="G5" s="70">
        <f>IFERROR(__xludf.DUMMYFUNCTION("""COMPUTED_VALUE"""),1.0)</f>
        <v>1</v>
      </c>
    </row>
    <row r="6">
      <c r="A6" s="70">
        <f>IFERROR(__xludf.DUMMYFUNCTION("""COMPUTED_VALUE"""),3.0)</f>
        <v>3</v>
      </c>
      <c r="B6" s="61" t="str">
        <f>IFERROR(__xludf.DUMMYFUNCTION("""COMPUTED_VALUE"""),"Aplica principios de programacion y estructuras de datos utilizando distintos lenguajes y control de versiones para resolver problemas de organización y almacenamiento de datos de forma eficiente ")</f>
        <v>Aplica principios de programacion y estructuras de datos utilizando distintos lenguajes y control de versiones para resolver problemas de organización y almacenamiento de datos de forma eficiente </v>
      </c>
      <c r="C6" s="61">
        <f>IFERROR(__xludf.DUMMYFUNCTION("""COMPUTED_VALUE"""),1.0)</f>
        <v>1</v>
      </c>
      <c r="D6" s="61" t="str">
        <f>IFERROR(__xludf.DUMMYFUNCTION("""COMPUTED_VALUE"""),"Introducción a TDA (Tipos de Datos Abstractos)")</f>
        <v>Introducción a TDA (Tipos de Datos Abstractos)</v>
      </c>
      <c r="E6" s="61" t="str">
        <f>IFERROR(__xludf.DUMMYFUNCTION("""COMPUTED_VALUE"""),"Operaciones con tipos de datos abstractos")</f>
        <v>Operaciones con tipos de datos abstractos</v>
      </c>
      <c r="F6" s="70" t="str">
        <f>IFERROR(__xludf.DUMMYFUNCTION("""COMPUTED_VALUE"""),"Julio")</f>
        <v>Julio</v>
      </c>
      <c r="G6" s="70">
        <f>IFERROR(__xludf.DUMMYFUNCTION("""COMPUTED_VALUE"""),1.0)</f>
        <v>1</v>
      </c>
    </row>
    <row r="7">
      <c r="A7" s="70">
        <f>IFERROR(__xludf.DUMMYFUNCTION("""COMPUTED_VALUE"""),4.0)</f>
        <v>4</v>
      </c>
      <c r="B7" s="61" t="str">
        <f>IFERROR(__xludf.DUMMYFUNCTION("""COMPUTED_VALUE"""),"Aplica principios de programacion y estructuras de datos utilizando distintos lenguajes y control de versiones para resolver problemas de organización y almacenamiento de datos de forma eficiente ")</f>
        <v>Aplica principios de programacion y estructuras de datos utilizando distintos lenguajes y control de versiones para resolver problemas de organización y almacenamiento de datos de forma eficiente </v>
      </c>
      <c r="C7" s="61">
        <f>IFERROR(__xludf.DUMMYFUNCTION("""COMPUTED_VALUE"""),1.0)</f>
        <v>1</v>
      </c>
      <c r="D7" s="61" t="str">
        <f>IFERROR(__xludf.DUMMYFUNCTION("""COMPUTED_VALUE"""),"Introducción a TDA (Tipos de Datos Abstractos)")</f>
        <v>Introducción a TDA (Tipos de Datos Abstractos)</v>
      </c>
      <c r="E7" s="61" t="str">
        <f>IFERROR(__xludf.DUMMYFUNCTION("""COMPUTED_VALUE"""),"Definición y clasificación de las estructuras de datos")</f>
        <v>Definición y clasificación de las estructuras de datos</v>
      </c>
      <c r="F7" s="70" t="str">
        <f>IFERROR(__xludf.DUMMYFUNCTION("""COMPUTED_VALUE"""),"Julio")</f>
        <v>Julio</v>
      </c>
      <c r="G7" s="70">
        <f>IFERROR(__xludf.DUMMYFUNCTION("""COMPUTED_VALUE"""),1.0)</f>
        <v>1</v>
      </c>
    </row>
    <row r="8">
      <c r="A8" s="70">
        <f>IFERROR(__xludf.DUMMYFUNCTION("""COMPUTED_VALUE"""),6.0)</f>
        <v>6</v>
      </c>
      <c r="B8" s="61" t="str">
        <f>IFERROR(__xludf.DUMMYFUNCTION("""COMPUTED_VALUE"""),"Aplica principios de programacion y estructuras de datos utilizando distintos lenguajes y control de versiones para resolver problemas de organización y almacenamiento de datos de forma eficiente ")</f>
        <v>Aplica principios de programacion y estructuras de datos utilizando distintos lenguajes y control de versiones para resolver problemas de organización y almacenamiento de datos de forma eficiente </v>
      </c>
      <c r="C8" s="61">
        <f>IFERROR(__xludf.DUMMYFUNCTION("""COMPUTED_VALUE"""),1.0)</f>
        <v>1</v>
      </c>
      <c r="D8" s="61" t="str">
        <f>IFERROR(__xludf.DUMMYFUNCTION("""COMPUTED_VALUE"""),"Introducción a TDA (Tipos de Datos Abstractos)")</f>
        <v>Introducción a TDA (Tipos de Datos Abstractos)</v>
      </c>
      <c r="E8" s="61" t="str">
        <f>IFERROR(__xludf.DUMMYFUNCTION("""COMPUTED_VALUE"""),"Nodos")</f>
        <v>Nodos</v>
      </c>
      <c r="F8" s="70" t="str">
        <f>IFERROR(__xludf.DUMMYFUNCTION("""COMPUTED_VALUE"""),"Julio")</f>
        <v>Julio</v>
      </c>
      <c r="G8" s="70">
        <f>IFERROR(__xludf.DUMMYFUNCTION("""COMPUTED_VALUE"""),1.0)</f>
        <v>1</v>
      </c>
    </row>
    <row r="9">
      <c r="A9" s="70">
        <f>IFERROR(__xludf.DUMMYFUNCTION("""COMPUTED_VALUE"""),7.0)</f>
        <v>7</v>
      </c>
      <c r="B9" s="61" t="str">
        <f>IFERROR(__xludf.DUMMYFUNCTION("""COMPUTED_VALUE"""),"Aplica principios de programacion y estructuras de datos utilizando distintos lenguajes y control de versiones para resolver problemas de organización y almacenamiento de datos de forma eficiente ")</f>
        <v>Aplica principios de programacion y estructuras de datos utilizando distintos lenguajes y control de versiones para resolver problemas de organización y almacenamiento de datos de forma eficiente </v>
      </c>
      <c r="C9" s="61">
        <f>IFERROR(__xludf.DUMMYFUNCTION("""COMPUTED_VALUE"""),1.0)</f>
        <v>1</v>
      </c>
      <c r="D9" s="61" t="str">
        <f>IFERROR(__xludf.DUMMYFUNCTION("""COMPUTED_VALUE"""),"Introducción a TDA (Tipos de Datos Abstractos)")</f>
        <v>Introducción a TDA (Tipos de Datos Abstractos)</v>
      </c>
      <c r="E9" s="61" t="str">
        <f>IFERROR(__xludf.DUMMYFUNCTION("""COMPUTED_VALUE"""),"Punteros")</f>
        <v>Punteros</v>
      </c>
      <c r="F9" s="70" t="str">
        <f>IFERROR(__xludf.DUMMYFUNCTION("""COMPUTED_VALUE"""),"Julio")</f>
        <v>Julio</v>
      </c>
      <c r="G9" s="70">
        <f>IFERROR(__xludf.DUMMYFUNCTION("""COMPUTED_VALUE"""),1.0)</f>
        <v>1</v>
      </c>
    </row>
    <row r="10">
      <c r="A10" s="70">
        <f>IFERROR(__xludf.DUMMYFUNCTION("""COMPUTED_VALUE"""),8.0)</f>
        <v>8</v>
      </c>
      <c r="B10" s="61" t="str">
        <f>IFERROR(__xludf.DUMMYFUNCTION("""COMPUTED_VALUE"""),"Analiza el comportamiento de algoritmos sobre distintas estructuras de datos utilizando técnicas de análisis de casos y notración O grande para seleccionar solucioens ótimas  ")</f>
        <v>Analiza el comportamiento de algoritmos sobre distintas estructuras de datos utilizando técnicas de análisis de casos y notración O grande para seleccionar solucioens ótimas  </v>
      </c>
      <c r="C10" s="61">
        <f>IFERROR(__xludf.DUMMYFUNCTION("""COMPUTED_VALUE"""),2.0)</f>
        <v>2</v>
      </c>
      <c r="D10" s="61" t="str">
        <f>IFERROR(__xludf.DUMMYFUNCTION("""COMPUTED_VALUE"""),"Principios del Lenguaje de programación a utilizar")</f>
        <v>Principios del Lenguaje de programación a utilizar</v>
      </c>
      <c r="E10" s="61" t="str">
        <f>IFERROR(__xludf.DUMMYFUNCTION("""COMPUTED_VALUE"""),"Instalación y configuración de la herramienta")</f>
        <v>Instalación y configuración de la herramienta</v>
      </c>
      <c r="F10" s="70" t="str">
        <f>IFERROR(__xludf.DUMMYFUNCTION("""COMPUTED_VALUE"""),"Julio")</f>
        <v>Julio</v>
      </c>
      <c r="G10" s="70">
        <f>IFERROR(__xludf.DUMMYFUNCTION("""COMPUTED_VALUE"""),1.0)</f>
        <v>1</v>
      </c>
    </row>
    <row r="11">
      <c r="A11" s="70">
        <f>IFERROR(__xludf.DUMMYFUNCTION("""COMPUTED_VALUE"""),9.0)</f>
        <v>9</v>
      </c>
      <c r="B11" s="61" t="str">
        <f>IFERROR(__xludf.DUMMYFUNCTION("""COMPUTED_VALUE"""),"Analiza el comportamiento de algoritmos sobre distintas estructuras de datos utilizando técnicas de análisis de casos y notración O grande para seleccionar solucioens ótimas  ")</f>
        <v>Analiza el comportamiento de algoritmos sobre distintas estructuras de datos utilizando técnicas de análisis de casos y notración O grande para seleccionar solucioens ótimas  </v>
      </c>
      <c r="C11" s="61">
        <f>IFERROR(__xludf.DUMMYFUNCTION("""COMPUTED_VALUE"""),2.0)</f>
        <v>2</v>
      </c>
      <c r="D11" s="61" t="str">
        <f>IFERROR(__xludf.DUMMYFUNCTION("""COMPUTED_VALUE"""),"Principios del Lenguaje de programación a utilizar")</f>
        <v>Principios del Lenguaje de programación a utilizar</v>
      </c>
      <c r="E11" s="61" t="str">
        <f>IFERROR(__xludf.DUMMYFUNCTION("""COMPUTED_VALUE"""),"Tipos de datos básicos")</f>
        <v>Tipos de datos básicos</v>
      </c>
      <c r="F11" s="70" t="str">
        <f>IFERROR(__xludf.DUMMYFUNCTION("""COMPUTED_VALUE"""),"Julio")</f>
        <v>Julio</v>
      </c>
      <c r="G11" s="70">
        <f>IFERROR(__xludf.DUMMYFUNCTION("""COMPUTED_VALUE"""),2.0)</f>
        <v>2</v>
      </c>
    </row>
    <row r="12">
      <c r="A12" s="70">
        <f>IFERROR(__xludf.DUMMYFUNCTION("""COMPUTED_VALUE"""),10.0)</f>
        <v>10</v>
      </c>
      <c r="B12" s="61" t="str">
        <f>IFERROR(__xludf.DUMMYFUNCTION("""COMPUTED_VALUE"""),"Analiza el comportamiento de algoritmos sobre distintas estructuras de datos utilizando técnicas de análisis de casos y notración O grande para seleccionar solucioens ótimas  ")</f>
        <v>Analiza el comportamiento de algoritmos sobre distintas estructuras de datos utilizando técnicas de análisis de casos y notración O grande para seleccionar solucioens ótimas  </v>
      </c>
      <c r="C12" s="61">
        <f>IFERROR(__xludf.DUMMYFUNCTION("""COMPUTED_VALUE"""),2.0)</f>
        <v>2</v>
      </c>
      <c r="D12" s="61" t="str">
        <f>IFERROR(__xludf.DUMMYFUNCTION("""COMPUTED_VALUE"""),"Principios del Lenguaje de programación a utilizar")</f>
        <v>Principios del Lenguaje de programación a utilizar</v>
      </c>
      <c r="E12" s="61" t="str">
        <f>IFERROR(__xludf.DUMMYFUNCTION("""COMPUTED_VALUE"""),"Estructuras de control")</f>
        <v>Estructuras de control</v>
      </c>
      <c r="F12" s="70" t="str">
        <f>IFERROR(__xludf.DUMMYFUNCTION("""COMPUTED_VALUE"""),"Julio")</f>
        <v>Julio</v>
      </c>
      <c r="G12" s="70">
        <f>IFERROR(__xludf.DUMMYFUNCTION("""COMPUTED_VALUE"""),2.0)</f>
        <v>2</v>
      </c>
    </row>
    <row r="13">
      <c r="A13" s="70">
        <f>IFERROR(__xludf.DUMMYFUNCTION("""COMPUTED_VALUE"""),11.0)</f>
        <v>11</v>
      </c>
      <c r="B13" s="61" t="str">
        <f>IFERROR(__xludf.DUMMYFUNCTION("""COMPUTED_VALUE"""),"Analiza el comportamiento de algoritmos sobre distintas estructuras de datos utilizando técnicas de análisis de casos y notración O grande para seleccionar solucioens ótimas  ")</f>
        <v>Analiza el comportamiento de algoritmos sobre distintas estructuras de datos utilizando técnicas de análisis de casos y notración O grande para seleccionar solucioens ótimas  </v>
      </c>
      <c r="C13" s="61">
        <f>IFERROR(__xludf.DUMMYFUNCTION("""COMPUTED_VALUE"""),2.0)</f>
        <v>2</v>
      </c>
      <c r="D13" s="61" t="str">
        <f>IFERROR(__xludf.DUMMYFUNCTION("""COMPUTED_VALUE"""),"Principios del Lenguaje de programación a utilizar")</f>
        <v>Principios del Lenguaje de programación a utilizar</v>
      </c>
      <c r="E13" s="61" t="str">
        <f>IFERROR(__xludf.DUMMYFUNCTION("""COMPUTED_VALUE"""),"Métodos y funciones")</f>
        <v>Métodos y funciones</v>
      </c>
      <c r="F13" s="70" t="str">
        <f>IFERROR(__xludf.DUMMYFUNCTION("""COMPUTED_VALUE"""),"Julio")</f>
        <v>Julio</v>
      </c>
      <c r="G13" s="70">
        <f>IFERROR(__xludf.DUMMYFUNCTION("""COMPUTED_VALUE"""),2.0)</f>
        <v>2</v>
      </c>
    </row>
    <row r="14">
      <c r="A14" s="70">
        <f>IFERROR(__xludf.DUMMYFUNCTION("""COMPUTED_VALUE"""),12.0)</f>
        <v>12</v>
      </c>
      <c r="B14" s="61" t="str">
        <f>IFERROR(__xludf.DUMMYFUNCTION("""COMPUTED_VALUE"""),"Analiza el comportamiento de algoritmos sobre distintas estructuras de datos utilizando técnicas de análisis de casos y notración O grande para seleccionar solucioens ótimas  ")</f>
        <v>Analiza el comportamiento de algoritmos sobre distintas estructuras de datos utilizando técnicas de análisis de casos y notración O grande para seleccionar solucioens ótimas  </v>
      </c>
      <c r="C14" s="61">
        <f>IFERROR(__xludf.DUMMYFUNCTION("""COMPUTED_VALUE"""),2.0)</f>
        <v>2</v>
      </c>
      <c r="D14" s="61" t="str">
        <f>IFERROR(__xludf.DUMMYFUNCTION("""COMPUTED_VALUE"""),"Principios del Lenguaje de programación a utilizar")</f>
        <v>Principios del Lenguaje de programación a utilizar</v>
      </c>
      <c r="E14" s="61" t="str">
        <f>IFERROR(__xludf.DUMMYFUNCTION("""COMPUTED_VALUE"""),"Manejo de memoria")</f>
        <v>Manejo de memoria</v>
      </c>
      <c r="F14" s="70" t="str">
        <f>IFERROR(__xludf.DUMMYFUNCTION("""COMPUTED_VALUE"""),"Julio")</f>
        <v>Julio</v>
      </c>
      <c r="G14" s="70">
        <f>IFERROR(__xludf.DUMMYFUNCTION("""COMPUTED_VALUE"""),2.0)</f>
        <v>2</v>
      </c>
    </row>
    <row r="15">
      <c r="A15" s="70">
        <f>IFERROR(__xludf.DUMMYFUNCTION("""COMPUTED_VALUE"""),15.0)</f>
        <v>15</v>
      </c>
      <c r="B15" s="61" t="str">
        <f>IFERROR(__xludf.DUMMYFUNCTION("""COMPUTED_VALUE"""),"Aplica principios de programacion y estructuras de datos utilizando distintos lenguajes y control de versiones para resolver problemas de organización y almacenamiento de datos de forma eficiente ")</f>
        <v>Aplica principios de programacion y estructuras de datos utilizando distintos lenguajes y control de versiones para resolver problemas de organización y almacenamiento de datos de forma eficiente </v>
      </c>
      <c r="C15" s="61">
        <f>IFERROR(__xludf.DUMMYFUNCTION("""COMPUTED_VALUE"""),3.0)</f>
        <v>3</v>
      </c>
      <c r="D15" s="61" t="str">
        <f>IFERROR(__xludf.DUMMYFUNCTION("""COMPUTED_VALUE"""),"Lista simplemente enlazada y estructuras con políticas de acceso especial")</f>
        <v>Lista simplemente enlazada y estructuras con políticas de acceso especial</v>
      </c>
      <c r="E15" s="61" t="str">
        <f>IFERROR(__xludf.DUMMYFUNCTION("""COMPUTED_VALUE"""),"Definición y características de la lista simplemente enlazada")</f>
        <v>Definición y características de la lista simplemente enlazada</v>
      </c>
      <c r="F15" s="70" t="str">
        <f>IFERROR(__xludf.DUMMYFUNCTION("""COMPUTED_VALUE"""),"Julio")</f>
        <v>Julio</v>
      </c>
      <c r="G15" s="70">
        <f>IFERROR(__xludf.DUMMYFUNCTION("""COMPUTED_VALUE"""),2.0)</f>
        <v>2</v>
      </c>
    </row>
    <row r="16">
      <c r="A16" s="70">
        <f>IFERROR(__xludf.DUMMYFUNCTION("""COMPUTED_VALUE"""),16.0)</f>
        <v>16</v>
      </c>
      <c r="B16" s="61" t="str">
        <f>IFERROR(__xludf.DUMMYFUNCTION("""COMPUTED_VALUE"""),"Aplica principios de programacion y estructuras de datos utilizando distintos lenguajes y control de versiones para resolver problemas de organización y almacenamiento de datos de forma eficiente ")</f>
        <v>Aplica principios de programacion y estructuras de datos utilizando distintos lenguajes y control de versiones para resolver problemas de organización y almacenamiento de datos de forma eficiente </v>
      </c>
      <c r="C16" s="61">
        <f>IFERROR(__xludf.DUMMYFUNCTION("""COMPUTED_VALUE"""),3.0)</f>
        <v>3</v>
      </c>
      <c r="D16" s="61" t="str">
        <f>IFERROR(__xludf.DUMMYFUNCTION("""COMPUTED_VALUE"""),"Lista simplemente enlazada y estructuras con políticas de acceso especial")</f>
        <v>Lista simplemente enlazada y estructuras con políticas de acceso especial</v>
      </c>
      <c r="E16" s="61" t="str">
        <f>IFERROR(__xludf.DUMMYFUNCTION("""COMPUTED_VALUE"""),"Operaciones de una lista simplemente enlazada")</f>
        <v>Operaciones de una lista simplemente enlazada</v>
      </c>
      <c r="F16" s="70" t="str">
        <f>IFERROR(__xludf.DUMMYFUNCTION("""COMPUTED_VALUE"""),"Julio")</f>
        <v>Julio</v>
      </c>
      <c r="G16" s="70">
        <f>IFERROR(__xludf.DUMMYFUNCTION("""COMPUTED_VALUE"""),2.0)</f>
        <v>2</v>
      </c>
    </row>
    <row r="17">
      <c r="A17" s="70">
        <f>IFERROR(__xludf.DUMMYFUNCTION("""COMPUTED_VALUE"""),17.0)</f>
        <v>17</v>
      </c>
      <c r="B17" s="61" t="str">
        <f>IFERROR(__xludf.DUMMYFUNCTION("""COMPUTED_VALUE"""),"Aplica principios de programacion y estructuras de datos utilizando distintos lenguajes y control de versiones para resolver problemas de organización y almacenamiento de datos de forma eficiente ")</f>
        <v>Aplica principios de programacion y estructuras de datos utilizando distintos lenguajes y control de versiones para resolver problemas de organización y almacenamiento de datos de forma eficiente </v>
      </c>
      <c r="C17" s="61">
        <f>IFERROR(__xludf.DUMMYFUNCTION("""COMPUTED_VALUE"""),3.0)</f>
        <v>3</v>
      </c>
      <c r="D17" s="61" t="str">
        <f>IFERROR(__xludf.DUMMYFUNCTION("""COMPUTED_VALUE"""),"Lista simplemente enlazada y estructuras con políticas de acceso especial")</f>
        <v>Lista simplemente enlazada y estructuras con políticas de acceso especial</v>
      </c>
      <c r="E17" s="61" t="str">
        <f>IFERROR(__xludf.DUMMYFUNCTION("""COMPUTED_VALUE"""),"Definición y características de la pila y la cola")</f>
        <v>Definición y características de la pila y la cola</v>
      </c>
      <c r="F17" s="70" t="str">
        <f>IFERROR(__xludf.DUMMYFUNCTION("""COMPUTED_VALUE"""),"Agosto")</f>
        <v>Agosto</v>
      </c>
      <c r="G17" s="70">
        <f>IFERROR(__xludf.DUMMYFUNCTION("""COMPUTED_VALUE"""),3.0)</f>
        <v>3</v>
      </c>
    </row>
    <row r="18">
      <c r="A18" s="70">
        <f>IFERROR(__xludf.DUMMYFUNCTION("""COMPUTED_VALUE"""),18.0)</f>
        <v>18</v>
      </c>
      <c r="B18" s="61" t="str">
        <f>IFERROR(__xludf.DUMMYFUNCTION("""COMPUTED_VALUE"""),"Aplica principios de programacion y estructuras de datos utilizando distintos lenguajes y control de versiones para resolver problemas de organización y almacenamiento de datos de forma eficiente ")</f>
        <v>Aplica principios de programacion y estructuras de datos utilizando distintos lenguajes y control de versiones para resolver problemas de organización y almacenamiento de datos de forma eficiente </v>
      </c>
      <c r="C18" s="61">
        <f>IFERROR(__xludf.DUMMYFUNCTION("""COMPUTED_VALUE"""),3.0)</f>
        <v>3</v>
      </c>
      <c r="D18" s="61" t="str">
        <f>IFERROR(__xludf.DUMMYFUNCTION("""COMPUTED_VALUE"""),"Lista simplemente enlazada y estructuras con políticas de acceso especial")</f>
        <v>Lista simplemente enlazada y estructuras con políticas de acceso especial</v>
      </c>
      <c r="E18" s="61" t="str">
        <f>IFERROR(__xludf.DUMMYFUNCTION("""COMPUTED_VALUE"""),"Operaciones de una pila")</f>
        <v>Operaciones de una pila</v>
      </c>
      <c r="F18" s="70" t="str">
        <f>IFERROR(__xludf.DUMMYFUNCTION("""COMPUTED_VALUE"""),"Agosto")</f>
        <v>Agosto</v>
      </c>
      <c r="G18" s="70">
        <f>IFERROR(__xludf.DUMMYFUNCTION("""COMPUTED_VALUE"""),3.0)</f>
        <v>3</v>
      </c>
    </row>
    <row r="19">
      <c r="A19" s="70">
        <f>IFERROR(__xludf.DUMMYFUNCTION("""COMPUTED_VALUE"""),19.0)</f>
        <v>19</v>
      </c>
      <c r="B19" s="61" t="str">
        <f>IFERROR(__xludf.DUMMYFUNCTION("""COMPUTED_VALUE"""),"Aplica principios de programacion y estructuras de datos utilizando distintos lenguajes y control de versiones para resolver problemas de organización y almacenamiento de datos de forma eficiente ")</f>
        <v>Aplica principios de programacion y estructuras de datos utilizando distintos lenguajes y control de versiones para resolver problemas de organización y almacenamiento de datos de forma eficiente </v>
      </c>
      <c r="C19" s="61">
        <f>IFERROR(__xludf.DUMMYFUNCTION("""COMPUTED_VALUE"""),3.0)</f>
        <v>3</v>
      </c>
      <c r="D19" s="61" t="str">
        <f>IFERROR(__xludf.DUMMYFUNCTION("""COMPUTED_VALUE"""),"Lista simplemente enlazada y estructuras con políticas de acceso especial")</f>
        <v>Lista simplemente enlazada y estructuras con políticas de acceso especial</v>
      </c>
      <c r="E19" s="61" t="str">
        <f>IFERROR(__xludf.DUMMYFUNCTION("""COMPUTED_VALUE"""),"Operaciones de una cola")</f>
        <v>Operaciones de una cola</v>
      </c>
      <c r="F19" s="70" t="str">
        <f>IFERROR(__xludf.DUMMYFUNCTION("""COMPUTED_VALUE"""),"Agosto")</f>
        <v>Agosto</v>
      </c>
      <c r="G19" s="70">
        <f>IFERROR(__xludf.DUMMYFUNCTION("""COMPUTED_VALUE"""),3.0)</f>
        <v>3</v>
      </c>
    </row>
    <row r="20">
      <c r="A20" s="70">
        <f>IFERROR(__xludf.DUMMYFUNCTION("""COMPUTED_VALUE"""),20.0)</f>
        <v>20</v>
      </c>
      <c r="B20" s="61" t="str">
        <f>IFERROR(__xludf.DUMMYFUNCTION("""COMPUTED_VALUE"""),"Diseña algoritmos de búsqueda, ordenamiento y comprensión de datos integrando análisis de complejidad y estructuras eficientes para mejorar el rendimiento en el procesamiento de información ")</f>
        <v>Diseña algoritmos de búsqueda, ordenamiento y comprensión de datos integrando análisis de complejidad y estructuras eficientes para mejorar el rendimiento en el procesamiento de información </v>
      </c>
      <c r="C20" s="61">
        <f>IFERROR(__xludf.DUMMYFUNCTION("""COMPUTED_VALUE"""),3.0)</f>
        <v>3</v>
      </c>
      <c r="D20" s="61" t="str">
        <f>IFERROR(__xludf.DUMMYFUNCTION("""COMPUTED_VALUE"""),"Lista simplemente enlazada y estructuras con políticas de acceso especial")</f>
        <v>Lista simplemente enlazada y estructuras con políticas de acceso especial</v>
      </c>
      <c r="E20" s="61" t="str">
        <f>IFERROR(__xludf.DUMMYFUNCTION("""COMPUTED_VALUE"""),"Cuestionario de lista simplemente enlazada y estructuras de acceso especial")</f>
        <v>Cuestionario de lista simplemente enlazada y estructuras de acceso especial</v>
      </c>
      <c r="F20" s="70" t="str">
        <f>IFERROR(__xludf.DUMMYFUNCTION("""COMPUTED_VALUE"""),"Agosto")</f>
        <v>Agosto</v>
      </c>
      <c r="G20" s="70">
        <f>IFERROR(__xludf.DUMMYFUNCTION("""COMPUTED_VALUE"""),3.0)</f>
        <v>3</v>
      </c>
    </row>
    <row r="21">
      <c r="A21" s="70">
        <f>IFERROR(__xludf.DUMMYFUNCTION("""COMPUTED_VALUE"""),22.0)</f>
        <v>22</v>
      </c>
      <c r="B21" s="61" t="str">
        <f>IFERROR(__xludf.DUMMYFUNCTION("""COMPUTED_VALUE"""),"Diseña algoritmos de búsqueda, ordenamiento y comprensión de datos integrando análisis de complejidad y estructuras eficientes para mejorar el rendimiento en el procesamiento de información ")</f>
        <v>Diseña algoritmos de búsqueda, ordenamiento y comprensión de datos integrando análisis de complejidad y estructuras eficientes para mejorar el rendimiento en el procesamiento de información </v>
      </c>
      <c r="C21" s="61">
        <f>IFERROR(__xludf.DUMMYFUNCTION("""COMPUTED_VALUE"""),3.0)</f>
        <v>3</v>
      </c>
      <c r="D21" s="61" t="str">
        <f>IFERROR(__xludf.DUMMYFUNCTION("""COMPUTED_VALUE"""),"Variantes de listas enlazadas: parte 1")</f>
        <v>Variantes de listas enlazadas: parte 1</v>
      </c>
      <c r="E21" s="61" t="str">
        <f>IFERROR(__xludf.DUMMYFUNCTION("""COMPUTED_VALUE"""),"Definición y características de una lista doblemente enlazada")</f>
        <v>Definición y características de una lista doblemente enlazada</v>
      </c>
      <c r="F21" s="70" t="str">
        <f>IFERROR(__xludf.DUMMYFUNCTION("""COMPUTED_VALUE"""),"Agosto")</f>
        <v>Agosto</v>
      </c>
      <c r="G21" s="70">
        <f>IFERROR(__xludf.DUMMYFUNCTION("""COMPUTED_VALUE"""),3.0)</f>
        <v>3</v>
      </c>
    </row>
    <row r="22">
      <c r="A22" s="70">
        <f>IFERROR(__xludf.DUMMYFUNCTION("""COMPUTED_VALUE"""),23.0)</f>
        <v>23</v>
      </c>
      <c r="B22" s="61" t="str">
        <f>IFERROR(__xludf.DUMMYFUNCTION("""COMPUTED_VALUE"""),"Diseña algoritmos de búsqueda, ordenamiento y comprensión de datos integrando análisis de complejidad y estructuras eficientes para mejorar el rendimiento en el procesamiento de información ")</f>
        <v>Diseña algoritmos de búsqueda, ordenamiento y comprensión de datos integrando análisis de complejidad y estructuras eficientes para mejorar el rendimiento en el procesamiento de información </v>
      </c>
      <c r="C22" s="61">
        <f>IFERROR(__xludf.DUMMYFUNCTION("""COMPUTED_VALUE"""),3.0)</f>
        <v>3</v>
      </c>
      <c r="D22" s="61" t="str">
        <f>IFERROR(__xludf.DUMMYFUNCTION("""COMPUTED_VALUE"""),"Variantes de listas enlazadas: parte 2")</f>
        <v>Variantes de listas enlazadas: parte 2</v>
      </c>
      <c r="E22" s="61" t="str">
        <f>IFERROR(__xludf.DUMMYFUNCTION("""COMPUTED_VALUE"""),"Operaciones de una lista doblemente enlazada")</f>
        <v>Operaciones de una lista doblemente enlazada</v>
      </c>
      <c r="F22" s="70" t="str">
        <f>IFERROR(__xludf.DUMMYFUNCTION("""COMPUTED_VALUE"""),"Agosto")</f>
        <v>Agosto</v>
      </c>
      <c r="G22" s="70">
        <f>IFERROR(__xludf.DUMMYFUNCTION("""COMPUTED_VALUE"""),3.0)</f>
        <v>3</v>
      </c>
    </row>
    <row r="23">
      <c r="A23" s="70">
        <f>IFERROR(__xludf.DUMMYFUNCTION("""COMPUTED_VALUE"""),24.0)</f>
        <v>24</v>
      </c>
      <c r="B23" s="61" t="str">
        <f>IFERROR(__xludf.DUMMYFUNCTION("""COMPUTED_VALUE"""),"Aplica principios de programacion y estructuras de datos utilizando distintos lenguajes y control de versiones para resolver problemas de organización y almacenamiento de datos de forma eficiente ")</f>
        <v>Aplica principios de programacion y estructuras de datos utilizando distintos lenguajes y control de versiones para resolver problemas de organización y almacenamiento de datos de forma eficiente </v>
      </c>
      <c r="C23" s="61">
        <f>IFERROR(__xludf.DUMMYFUNCTION("""COMPUTED_VALUE"""),3.0)</f>
        <v>3</v>
      </c>
      <c r="D23" s="61" t="str">
        <f>IFERROR(__xludf.DUMMYFUNCTION("""COMPUTED_VALUE"""),"Variantes de listas enlazadas: parte 3")</f>
        <v>Variantes de listas enlazadas: parte 3</v>
      </c>
      <c r="E23" s="61" t="str">
        <f>IFERROR(__xludf.DUMMYFUNCTION("""COMPUTED_VALUE"""),"Definición de una lista circular")</f>
        <v>Definición de una lista circular</v>
      </c>
      <c r="F23" s="70" t="str">
        <f>IFERROR(__xludf.DUMMYFUNCTION("""COMPUTED_VALUE"""),"Agosto")</f>
        <v>Agosto</v>
      </c>
      <c r="G23" s="70">
        <f>IFERROR(__xludf.DUMMYFUNCTION("""COMPUTED_VALUE"""),4.0)</f>
        <v>4</v>
      </c>
    </row>
    <row r="24">
      <c r="A24" s="70">
        <f>IFERROR(__xludf.DUMMYFUNCTION("""COMPUTED_VALUE"""),25.0)</f>
        <v>25</v>
      </c>
      <c r="B24" s="61" t="str">
        <f>IFERROR(__xludf.DUMMYFUNCTION("""COMPUTED_VALUE"""),"Aplica principios de programacion y estructuras de datos utilizando distintos lenguajes y control de versiones para resolver problemas de organización y almacenamiento de datos de forma eficiente ")</f>
        <v>Aplica principios de programacion y estructuras de datos utilizando distintos lenguajes y control de versiones para resolver problemas de organización y almacenamiento de datos de forma eficiente </v>
      </c>
      <c r="C24" s="61">
        <f>IFERROR(__xludf.DUMMYFUNCTION("""COMPUTED_VALUE"""),3.0)</f>
        <v>3</v>
      </c>
      <c r="D24" s="61" t="str">
        <f>IFERROR(__xludf.DUMMYFUNCTION("""COMPUTED_VALUE"""),"Variantes de listas enlazadas: parte 4")</f>
        <v>Variantes de listas enlazadas: parte 4</v>
      </c>
      <c r="E24" s="61" t="str">
        <f>IFERROR(__xludf.DUMMYFUNCTION("""COMPUTED_VALUE"""),"Características de una lista circular")</f>
        <v>Características de una lista circular</v>
      </c>
      <c r="F24" s="70" t="str">
        <f>IFERROR(__xludf.DUMMYFUNCTION("""COMPUTED_VALUE"""),"Agosto")</f>
        <v>Agosto</v>
      </c>
      <c r="G24" s="70">
        <f>IFERROR(__xludf.DUMMYFUNCTION("""COMPUTED_VALUE"""),4.0)</f>
        <v>4</v>
      </c>
    </row>
    <row r="25">
      <c r="A25" s="70">
        <f>IFERROR(__xludf.DUMMYFUNCTION("""COMPUTED_VALUE"""),26.0)</f>
        <v>26</v>
      </c>
      <c r="B25" s="61" t="str">
        <f>IFERROR(__xludf.DUMMYFUNCTION("""COMPUTED_VALUE"""),"Diseña algoritmos de búsqueda, ordenamiento y comprensión de datos integrando análisis de complejidad y estructuras eficientes para mejorar el rendimiento en el procesamiento de información ")</f>
        <v>Diseña algoritmos de búsqueda, ordenamiento y comprensión de datos integrando análisis de complejidad y estructuras eficientes para mejorar el rendimiento en el procesamiento de información </v>
      </c>
      <c r="C25" s="61">
        <f>IFERROR(__xludf.DUMMYFUNCTION("""COMPUTED_VALUE"""),3.0)</f>
        <v>3</v>
      </c>
      <c r="D25" s="61" t="str">
        <f>IFERROR(__xludf.DUMMYFUNCTION("""COMPUTED_VALUE"""),"Variantes de listas enlazadas: parte 5")</f>
        <v>Variantes de listas enlazadas: parte 5</v>
      </c>
      <c r="E25" s="61" t="str">
        <f>IFERROR(__xludf.DUMMYFUNCTION("""COMPUTED_VALUE"""),"Operaciones en una lista circular")</f>
        <v>Operaciones en una lista circular</v>
      </c>
      <c r="F25" s="70" t="str">
        <f>IFERROR(__xludf.DUMMYFUNCTION("""COMPUTED_VALUE"""),"Agosto")</f>
        <v>Agosto</v>
      </c>
      <c r="G25" s="70">
        <f>IFERROR(__xludf.DUMMYFUNCTION("""COMPUTED_VALUE"""),4.0)</f>
        <v>4</v>
      </c>
    </row>
    <row r="26">
      <c r="A26" s="70">
        <f>IFERROR(__xludf.DUMMYFUNCTION("""COMPUTED_VALUE"""),29.0)</f>
        <v>29</v>
      </c>
      <c r="B26" s="61" t="str">
        <f>IFERROR(__xludf.DUMMYFUNCTION("""COMPUTED_VALUE"""),"Aplica principios de programacion y estructuras de datos utilizando distintos lenguajes y control de versiones para resolver problemas de organización y almacenamiento de datos de forma eficiente ")</f>
        <v>Aplica principios de programacion y estructuras de datos utilizando distintos lenguajes y control de versiones para resolver problemas de organización y almacenamiento de datos de forma eficiente </v>
      </c>
      <c r="C26" s="61">
        <f>IFERROR(__xludf.DUMMYFUNCTION("""COMPUTED_VALUE"""),3.0)</f>
        <v>3</v>
      </c>
      <c r="D26" s="61" t="str">
        <f>IFERROR(__xludf.DUMMYFUNCTION("""COMPUTED_VALUE"""),"Variantes de listas enlazadas: parte 2")</f>
        <v>Variantes de listas enlazadas: parte 2</v>
      </c>
      <c r="E26" s="61" t="str">
        <f>IFERROR(__xludf.DUMMYFUNCTION("""COMPUTED_VALUE"""),"Definición lista de listas")</f>
        <v>Definición lista de listas</v>
      </c>
      <c r="F26" s="70" t="str">
        <f>IFERROR(__xludf.DUMMYFUNCTION("""COMPUTED_VALUE"""),"Agosto")</f>
        <v>Agosto</v>
      </c>
      <c r="G26" s="70">
        <f>IFERROR(__xludf.DUMMYFUNCTION("""COMPUTED_VALUE"""),4.0)</f>
        <v>4</v>
      </c>
    </row>
    <row r="27">
      <c r="A27" s="70">
        <f>IFERROR(__xludf.DUMMYFUNCTION("""COMPUTED_VALUE"""),30.0)</f>
        <v>30</v>
      </c>
      <c r="B27" s="61" t="str">
        <f>IFERROR(__xludf.DUMMYFUNCTION("""COMPUTED_VALUE"""),"Aplica principios de programacion y estructuras de datos utilizando distintos lenguajes y control de versiones para resolver problemas de organización y almacenamiento de datos de forma eficiente ")</f>
        <v>Aplica principios de programacion y estructuras de datos utilizando distintos lenguajes y control de versiones para resolver problemas de organización y almacenamiento de datos de forma eficiente </v>
      </c>
      <c r="C27" s="61">
        <f>IFERROR(__xludf.DUMMYFUNCTION("""COMPUTED_VALUE"""),3.0)</f>
        <v>3</v>
      </c>
      <c r="D27" s="61" t="str">
        <f>IFERROR(__xludf.DUMMYFUNCTION("""COMPUTED_VALUE"""),"Variantes de listas enlazadas: parte 3")</f>
        <v>Variantes de listas enlazadas: parte 3</v>
      </c>
      <c r="E27" s="61" t="str">
        <f>IFERROR(__xludf.DUMMYFUNCTION("""COMPUTED_VALUE"""),"Caracteristicas lista de listas")</f>
        <v>Caracteristicas lista de listas</v>
      </c>
      <c r="F27" s="70" t="str">
        <f>IFERROR(__xludf.DUMMYFUNCTION("""COMPUTED_VALUE"""),"Agosto")</f>
        <v>Agosto</v>
      </c>
      <c r="G27" s="70">
        <f>IFERROR(__xludf.DUMMYFUNCTION("""COMPUTED_VALUE"""),4.0)</f>
        <v>4</v>
      </c>
    </row>
    <row r="28">
      <c r="A28" s="70">
        <f>IFERROR(__xludf.DUMMYFUNCTION("""COMPUTED_VALUE"""),31.0)</f>
        <v>31</v>
      </c>
      <c r="B28" s="61" t="str">
        <f>IFERROR(__xludf.DUMMYFUNCTION("""COMPUTED_VALUE"""),"Aplica principios de programacion y estructuras de datos utilizando distintos lenguajes y control de versiones para resolver problemas de organización y almacenamiento de datos de forma eficiente ")</f>
        <v>Aplica principios de programacion y estructuras de datos utilizando distintos lenguajes y control de versiones para resolver problemas de organización y almacenamiento de datos de forma eficiente </v>
      </c>
      <c r="C28" s="61">
        <f>IFERROR(__xludf.DUMMYFUNCTION("""COMPUTED_VALUE"""),3.0)</f>
        <v>3</v>
      </c>
      <c r="D28" s="61" t="str">
        <f>IFERROR(__xludf.DUMMYFUNCTION("""COMPUTED_VALUE"""),"Variantes de listas enlazadas: parte 4")</f>
        <v>Variantes de listas enlazadas: parte 4</v>
      </c>
      <c r="E28" s="61" t="str">
        <f>IFERROR(__xludf.DUMMYFUNCTION("""COMPUTED_VALUE"""),"Operaciones de una lista de listas")</f>
        <v>Operaciones de una lista de listas</v>
      </c>
      <c r="F28" s="70" t="str">
        <f>IFERROR(__xludf.DUMMYFUNCTION("""COMPUTED_VALUE"""),"Agosto")</f>
        <v>Agosto</v>
      </c>
      <c r="G28" s="70">
        <f>IFERROR(__xludf.DUMMYFUNCTION("""COMPUTED_VALUE"""),4.0)</f>
        <v>4</v>
      </c>
    </row>
    <row r="29">
      <c r="A29" s="70">
        <f>IFERROR(__xludf.DUMMYFUNCTION("""COMPUTED_VALUE"""),32.0)</f>
        <v>32</v>
      </c>
      <c r="B29" s="61" t="str">
        <f>IFERROR(__xludf.DUMMYFUNCTION("""COMPUTED_VALUE"""),"Analiza el comportamiento de algoritmos sobre distintas estructuras de datos utilizando técnicas de análisis de casos y notración O grande para seleccionar solucioens ótimas  ")</f>
        <v>Analiza el comportamiento de algoritmos sobre distintas estructuras de datos utilizando técnicas de análisis de casos y notración O grande para seleccionar solucioens ótimas  </v>
      </c>
      <c r="C29" s="61">
        <f>IFERROR(__xludf.DUMMYFUNCTION("""COMPUTED_VALUE"""),3.0)</f>
        <v>3</v>
      </c>
      <c r="D29" s="61" t="str">
        <f>IFERROR(__xludf.DUMMYFUNCTION("""COMPUTED_VALUE"""),"Variantes de listas enlazadas: parte 5")</f>
        <v>Variantes de listas enlazadas: parte 5</v>
      </c>
      <c r="E29" s="61" t="str">
        <f>IFERROR(__xludf.DUMMYFUNCTION("""COMPUTED_VALUE"""),"Definición de mapeo lexicográfico")</f>
        <v>Definición de mapeo lexicográfico</v>
      </c>
      <c r="F29" s="70" t="str">
        <f>IFERROR(__xludf.DUMMYFUNCTION("""COMPUTED_VALUE"""),"Agosto")</f>
        <v>Agosto</v>
      </c>
      <c r="G29" s="70">
        <f>IFERROR(__xludf.DUMMYFUNCTION("""COMPUTED_VALUE"""),5.0)</f>
        <v>5</v>
      </c>
    </row>
    <row r="30">
      <c r="A30" s="70">
        <f>IFERROR(__xludf.DUMMYFUNCTION("""COMPUTED_VALUE"""),33.0)</f>
        <v>33</v>
      </c>
      <c r="B30" s="61" t="str">
        <f>IFERROR(__xludf.DUMMYFUNCTION("""COMPUTED_VALUE"""),"Analiza el comportamiento de algoritmos sobre distintas estructuras de datos utilizando técnicas de análisis de casos y notración O grande para seleccionar solucioens ótimas  ")</f>
        <v>Analiza el comportamiento de algoritmos sobre distintas estructuras de datos utilizando técnicas de análisis de casos y notración O grande para seleccionar solucioens ótimas  </v>
      </c>
      <c r="C30" s="61">
        <f>IFERROR(__xludf.DUMMYFUNCTION("""COMPUTED_VALUE"""),3.0)</f>
        <v>3</v>
      </c>
      <c r="D30" s="61" t="str">
        <f>IFERROR(__xludf.DUMMYFUNCTION("""COMPUTED_VALUE"""),"Variantes de listas enlazadas: parte 6")</f>
        <v>Variantes de listas enlazadas: parte 6</v>
      </c>
      <c r="E30" s="61" t="str">
        <f>IFERROR(__xludf.DUMMYFUNCTION("""COMPUTED_VALUE"""),"Tipos de mapeo lexicográfico (row-major y column-major)")</f>
        <v>Tipos de mapeo lexicográfico (row-major y column-major)</v>
      </c>
      <c r="F30" s="70" t="str">
        <f>IFERROR(__xludf.DUMMYFUNCTION("""COMPUTED_VALUE"""),"Agosto")</f>
        <v>Agosto</v>
      </c>
      <c r="G30" s="70">
        <f>IFERROR(__xludf.DUMMYFUNCTION("""COMPUTED_VALUE"""),5.0)</f>
        <v>5</v>
      </c>
    </row>
    <row r="31">
      <c r="A31" s="70">
        <f>IFERROR(__xludf.DUMMYFUNCTION("""COMPUTED_VALUE"""),36.0)</f>
        <v>36</v>
      </c>
      <c r="B31" s="61" t="str">
        <f>IFERROR(__xludf.DUMMYFUNCTION("""COMPUTED_VALUE"""),"Diseña algoritmos de búsqueda, ordenamiento y comprensión de datos integrando análisis de complejidad y estructuras eficientes para mejorar el rendimiento en el procesamiento de información ")</f>
        <v>Diseña algoritmos de búsqueda, ordenamiento y comprensión de datos integrando análisis de complejidad y estructuras eficientes para mejorar el rendimiento en el procesamiento de información </v>
      </c>
      <c r="C31" s="61">
        <f>IFERROR(__xludf.DUMMYFUNCTION("""COMPUTED_VALUE"""),3.0)</f>
        <v>3</v>
      </c>
      <c r="D31" s="61" t="str">
        <f>IFERROR(__xludf.DUMMYFUNCTION("""COMPUTED_VALUE"""),"Algoritmos de ordenamiento y búsqueda")</f>
        <v>Algoritmos de ordenamiento y búsqueda</v>
      </c>
      <c r="E31" s="61" t="str">
        <f>IFERROR(__xludf.DUMMYFUNCTION("""COMPUTED_VALUE"""),"Algoritmos de ordenamieto")</f>
        <v>Algoritmos de ordenamieto</v>
      </c>
      <c r="F31" s="70" t="str">
        <f>IFERROR(__xludf.DUMMYFUNCTION("""COMPUTED_VALUE"""),"Agosto")</f>
        <v>Agosto</v>
      </c>
      <c r="G31" s="70">
        <f>IFERROR(__xludf.DUMMYFUNCTION("""COMPUTED_VALUE"""),5.0)</f>
        <v>5</v>
      </c>
    </row>
    <row r="32">
      <c r="A32" s="70">
        <f>IFERROR(__xludf.DUMMYFUNCTION("""COMPUTED_VALUE"""),37.0)</f>
        <v>37</v>
      </c>
      <c r="B32" s="61" t="str">
        <f>IFERROR(__xludf.DUMMYFUNCTION("""COMPUTED_VALUE"""),"Diseña algoritmos de búsqueda, ordenamiento y comprensión de datos integrando análisis de complejidad y estructuras eficientes para mejorar el rendimiento en el procesamiento de información ")</f>
        <v>Diseña algoritmos de búsqueda, ordenamiento y comprensión de datos integrando análisis de complejidad y estructuras eficientes para mejorar el rendimiento en el procesamiento de información </v>
      </c>
      <c r="C32" s="61">
        <f>IFERROR(__xludf.DUMMYFUNCTION("""COMPUTED_VALUE"""),3.0)</f>
        <v>3</v>
      </c>
      <c r="D32" s="61" t="str">
        <f>IFERROR(__xludf.DUMMYFUNCTION("""COMPUTED_VALUE"""),"Algoritmos de ordenamiento y búsqueda")</f>
        <v>Algoritmos de ordenamiento y búsqueda</v>
      </c>
      <c r="E32" s="61" t="str">
        <f>IFERROR(__xludf.DUMMYFUNCTION("""COMPUTED_VALUE"""),"Algoritmos de busqueda")</f>
        <v>Algoritmos de busqueda</v>
      </c>
      <c r="F32" s="70" t="str">
        <f>IFERROR(__xludf.DUMMYFUNCTION("""COMPUTED_VALUE"""),"Agosto")</f>
        <v>Agosto</v>
      </c>
      <c r="G32" s="70">
        <f>IFERROR(__xludf.DUMMYFUNCTION("""COMPUTED_VALUE"""),5.0)</f>
        <v>5</v>
      </c>
    </row>
    <row r="33">
      <c r="A33" s="70">
        <f>IFERROR(__xludf.DUMMYFUNCTION("""COMPUTED_VALUE"""),39.0)</f>
        <v>39</v>
      </c>
      <c r="B33" s="61" t="str">
        <f>IFERROR(__xludf.DUMMYFUNCTION("""COMPUTED_VALUE"""),"Diseña algoritmos de búsqueda, ordenamiento y comprensión de datos integrando análisis de complejidad y estructuras eficientes para mejorar el rendimiento en el procesamiento de información ")</f>
        <v>Diseña algoritmos de búsqueda, ordenamiento y comprensión de datos integrando análisis de complejidad y estructuras eficientes para mejorar el rendimiento en el procesamiento de información </v>
      </c>
      <c r="C33" s="61">
        <f>IFERROR(__xludf.DUMMYFUNCTION("""COMPUTED_VALUE"""),3.0)</f>
        <v>3</v>
      </c>
      <c r="D33" s="61" t="str">
        <f>IFERROR(__xludf.DUMMYFUNCTION("""COMPUTED_VALUE"""),"Algoritmos de ordenamiento y búsqueda")</f>
        <v>Algoritmos de ordenamiento y búsqueda</v>
      </c>
      <c r="E33" s="61" t="str">
        <f>IFERROR(__xludf.DUMMYFUNCTION("""COMPUTED_VALUE"""),"Aplicacion de algoritmos")</f>
        <v>Aplicacion de algoritmos</v>
      </c>
      <c r="F33" s="70" t="str">
        <f>IFERROR(__xludf.DUMMYFUNCTION("""COMPUTED_VALUE"""),"Agosto")</f>
        <v>Agosto</v>
      </c>
      <c r="G33" s="70">
        <f>IFERROR(__xludf.DUMMYFUNCTION("""COMPUTED_VALUE"""),5.0)</f>
        <v>5</v>
      </c>
    </row>
    <row r="34">
      <c r="A34" s="70">
        <f>IFERROR(__xludf.DUMMYFUNCTION("""COMPUTED_VALUE"""),40.0)</f>
        <v>40</v>
      </c>
      <c r="B34" s="61" t="str">
        <f>IFERROR(__xludf.DUMMYFUNCTION("""COMPUTED_VALUE"""),"Diseña algoritmos de búsqueda, ordenamiento y comprensión de datos integrando análisis de complejidad y estructuras eficientes para mejorar el rendimiento en el procesamiento de información ")</f>
        <v>Diseña algoritmos de búsqueda, ordenamiento y comprensión de datos integrando análisis de complejidad y estructuras eficientes para mejorar el rendimiento en el procesamiento de información </v>
      </c>
      <c r="C34" s="61">
        <f>IFERROR(__xludf.DUMMYFUNCTION("""COMPUTED_VALUE"""),3.0)</f>
        <v>3</v>
      </c>
      <c r="D34" s="61" t="str">
        <f>IFERROR(__xludf.DUMMYFUNCTION("""COMPUTED_VALUE"""),"Algoritmos de ordenamiento y búsqueda")</f>
        <v>Algoritmos de ordenamiento y búsqueda</v>
      </c>
      <c r="E34" s="61" t="str">
        <f>IFERROR(__xludf.DUMMYFUNCTION("""COMPUTED_VALUE"""),"Taller practico: Algoritmos de ordenamiento")</f>
        <v>Taller practico: Algoritmos de ordenamiento</v>
      </c>
      <c r="F34" s="70" t="str">
        <f>IFERROR(__xludf.DUMMYFUNCTION("""COMPUTED_VALUE"""),"Agosto")</f>
        <v>Agosto</v>
      </c>
      <c r="G34" s="70">
        <f>IFERROR(__xludf.DUMMYFUNCTION("""COMPUTED_VALUE"""),5.0)</f>
        <v>5</v>
      </c>
    </row>
    <row r="35">
      <c r="A35" s="70">
        <f>IFERROR(__xludf.DUMMYFUNCTION("""COMPUTED_VALUE"""),41.0)</f>
        <v>41</v>
      </c>
      <c r="B35" s="61" t="str">
        <f>IFERROR(__xludf.DUMMYFUNCTION("""COMPUTED_VALUE"""),"Diseña algoritmos de búsqueda, ordenamiento y comprensión de datos integrando análisis de complejidad y estructuras eficientes para mejorar el rendimiento en el procesamiento de información ")</f>
        <v>Diseña algoritmos de búsqueda, ordenamiento y comprensión de datos integrando análisis de complejidad y estructuras eficientes para mejorar el rendimiento en el procesamiento de información </v>
      </c>
      <c r="C35" s="61">
        <f>IFERROR(__xludf.DUMMYFUNCTION("""COMPUTED_VALUE"""),3.0)</f>
        <v>3</v>
      </c>
      <c r="D35" s="61" t="str">
        <f>IFERROR(__xludf.DUMMYFUNCTION("""COMPUTED_VALUE"""),"Algoritmos de ordenamiento y búsqueda")</f>
        <v>Algoritmos de ordenamiento y búsqueda</v>
      </c>
      <c r="E35" s="61" t="str">
        <f>IFERROR(__xludf.DUMMYFUNCTION("""COMPUTED_VALUE"""),"Taller practico: Algoritmos de busqueda")</f>
        <v>Taller practico: Algoritmos de busqueda</v>
      </c>
      <c r="F35" s="70" t="str">
        <f>IFERROR(__xludf.DUMMYFUNCTION("""COMPUTED_VALUE"""),"Agosto")</f>
        <v>Agosto</v>
      </c>
      <c r="G35" s="70">
        <f>IFERROR(__xludf.DUMMYFUNCTION("""COMPUTED_VALUE"""),5.0)</f>
        <v>5</v>
      </c>
    </row>
    <row r="36">
      <c r="A36" s="70">
        <f>IFERROR(__xludf.DUMMYFUNCTION("""COMPUTED_VALUE"""),43.0)</f>
        <v>43</v>
      </c>
      <c r="B36" s="61" t="str">
        <f>IFERROR(__xludf.DUMMYFUNCTION("""COMPUTED_VALUE"""),"Aplica principios de programacion y estructuras de datos utilizando distintos lenguajes y control de versiones para resolver problemas de organización y almacenamiento de datos de forma eficiente ")</f>
        <v>Aplica principios de programacion y estructuras de datos utilizando distintos lenguajes y control de versiones para resolver problemas de organización y almacenamiento de datos de forma eficiente </v>
      </c>
      <c r="C36" s="61">
        <f>IFERROR(__xludf.DUMMYFUNCTION("""COMPUTED_VALUE"""),4.0)</f>
        <v>4</v>
      </c>
      <c r="D36" s="61" t="str">
        <f>IFERROR(__xludf.DUMMYFUNCTION("""COMPUTED_VALUE"""),"Matrices")</f>
        <v>Matrices</v>
      </c>
      <c r="E36" s="61" t="str">
        <f>IFERROR(__xludf.DUMMYFUNCTION("""COMPUTED_VALUE"""),"Matriz dispersa")</f>
        <v>Matriz dispersa</v>
      </c>
      <c r="F36" s="70" t="str">
        <f>IFERROR(__xludf.DUMMYFUNCTION("""COMPUTED_VALUE"""),"Agosto")</f>
        <v>Agosto</v>
      </c>
      <c r="G36" s="70">
        <f>IFERROR(__xludf.DUMMYFUNCTION("""COMPUTED_VALUE"""),6.0)</f>
        <v>6</v>
      </c>
    </row>
    <row r="37">
      <c r="A37" s="70">
        <f>IFERROR(__xludf.DUMMYFUNCTION("""COMPUTED_VALUE"""),45.0)</f>
        <v>45</v>
      </c>
      <c r="B37" s="61" t="str">
        <f>IFERROR(__xludf.DUMMYFUNCTION("""COMPUTED_VALUE"""),"Aplica principios de programacion y estructuras de datos utilizando distintos lenguajes y control de versiones para resolver problemas de organización y almacenamiento de datos de forma eficiente ")</f>
        <v>Aplica principios de programacion y estructuras de datos utilizando distintos lenguajes y control de versiones para resolver problemas de organización y almacenamiento de datos de forma eficiente </v>
      </c>
      <c r="C37" s="61">
        <f>IFERROR(__xludf.DUMMYFUNCTION("""COMPUTED_VALUE"""),4.0)</f>
        <v>4</v>
      </c>
      <c r="D37" s="61" t="str">
        <f>IFERROR(__xludf.DUMMYFUNCTION("""COMPUTED_VALUE"""),"Matrices")</f>
        <v>Matrices</v>
      </c>
      <c r="E37" s="61" t="str">
        <f>IFERROR(__xludf.DUMMYFUNCTION("""COMPUTED_VALUE"""),"Analisis de complejidad")</f>
        <v>Analisis de complejidad</v>
      </c>
      <c r="F37" s="70" t="str">
        <f>IFERROR(__xludf.DUMMYFUNCTION("""COMPUTED_VALUE"""),"Agosto")</f>
        <v>Agosto</v>
      </c>
      <c r="G37" s="70">
        <f>IFERROR(__xludf.DUMMYFUNCTION("""COMPUTED_VALUE"""),6.0)</f>
        <v>6</v>
      </c>
    </row>
    <row r="38">
      <c r="A38" s="70">
        <f>IFERROR(__xludf.DUMMYFUNCTION("""COMPUTED_VALUE"""),46.0)</f>
        <v>46</v>
      </c>
      <c r="B38" s="61" t="str">
        <f>IFERROR(__xludf.DUMMYFUNCTION("""COMPUTED_VALUE"""),"Aplica principios de programacion y estructuras de datos utilizando distintos lenguajes y control de versiones para resolver problemas de organización y almacenamiento de datos de forma eficiente ")</f>
        <v>Aplica principios de programacion y estructuras de datos utilizando distintos lenguajes y control de versiones para resolver problemas de organización y almacenamiento de datos de forma eficiente </v>
      </c>
      <c r="C38" s="61">
        <f>IFERROR(__xludf.DUMMYFUNCTION("""COMPUTED_VALUE"""),4.0)</f>
        <v>4</v>
      </c>
      <c r="D38" s="61" t="str">
        <f>IFERROR(__xludf.DUMMYFUNCTION("""COMPUTED_VALUE"""),"Matrices")</f>
        <v>Matrices</v>
      </c>
      <c r="E38" s="61" t="str">
        <f>IFERROR(__xludf.DUMMYFUNCTION("""COMPUTED_VALUE"""),"Recorridos y búsquedas")</f>
        <v>Recorridos y búsquedas</v>
      </c>
      <c r="F38" s="70" t="str">
        <f>IFERROR(__xludf.DUMMYFUNCTION("""COMPUTED_VALUE"""),"Agosto")</f>
        <v>Agosto</v>
      </c>
      <c r="G38" s="70">
        <f>IFERROR(__xludf.DUMMYFUNCTION("""COMPUTED_VALUE"""),6.0)</f>
        <v>6</v>
      </c>
    </row>
    <row r="39">
      <c r="A39" s="70">
        <f>IFERROR(__xludf.DUMMYFUNCTION("""COMPUTED_VALUE"""),47.0)</f>
        <v>47</v>
      </c>
      <c r="B39" s="61" t="str">
        <f>IFERROR(__xludf.DUMMYFUNCTION("""COMPUTED_VALUE"""),"Diseña algoritmos de búsqueda, ordenamiento y comprensión de datos integrando análisis de complejidad y estructuras eficientes para mejorar el rendimiento en el procesamiento de información ")</f>
        <v>Diseña algoritmos de búsqueda, ordenamiento y comprensión de datos integrando análisis de complejidad y estructuras eficientes para mejorar el rendimiento en el procesamiento de información </v>
      </c>
      <c r="C39" s="61">
        <f>IFERROR(__xludf.DUMMYFUNCTION("""COMPUTED_VALUE"""),4.0)</f>
        <v>4</v>
      </c>
      <c r="D39" s="61" t="str">
        <f>IFERROR(__xludf.DUMMYFUNCTION("""COMPUTED_VALUE"""),"Matrices")</f>
        <v>Matrices</v>
      </c>
      <c r="E39" s="61" t="str">
        <f>IFERROR(__xludf.DUMMYFUNCTION("""COMPUTED_VALUE"""),"Comparacion entre matrices")</f>
        <v>Comparacion entre matrices</v>
      </c>
      <c r="F39" s="70" t="str">
        <f>IFERROR(__xludf.DUMMYFUNCTION("""COMPUTED_VALUE"""),"Agosto")</f>
        <v>Agosto</v>
      </c>
      <c r="G39" s="70">
        <f>IFERROR(__xludf.DUMMYFUNCTION("""COMPUTED_VALUE"""),6.0)</f>
        <v>6</v>
      </c>
    </row>
    <row r="40">
      <c r="A40" s="70">
        <f>IFERROR(__xludf.DUMMYFUNCTION("""COMPUTED_VALUE"""),50.0)</f>
        <v>50</v>
      </c>
      <c r="B40" s="61" t="str">
        <f>IFERROR(__xludf.DUMMYFUNCTION("""COMPUTED_VALUE"""),"Implementa estructuras de datos como listas, pilas, colas y árobles empleando programación orientada a objetos y puntos  para desarrollar soluciones modulares y eficienteas ")</f>
        <v>Implementa estructuras de datos como listas, pilas, colas y árobles empleando programación orientada a objetos y puntos  para desarrollar soluciones modulares y eficienteas </v>
      </c>
      <c r="C40" s="61">
        <f>IFERROR(__xludf.DUMMYFUNCTION("""COMPUTED_VALUE"""),5.0)</f>
        <v>5</v>
      </c>
      <c r="D40" s="61" t="str">
        <f>IFERROR(__xludf.DUMMYFUNCTION("""COMPUTED_VALUE"""),"Árbol binario de búsqueda (BST)")</f>
        <v>Árbol binario de búsqueda (BST)</v>
      </c>
      <c r="E40" s="61" t="str">
        <f>IFERROR(__xludf.DUMMYFUNCTION("""COMPUTED_VALUE"""),"Caracteristicas")</f>
        <v>Caracteristicas</v>
      </c>
      <c r="F40" s="70" t="str">
        <f>IFERROR(__xludf.DUMMYFUNCTION("""COMPUTED_VALUE"""),"Septiembre")</f>
        <v>Septiembre</v>
      </c>
      <c r="G40" s="70">
        <f>IFERROR(__xludf.DUMMYFUNCTION("""COMPUTED_VALUE"""),7.0)</f>
        <v>7</v>
      </c>
    </row>
    <row r="41">
      <c r="A41" s="70">
        <f>IFERROR(__xludf.DUMMYFUNCTION("""COMPUTED_VALUE"""),51.0)</f>
        <v>51</v>
      </c>
      <c r="B41" s="61" t="str">
        <f>IFERROR(__xludf.DUMMYFUNCTION("""COMPUTED_VALUE"""),"Implementa estructuras de datos como listas, pilas, colas y árobles empleando programación orientada a objetos y puntos  para desarrollar soluciones modulares y eficienteas ")</f>
        <v>Implementa estructuras de datos como listas, pilas, colas y árobles empleando programación orientada a objetos y puntos  para desarrollar soluciones modulares y eficienteas </v>
      </c>
      <c r="C41" s="61">
        <f>IFERROR(__xludf.DUMMYFUNCTION("""COMPUTED_VALUE"""),5.0)</f>
        <v>5</v>
      </c>
      <c r="D41" s="61" t="str">
        <f>IFERROR(__xludf.DUMMYFUNCTION("""COMPUTED_VALUE"""),"Árbol binario de búsqueda (BST)")</f>
        <v>Árbol binario de búsqueda (BST)</v>
      </c>
      <c r="E41" s="61" t="str">
        <f>IFERROR(__xludf.DUMMYFUNCTION("""COMPUTED_VALUE"""),"Operaciones principales de un arbol")</f>
        <v>Operaciones principales de un arbol</v>
      </c>
      <c r="F41" s="70" t="str">
        <f>IFERROR(__xludf.DUMMYFUNCTION("""COMPUTED_VALUE"""),"Septiembre")</f>
        <v>Septiembre</v>
      </c>
      <c r="G41" s="70">
        <f>IFERROR(__xludf.DUMMYFUNCTION("""COMPUTED_VALUE"""),7.0)</f>
        <v>7</v>
      </c>
    </row>
    <row r="42">
      <c r="A42" s="70">
        <f>IFERROR(__xludf.DUMMYFUNCTION("""COMPUTED_VALUE"""),54.0)</f>
        <v>54</v>
      </c>
      <c r="B42" s="61" t="str">
        <f>IFERROR(__xludf.DUMMYFUNCTION("""COMPUTED_VALUE"""),"Implementa estructuras de datos como listas, pilas, colas y árobles empleando programación orientada a objetos y puntos  para desarrollar soluciones modulares y eficienteas ")</f>
        <v>Implementa estructuras de datos como listas, pilas, colas y árobles empleando programación orientada a objetos y puntos  para desarrollar soluciones modulares y eficienteas </v>
      </c>
      <c r="C42" s="61">
        <f>IFERROR(__xludf.DUMMYFUNCTION("""COMPUTED_VALUE"""),5.0)</f>
        <v>5</v>
      </c>
      <c r="D42" s="61" t="str">
        <f>IFERROR(__xludf.DUMMYFUNCTION("""COMPUTED_VALUE"""),"Árbol binario de búsqueda (BST)")</f>
        <v>Árbol binario de búsqueda (BST)</v>
      </c>
      <c r="E42" s="61" t="str">
        <f>IFERROR(__xludf.DUMMYFUNCTION("""COMPUTED_VALUE"""),"Variantes del BST")</f>
        <v>Variantes del BST</v>
      </c>
      <c r="F42" s="70" t="str">
        <f>IFERROR(__xludf.DUMMYFUNCTION("""COMPUTED_VALUE"""),"Septiembre")</f>
        <v>Septiembre</v>
      </c>
      <c r="G42" s="70">
        <f>IFERROR(__xludf.DUMMYFUNCTION("""COMPUTED_VALUE"""),7.0)</f>
        <v>7</v>
      </c>
    </row>
    <row r="43">
      <c r="A43" s="70">
        <f>IFERROR(__xludf.DUMMYFUNCTION("""COMPUTED_VALUE"""),57.0)</f>
        <v>57</v>
      </c>
      <c r="B43" s="61" t="str">
        <f>IFERROR(__xludf.DUMMYFUNCTION("""COMPUTED_VALUE"""),"Implementa estructuras de datos como listas, pilas, colas y árobles empleando programación orientada a objetos y puntos  para desarrollar soluciones modulares y eficienteas ")</f>
        <v>Implementa estructuras de datos como listas, pilas, colas y árobles empleando programación orientada a objetos y puntos  para desarrollar soluciones modulares y eficienteas </v>
      </c>
      <c r="C43" s="61">
        <f>IFERROR(__xludf.DUMMYFUNCTION("""COMPUTED_VALUE"""),5.0)</f>
        <v>5</v>
      </c>
      <c r="D43" s="61" t="str">
        <f>IFERROR(__xludf.DUMMYFUNCTION("""COMPUTED_VALUE"""),"Árbol binario balanceado (AVL)")</f>
        <v>Árbol binario balanceado (AVL)</v>
      </c>
      <c r="E43" s="61" t="str">
        <f>IFERROR(__xludf.DUMMYFUNCTION("""COMPUTED_VALUE"""),"Caracteristicas")</f>
        <v>Caracteristicas</v>
      </c>
      <c r="F43" s="70" t="str">
        <f>IFERROR(__xludf.DUMMYFUNCTION("""COMPUTED_VALUE"""),"Septiembre")</f>
        <v>Septiembre</v>
      </c>
      <c r="G43" s="70">
        <f>IFERROR(__xludf.DUMMYFUNCTION("""COMPUTED_VALUE"""),7.0)</f>
        <v>7</v>
      </c>
    </row>
    <row r="44">
      <c r="A44" s="70">
        <f>IFERROR(__xludf.DUMMYFUNCTION("""COMPUTED_VALUE"""),58.0)</f>
        <v>58</v>
      </c>
      <c r="B44" s="61" t="str">
        <f>IFERROR(__xludf.DUMMYFUNCTION("""COMPUTED_VALUE"""),"Implementa estructuras de datos como listas, pilas, colas y árobles empleando programación orientada a objetos y puntos  para desarrollar soluciones modulares y eficienteas ")</f>
        <v>Implementa estructuras de datos como listas, pilas, colas y árobles empleando programación orientada a objetos y puntos  para desarrollar soluciones modulares y eficienteas </v>
      </c>
      <c r="C44" s="61">
        <f>IFERROR(__xludf.DUMMYFUNCTION("""COMPUTED_VALUE"""),5.0)</f>
        <v>5</v>
      </c>
      <c r="D44" s="61" t="str">
        <f>IFERROR(__xludf.DUMMYFUNCTION("""COMPUTED_VALUE"""),"Árbol binario balanceado (AVL)")</f>
        <v>Árbol binario balanceado (AVL)</v>
      </c>
      <c r="E44" s="61" t="str">
        <f>IFERROR(__xludf.DUMMYFUNCTION("""COMPUTED_VALUE"""),"Operaciones principales del arbol")</f>
        <v>Operaciones principales del arbol</v>
      </c>
      <c r="F44" s="70" t="str">
        <f>IFERROR(__xludf.DUMMYFUNCTION("""COMPUTED_VALUE"""),"Septiembre")</f>
        <v>Septiembre</v>
      </c>
      <c r="G44" s="70">
        <f>IFERROR(__xludf.DUMMYFUNCTION("""COMPUTED_VALUE"""),7.0)</f>
        <v>7</v>
      </c>
    </row>
    <row r="45">
      <c r="A45" s="70">
        <f>IFERROR(__xludf.DUMMYFUNCTION("""COMPUTED_VALUE"""),59.0)</f>
        <v>59</v>
      </c>
      <c r="B45" s="61" t="str">
        <f>IFERROR(__xludf.DUMMYFUNCTION("""COMPUTED_VALUE"""),"Implementa estructuras de datos como listas, pilas, colas y árobles empleando programación orientada a objetos y puntos  para desarrollar soluciones modulares y eficienteas ")</f>
        <v>Implementa estructuras de datos como listas, pilas, colas y árobles empleando programación orientada a objetos y puntos  para desarrollar soluciones modulares y eficienteas </v>
      </c>
      <c r="C45" s="61">
        <f>IFERROR(__xludf.DUMMYFUNCTION("""COMPUTED_VALUE"""),5.0)</f>
        <v>5</v>
      </c>
      <c r="D45" s="61" t="str">
        <f>IFERROR(__xludf.DUMMYFUNCTION("""COMPUTED_VALUE"""),"Árbol binario balanceado (AVL)")</f>
        <v>Árbol binario balanceado (AVL)</v>
      </c>
      <c r="E45" s="61" t="str">
        <f>IFERROR(__xludf.DUMMYFUNCTION("""COMPUTED_VALUE"""),"Analisis de complejidad")</f>
        <v>Analisis de complejidad</v>
      </c>
      <c r="F45" s="70" t="str">
        <f>IFERROR(__xludf.DUMMYFUNCTION("""COMPUTED_VALUE"""),"Septiembre")</f>
        <v>Septiembre</v>
      </c>
      <c r="G45" s="70">
        <f>IFERROR(__xludf.DUMMYFUNCTION("""COMPUTED_VALUE"""),7.0)</f>
        <v>7</v>
      </c>
    </row>
    <row r="46">
      <c r="A46" s="70">
        <f>IFERROR(__xludf.DUMMYFUNCTION("""COMPUTED_VALUE"""),61.0)</f>
        <v>61</v>
      </c>
      <c r="B46" s="61" t="str">
        <f>IFERROR(__xludf.DUMMYFUNCTION("""COMPUTED_VALUE"""),"Implementa estructuras de datos como listas, pilas, colas y árobles empleando programación orientada a objetos y puntos  para desarrollar soluciones modulares y eficienteas ")</f>
        <v>Implementa estructuras de datos como listas, pilas, colas y árobles empleando programación orientada a objetos y puntos  para desarrollar soluciones modulares y eficienteas </v>
      </c>
      <c r="C46" s="61">
        <f>IFERROR(__xludf.DUMMYFUNCTION("""COMPUTED_VALUE"""),5.0)</f>
        <v>5</v>
      </c>
      <c r="D46" s="61" t="str">
        <f>IFERROR(__xludf.DUMMYFUNCTION("""COMPUTED_VALUE"""),"Árbol binario balanceado (AVL)")</f>
        <v>Árbol binario balanceado (AVL)</v>
      </c>
      <c r="E46" s="61" t="str">
        <f>IFERROR(__xludf.DUMMYFUNCTION("""COMPUTED_VALUE"""),"Autobalanceo")</f>
        <v>Autobalanceo</v>
      </c>
      <c r="F46" s="70" t="str">
        <f>IFERROR(__xludf.DUMMYFUNCTION("""COMPUTED_VALUE"""),"Septiembre")</f>
        <v>Septiembre</v>
      </c>
      <c r="G46" s="70">
        <f>IFERROR(__xludf.DUMMYFUNCTION("""COMPUTED_VALUE"""),7.0)</f>
        <v>7</v>
      </c>
    </row>
    <row r="47">
      <c r="A47" s="70">
        <f>IFERROR(__xludf.DUMMYFUNCTION("""COMPUTED_VALUE"""),64.0)</f>
        <v>64</v>
      </c>
      <c r="B47" s="61" t="str">
        <f>IFERROR(__xludf.DUMMYFUNCTION("""COMPUTED_VALUE"""),"Implementa estructuras de datos como listas, pilas, colas y árobles empleando programación orientada a objetos y puntos  para desarrollar soluciones modulares y eficienteas ")</f>
        <v>Implementa estructuras de datos como listas, pilas, colas y árobles empleando programación orientada a objetos y puntos  para desarrollar soluciones modulares y eficienteas </v>
      </c>
      <c r="C47" s="61">
        <f>IFERROR(__xludf.DUMMYFUNCTION("""COMPUTED_VALUE"""),5.0)</f>
        <v>5</v>
      </c>
      <c r="D47" s="61" t="str">
        <f>IFERROR(__xludf.DUMMYFUNCTION("""COMPUTED_VALUE"""),"Árbol B")</f>
        <v>Árbol B</v>
      </c>
      <c r="E47" s="61" t="str">
        <f>IFERROR(__xludf.DUMMYFUNCTION("""COMPUTED_VALUE"""),"Caracteristicas")</f>
        <v>Caracteristicas</v>
      </c>
      <c r="F47" s="70" t="str">
        <f>IFERROR(__xludf.DUMMYFUNCTION("""COMPUTED_VALUE"""),"Septiembre")</f>
        <v>Septiembre</v>
      </c>
      <c r="G47" s="70">
        <f>IFERROR(__xludf.DUMMYFUNCTION("""COMPUTED_VALUE"""),8.0)</f>
        <v>8</v>
      </c>
    </row>
    <row r="48">
      <c r="A48" s="70">
        <f>IFERROR(__xludf.DUMMYFUNCTION("""COMPUTED_VALUE"""),65.0)</f>
        <v>65</v>
      </c>
      <c r="B48" s="61" t="str">
        <f>IFERROR(__xludf.DUMMYFUNCTION("""COMPUTED_VALUE"""),"Implementa estructuras de datos como listas, pilas, colas y árobles empleando programación orientada a objetos y puntos  para desarrollar soluciones modulares y eficienteas ")</f>
        <v>Implementa estructuras de datos como listas, pilas, colas y árobles empleando programación orientada a objetos y puntos  para desarrollar soluciones modulares y eficienteas </v>
      </c>
      <c r="C48" s="61">
        <f>IFERROR(__xludf.DUMMYFUNCTION("""COMPUTED_VALUE"""),5.0)</f>
        <v>5</v>
      </c>
      <c r="D48" s="61" t="str">
        <f>IFERROR(__xludf.DUMMYFUNCTION("""COMPUTED_VALUE"""),"Árbol B")</f>
        <v>Árbol B</v>
      </c>
      <c r="E48" s="61" t="str">
        <f>IFERROR(__xludf.DUMMYFUNCTION("""COMPUTED_VALUE"""),"Operaciones principales del arbol")</f>
        <v>Operaciones principales del arbol</v>
      </c>
      <c r="F48" s="70" t="str">
        <f>IFERROR(__xludf.DUMMYFUNCTION("""COMPUTED_VALUE"""),"Septiembre")</f>
        <v>Septiembre</v>
      </c>
      <c r="G48" s="70">
        <f>IFERROR(__xludf.DUMMYFUNCTION("""COMPUTED_VALUE"""),8.0)</f>
        <v>8</v>
      </c>
    </row>
    <row r="49">
      <c r="A49" s="70">
        <f>IFERROR(__xludf.DUMMYFUNCTION("""COMPUTED_VALUE"""),66.0)</f>
        <v>66</v>
      </c>
      <c r="B49" s="61" t="str">
        <f>IFERROR(__xludf.DUMMYFUNCTION("""COMPUTED_VALUE"""),"Implementa estructuras de datos como listas, pilas, colas y árobles empleando programación orientada a objetos y puntos  para desarrollar soluciones modulares y eficienteas ")</f>
        <v>Implementa estructuras de datos como listas, pilas, colas y árobles empleando programación orientada a objetos y puntos  para desarrollar soluciones modulares y eficienteas </v>
      </c>
      <c r="C49" s="61">
        <f>IFERROR(__xludf.DUMMYFUNCTION("""COMPUTED_VALUE"""),5.0)</f>
        <v>5</v>
      </c>
      <c r="D49" s="61" t="str">
        <f>IFERROR(__xludf.DUMMYFUNCTION("""COMPUTED_VALUE"""),"Árbol B")</f>
        <v>Árbol B</v>
      </c>
      <c r="E49" s="61" t="str">
        <f>IFERROR(__xludf.DUMMYFUNCTION("""COMPUTED_VALUE"""),"Autoequilibrado")</f>
        <v>Autoequilibrado</v>
      </c>
      <c r="F49" s="70" t="str">
        <f>IFERROR(__xludf.DUMMYFUNCTION("""COMPUTED_VALUE"""),"Septiembre")</f>
        <v>Septiembre</v>
      </c>
      <c r="G49" s="70">
        <f>IFERROR(__xludf.DUMMYFUNCTION("""COMPUTED_VALUE"""),8.0)</f>
        <v>8</v>
      </c>
    </row>
    <row r="50">
      <c r="A50" s="70">
        <f>IFERROR(__xludf.DUMMYFUNCTION("""COMPUTED_VALUE"""),71.0)</f>
        <v>71</v>
      </c>
      <c r="B50" s="61" t="str">
        <f>IFERROR(__xludf.DUMMYFUNCTION("""COMPUTED_VALUE"""),"Maneja grandes volúmenes de datos estructurados y no estructurados aplicando estructuras de arboles, grafos y tablas hash para optimizar procesos y búsqueda y toma de decisiones ")</f>
        <v>Maneja grandes volúmenes de datos estructurados y no estructurados aplicando estructuras de arboles, grafos y tablas hash para optimizar procesos y búsqueda y toma de decisiones </v>
      </c>
      <c r="C50" s="61">
        <f>IFERROR(__xludf.DUMMYFUNCTION("""COMPUTED_VALUE"""),5.0)</f>
        <v>5</v>
      </c>
      <c r="D50" s="61" t="str">
        <f>IFERROR(__xludf.DUMMYFUNCTION("""COMPUTED_VALUE"""),"Grafos")</f>
        <v>Grafos</v>
      </c>
      <c r="E50" s="61" t="str">
        <f>IFERROR(__xludf.DUMMYFUNCTION("""COMPUTED_VALUE"""),"Introducción a Grafos")</f>
        <v>Introducción a Grafos</v>
      </c>
      <c r="F50" s="70" t="str">
        <f>IFERROR(__xludf.DUMMYFUNCTION("""COMPUTED_VALUE"""),"Septiembre")</f>
        <v>Septiembre</v>
      </c>
      <c r="G50" s="70">
        <f>IFERROR(__xludf.DUMMYFUNCTION("""COMPUTED_VALUE"""),8.0)</f>
        <v>8</v>
      </c>
    </row>
    <row r="51">
      <c r="A51" s="70">
        <f>IFERROR(__xludf.DUMMYFUNCTION("""COMPUTED_VALUE"""),72.0)</f>
        <v>72</v>
      </c>
      <c r="B51" s="61" t="str">
        <f>IFERROR(__xludf.DUMMYFUNCTION("""COMPUTED_VALUE"""),"Maneja grandes volúmenes de datos estructurados y no estructurados aplicando estructuras de arboles, grafos y tablas hash para optimizar procesos y búsqueda y toma de decisiones ")</f>
        <v>Maneja grandes volúmenes de datos estructurados y no estructurados aplicando estructuras de arboles, grafos y tablas hash para optimizar procesos y búsqueda y toma de decisiones </v>
      </c>
      <c r="C51" s="61">
        <f>IFERROR(__xludf.DUMMYFUNCTION("""COMPUTED_VALUE"""),5.0)</f>
        <v>5</v>
      </c>
      <c r="D51" s="61" t="str">
        <f>IFERROR(__xludf.DUMMYFUNCTION("""COMPUTED_VALUE"""),"Grafos")</f>
        <v>Grafos</v>
      </c>
      <c r="E51" s="61" t="str">
        <f>IFERROR(__xludf.DUMMYFUNCTION("""COMPUTED_VALUE"""),"Representación de Grafos")</f>
        <v>Representación de Grafos</v>
      </c>
      <c r="F51" s="70" t="str">
        <f>IFERROR(__xludf.DUMMYFUNCTION("""COMPUTED_VALUE"""),"Septiembre")</f>
        <v>Septiembre</v>
      </c>
      <c r="G51" s="70">
        <f>IFERROR(__xludf.DUMMYFUNCTION("""COMPUTED_VALUE"""),8.0)</f>
        <v>8</v>
      </c>
    </row>
    <row r="52">
      <c r="A52" s="70">
        <f>IFERROR(__xludf.DUMMYFUNCTION("""COMPUTED_VALUE"""),74.0)</f>
        <v>74</v>
      </c>
      <c r="B52" s="61" t="str">
        <f>IFERROR(__xludf.DUMMYFUNCTION("""COMPUTED_VALUE"""),"Maneja grandes volúmenes de datos estructurados y no estructurados aplicando estructuras de arboles, grafos y tablas hash para optimizar procesos y búsqueda y toma de decisiones ")</f>
        <v>Maneja grandes volúmenes de datos estructurados y no estructurados aplicando estructuras de arboles, grafos y tablas hash para optimizar procesos y búsqueda y toma de decisiones </v>
      </c>
      <c r="C52" s="61">
        <f>IFERROR(__xludf.DUMMYFUNCTION("""COMPUTED_VALUE"""),5.0)</f>
        <v>5</v>
      </c>
      <c r="D52" s="61" t="str">
        <f>IFERROR(__xludf.DUMMYFUNCTION("""COMPUTED_VALUE"""),"Grafos")</f>
        <v>Grafos</v>
      </c>
      <c r="E52" s="61" t="str">
        <f>IFERROR(__xludf.DUMMYFUNCTION("""COMPUTED_VALUE"""),"Aplicaciones de Grafos")</f>
        <v>Aplicaciones de Grafos</v>
      </c>
      <c r="F52" s="70" t="str">
        <f>IFERROR(__xludf.DUMMYFUNCTION("""COMPUTED_VALUE"""),"Septiembre")</f>
        <v>Septiembre</v>
      </c>
      <c r="G52" s="70">
        <f>IFERROR(__xludf.DUMMYFUNCTION("""COMPUTED_VALUE"""),8.0)</f>
        <v>8</v>
      </c>
    </row>
    <row r="53">
      <c r="A53" s="70">
        <f>IFERROR(__xludf.DUMMYFUNCTION("""COMPUTED_VALUE"""),78.0)</f>
        <v>78</v>
      </c>
      <c r="B53" s="61" t="str">
        <f>IFERROR(__xludf.DUMMYFUNCTION("""COMPUTED_VALUE"""),"Utiliza técnias de hashing y comprensión  aplicando algoritmos como Huffman y Tablas Hash para optimizar el almacenamiento y recuperación de datos ")</f>
        <v>Utiliza técnias de hashing y comprensión  aplicando algoritmos como Huffman y Tablas Hash para optimizar el almacenamiento y recuperación de datos </v>
      </c>
      <c r="C53" s="61">
        <f>IFERROR(__xludf.DUMMYFUNCTION("""COMPUTED_VALUE"""),6.0)</f>
        <v>6</v>
      </c>
      <c r="D53" s="61" t="str">
        <f>IFERROR(__xludf.DUMMYFUNCTION("""COMPUTED_VALUE"""),"Tabla Hash")</f>
        <v>Tabla Hash</v>
      </c>
      <c r="E53" s="61" t="str">
        <f>IFERROR(__xludf.DUMMYFUNCTION("""COMPUTED_VALUE"""),"Introducción a Tablas de Dispersión")</f>
        <v>Introducción a Tablas de Dispersión</v>
      </c>
      <c r="F53" s="70" t="str">
        <f>IFERROR(__xludf.DUMMYFUNCTION("""COMPUTED_VALUE"""),"Octubre")</f>
        <v>Octubre</v>
      </c>
      <c r="G53" s="70">
        <f>IFERROR(__xludf.DUMMYFUNCTION("""COMPUTED_VALUE"""),9.0)</f>
        <v>9</v>
      </c>
    </row>
    <row r="54">
      <c r="A54" s="70">
        <f>IFERROR(__xludf.DUMMYFUNCTION("""COMPUTED_VALUE"""),79.0)</f>
        <v>79</v>
      </c>
      <c r="B54" s="61" t="str">
        <f>IFERROR(__xludf.DUMMYFUNCTION("""COMPUTED_VALUE"""),"Utiliza técnias de hashing y comprensión  aplicando algoritmos como Huffman y Tablas Hash para optimizar el almacenamiento y recuperación de datos ")</f>
        <v>Utiliza técnias de hashing y comprensión  aplicando algoritmos como Huffman y Tablas Hash para optimizar el almacenamiento y recuperación de datos </v>
      </c>
      <c r="C54" s="61">
        <f>IFERROR(__xludf.DUMMYFUNCTION("""COMPUTED_VALUE"""),6.0)</f>
        <v>6</v>
      </c>
      <c r="D54" s="61" t="str">
        <f>IFERROR(__xludf.DUMMYFUNCTION("""COMPUTED_VALUE"""),"Tabla Hash")</f>
        <v>Tabla Hash</v>
      </c>
      <c r="E54" s="61" t="str">
        <f>IFERROR(__xludf.DUMMYFUNCTION("""COMPUTED_VALUE"""),"Función de Dispersión (Hashing)")</f>
        <v>Función de Dispersión (Hashing)</v>
      </c>
      <c r="F54" s="70" t="str">
        <f>IFERROR(__xludf.DUMMYFUNCTION("""COMPUTED_VALUE"""),"Octubre")</f>
        <v>Octubre</v>
      </c>
      <c r="G54" s="70">
        <f>IFERROR(__xludf.DUMMYFUNCTION("""COMPUTED_VALUE"""),9.0)</f>
        <v>9</v>
      </c>
    </row>
    <row r="55">
      <c r="A55" s="70">
        <f>IFERROR(__xludf.DUMMYFUNCTION("""COMPUTED_VALUE"""),80.0)</f>
        <v>80</v>
      </c>
      <c r="B55" s="61" t="str">
        <f>IFERROR(__xludf.DUMMYFUNCTION("""COMPUTED_VALUE"""),"Utiliza técnias de hashing y comprensión  aplicando algoritmos como Huffman y Tablas Hash para optimizar el almacenamiento y recuperación de datos ")</f>
        <v>Utiliza técnias de hashing y comprensión  aplicando algoritmos como Huffman y Tablas Hash para optimizar el almacenamiento y recuperación de datos </v>
      </c>
      <c r="C55" s="61">
        <f>IFERROR(__xludf.DUMMYFUNCTION("""COMPUTED_VALUE"""),6.0)</f>
        <v>6</v>
      </c>
      <c r="D55" s="61" t="str">
        <f>IFERROR(__xludf.DUMMYFUNCTION("""COMPUTED_VALUE"""),"Tabla Hash")</f>
        <v>Tabla Hash</v>
      </c>
      <c r="E55" s="61" t="str">
        <f>IFERROR(__xludf.DUMMYFUNCTION("""COMPUTED_VALUE"""),"Resolución de Colisiones")</f>
        <v>Resolución de Colisiones</v>
      </c>
      <c r="F55" s="70" t="str">
        <f>IFERROR(__xludf.DUMMYFUNCTION("""COMPUTED_VALUE"""),"Octubre")</f>
        <v>Octubre</v>
      </c>
      <c r="G55" s="70">
        <f>IFERROR(__xludf.DUMMYFUNCTION("""COMPUTED_VALUE"""),9.0)</f>
        <v>9</v>
      </c>
    </row>
    <row r="56">
      <c r="A56" s="70">
        <f>IFERROR(__xludf.DUMMYFUNCTION("""COMPUTED_VALUE"""),81.0)</f>
        <v>81</v>
      </c>
      <c r="B56" s="61" t="str">
        <f>IFERROR(__xludf.DUMMYFUNCTION("""COMPUTED_VALUE"""),"Utiliza técnias de hashing y comprensión  aplicando algoritmos como Huffman y Tablas Hash para optimizar el almacenamiento y recuperación de datos ")</f>
        <v>Utiliza técnias de hashing y comprensión  aplicando algoritmos como Huffman y Tablas Hash para optimizar el almacenamiento y recuperación de datos </v>
      </c>
      <c r="C56" s="61">
        <f>IFERROR(__xludf.DUMMYFUNCTION("""COMPUTED_VALUE"""),6.0)</f>
        <v>6</v>
      </c>
      <c r="D56" s="61" t="str">
        <f>IFERROR(__xludf.DUMMYFUNCTION("""COMPUTED_VALUE"""),"Tabla Hash")</f>
        <v>Tabla Hash</v>
      </c>
      <c r="E56" s="61" t="str">
        <f>IFERROR(__xludf.DUMMYFUNCTION("""COMPUTED_VALUE"""),"Tamaño y Redispersión (Rehashing)")</f>
        <v>Tamaño y Redispersión (Rehashing)</v>
      </c>
      <c r="F56" s="70" t="str">
        <f>IFERROR(__xludf.DUMMYFUNCTION("""COMPUTED_VALUE"""),"Octubre")</f>
        <v>Octubre</v>
      </c>
      <c r="G56" s="70">
        <f>IFERROR(__xludf.DUMMYFUNCTION("""COMPUTED_VALUE"""),9.0)</f>
        <v>9</v>
      </c>
    </row>
    <row r="57">
      <c r="A57" s="70">
        <f>IFERROR(__xludf.DUMMYFUNCTION("""COMPUTED_VALUE"""),85.0)</f>
        <v>85</v>
      </c>
      <c r="B57" s="61" t="str">
        <f>IFERROR(__xludf.DUMMYFUNCTION("""COMPUTED_VALUE"""),"Desarrolla soluciones que integran blockchain y criptografía implementando algoritmos de consenso y cifrado para asegurar la integridad y seguridad de los datos ")</f>
        <v>Desarrolla soluciones que integran blockchain y criptografía implementando algoritmos de consenso y cifrado para asegurar la integridad y seguridad de los datos </v>
      </c>
      <c r="C57" s="61">
        <f>IFERROR(__xludf.DUMMYFUNCTION("""COMPUTED_VALUE"""),6.0)</f>
        <v>6</v>
      </c>
      <c r="D57" s="61" t="str">
        <f>IFERROR(__xludf.DUMMYFUNCTION("""COMPUTED_VALUE"""),"Blockchain")</f>
        <v>Blockchain</v>
      </c>
      <c r="E57" s="61" t="str">
        <f>IFERROR(__xludf.DUMMYFUNCTION("""COMPUTED_VALUE"""),"Introducción a Blockchain")</f>
        <v>Introducción a Blockchain</v>
      </c>
      <c r="F57" s="70" t="str">
        <f>IFERROR(__xludf.DUMMYFUNCTION("""COMPUTED_VALUE"""),"Octubre")</f>
        <v>Octubre</v>
      </c>
      <c r="G57" s="70">
        <f>IFERROR(__xludf.DUMMYFUNCTION("""COMPUTED_VALUE"""),9.0)</f>
        <v>9</v>
      </c>
    </row>
    <row r="58">
      <c r="A58" s="70">
        <f>IFERROR(__xludf.DUMMYFUNCTION("""COMPUTED_VALUE"""),86.0)</f>
        <v>86</v>
      </c>
      <c r="B58" s="61" t="str">
        <f>IFERROR(__xludf.DUMMYFUNCTION("""COMPUTED_VALUE"""),"Desarrolla soluciones que integran blockchain y criptografía implementando algoritmos de consenso y cifrado para asegurar la integridad y seguridad de los datos ")</f>
        <v>Desarrolla soluciones que integran blockchain y criptografía implementando algoritmos de consenso y cifrado para asegurar la integridad y seguridad de los datos </v>
      </c>
      <c r="C58" s="61">
        <f>IFERROR(__xludf.DUMMYFUNCTION("""COMPUTED_VALUE"""),6.0)</f>
        <v>6</v>
      </c>
      <c r="D58" s="61" t="str">
        <f>IFERROR(__xludf.DUMMYFUNCTION("""COMPUTED_VALUE"""),"Blockchain")</f>
        <v>Blockchain</v>
      </c>
      <c r="E58" s="61" t="str">
        <f>IFERROR(__xludf.DUMMYFUNCTION("""COMPUTED_VALUE"""),"Estructura de un Bloque")</f>
        <v>Estructura de un Bloque</v>
      </c>
      <c r="F58" s="70" t="str">
        <f>IFERROR(__xludf.DUMMYFUNCTION("""COMPUTED_VALUE"""),"Octubre")</f>
        <v>Octubre</v>
      </c>
      <c r="G58" s="70">
        <f>IFERROR(__xludf.DUMMYFUNCTION("""COMPUTED_VALUE"""),9.0)</f>
        <v>9</v>
      </c>
    </row>
    <row r="59">
      <c r="A59" s="70">
        <f>IFERROR(__xludf.DUMMYFUNCTION("""COMPUTED_VALUE"""),87.0)</f>
        <v>87</v>
      </c>
      <c r="B59" s="61" t="str">
        <f>IFERROR(__xludf.DUMMYFUNCTION("""COMPUTED_VALUE"""),"Desarrolla soluciones que integran blockchain y criptografía implementando algoritmos de consenso y cifrado para asegurar la integridad y seguridad de los datos ")</f>
        <v>Desarrolla soluciones que integran blockchain y criptografía implementando algoritmos de consenso y cifrado para asegurar la integridad y seguridad de los datos </v>
      </c>
      <c r="C59" s="61">
        <f>IFERROR(__xludf.DUMMYFUNCTION("""COMPUTED_VALUE"""),6.0)</f>
        <v>6</v>
      </c>
      <c r="D59" s="61" t="str">
        <f>IFERROR(__xludf.DUMMYFUNCTION("""COMPUTED_VALUE"""),"Blockchain")</f>
        <v>Blockchain</v>
      </c>
      <c r="E59" s="61" t="str">
        <f>IFERROR(__xludf.DUMMYFUNCTION("""COMPUTED_VALUE"""),"Algoritmo de Hashing en Blockchain")</f>
        <v>Algoritmo de Hashing en Blockchain</v>
      </c>
      <c r="F59" s="70" t="str">
        <f>IFERROR(__xludf.DUMMYFUNCTION("""COMPUTED_VALUE"""),"Octubre")</f>
        <v>Octubre</v>
      </c>
      <c r="G59" s="70">
        <f>IFERROR(__xludf.DUMMYFUNCTION("""COMPUTED_VALUE"""),9.0)</f>
        <v>9</v>
      </c>
    </row>
    <row r="60">
      <c r="A60" s="70">
        <f>IFERROR(__xludf.DUMMYFUNCTION("""COMPUTED_VALUE"""),92.0)</f>
        <v>92</v>
      </c>
      <c r="B60" s="61" t="str">
        <f>IFERROR(__xludf.DUMMYFUNCTION("""COMPUTED_VALUE"""),"Desarrolla soluciones que integran blockchain y criptografía implementando algoritmos de consenso y cifrado para asegurar la integridad y seguridad de los datos ")</f>
        <v>Desarrolla soluciones que integran blockchain y criptografía implementando algoritmos de consenso y cifrado para asegurar la integridad y seguridad de los datos </v>
      </c>
      <c r="C60" s="61">
        <f>IFERROR(__xludf.DUMMYFUNCTION("""COMPUTED_VALUE"""),6.0)</f>
        <v>6</v>
      </c>
      <c r="D60" s="61" t="str">
        <f>IFERROR(__xludf.DUMMYFUNCTION("""COMPUTED_VALUE"""),"Codificación, Encriptación y Árbol de Merkle")</f>
        <v>Codificación, Encriptación y Árbol de Merkle</v>
      </c>
      <c r="E60" s="61" t="str">
        <f>IFERROR(__xludf.DUMMYFUNCTION("""COMPUTED_VALUE"""),"Introducción a Codificación y Encriptación")</f>
        <v>Introducción a Codificación y Encriptación</v>
      </c>
      <c r="F60" s="70" t="str">
        <f>IFERROR(__xludf.DUMMYFUNCTION("""COMPUTED_VALUE"""),"Octubre")</f>
        <v>Octubre</v>
      </c>
      <c r="G60" s="70">
        <f>IFERROR(__xludf.DUMMYFUNCTION("""COMPUTED_VALUE"""),10.0)</f>
        <v>10</v>
      </c>
    </row>
    <row r="61">
      <c r="A61" s="70">
        <f>IFERROR(__xludf.DUMMYFUNCTION("""COMPUTED_VALUE"""),93.0)</f>
        <v>93</v>
      </c>
      <c r="B61" s="61" t="str">
        <f>IFERROR(__xludf.DUMMYFUNCTION("""COMPUTED_VALUE"""),"Desarrolla soluciones que integran blockchain y criptografía implementando algoritmos de consenso y cifrado para asegurar la integridad y seguridad de los datos ")</f>
        <v>Desarrolla soluciones que integran blockchain y criptografía implementando algoritmos de consenso y cifrado para asegurar la integridad y seguridad de los datos </v>
      </c>
      <c r="C61" s="61">
        <f>IFERROR(__xludf.DUMMYFUNCTION("""COMPUTED_VALUE"""),6.0)</f>
        <v>6</v>
      </c>
      <c r="D61" s="61" t="str">
        <f>IFERROR(__xludf.DUMMYFUNCTION("""COMPUTED_VALUE"""),"Codificación, Encriptación y Árbol de Merkle")</f>
        <v>Codificación, Encriptación y Árbol de Merkle</v>
      </c>
      <c r="E61" s="61" t="str">
        <f>IFERROR(__xludf.DUMMYFUNCTION("""COMPUTED_VALUE"""),"Codificación de Datos")</f>
        <v>Codificación de Datos</v>
      </c>
      <c r="F61" s="70" t="str">
        <f>IFERROR(__xludf.DUMMYFUNCTION("""COMPUTED_VALUE"""),"Octubre")</f>
        <v>Octubre</v>
      </c>
      <c r="G61" s="70">
        <f>IFERROR(__xludf.DUMMYFUNCTION("""COMPUTED_VALUE"""),10.0)</f>
        <v>10</v>
      </c>
    </row>
    <row r="62">
      <c r="A62" s="70">
        <f>IFERROR(__xludf.DUMMYFUNCTION("""COMPUTED_VALUE"""),94.0)</f>
        <v>94</v>
      </c>
      <c r="B62" s="61" t="str">
        <f>IFERROR(__xludf.DUMMYFUNCTION("""COMPUTED_VALUE"""),"Desarrolla soluciones que integran blockchain y criptografía implementando algoritmos de consenso y cifrado para asegurar la integridad y seguridad de los datos ")</f>
        <v>Desarrolla soluciones que integran blockchain y criptografía implementando algoritmos de consenso y cifrado para asegurar la integridad y seguridad de los datos </v>
      </c>
      <c r="C62" s="61">
        <f>IFERROR(__xludf.DUMMYFUNCTION("""COMPUTED_VALUE"""),6.0)</f>
        <v>6</v>
      </c>
      <c r="D62" s="61" t="str">
        <f>IFERROR(__xludf.DUMMYFUNCTION("""COMPUTED_VALUE"""),"Codificación, Encriptación y Árbol de Merkle")</f>
        <v>Codificación, Encriptación y Árbol de Merkle</v>
      </c>
      <c r="E62" s="61" t="str">
        <f>IFERROR(__xludf.DUMMYFUNCTION("""COMPUTED_VALUE"""),"Encriptación de Datos")</f>
        <v>Encriptación de Datos</v>
      </c>
      <c r="F62" s="70" t="str">
        <f>IFERROR(__xludf.DUMMYFUNCTION("""COMPUTED_VALUE"""),"Octubre")</f>
        <v>Octubre</v>
      </c>
      <c r="G62" s="70">
        <f>IFERROR(__xludf.DUMMYFUNCTION("""COMPUTED_VALUE"""),10.0)</f>
        <v>10</v>
      </c>
    </row>
    <row r="63">
      <c r="A63" s="70">
        <f>IFERROR(__xludf.DUMMYFUNCTION("""COMPUTED_VALUE"""),95.0)</f>
        <v>95</v>
      </c>
      <c r="B63" s="61" t="str">
        <f>IFERROR(__xludf.DUMMYFUNCTION("""COMPUTED_VALUE"""),"Desarrolla soluciones que integran blockchain y criptografía implementando algoritmos de consenso y cifrado para asegurar la integridad y seguridad de los datos ")</f>
        <v>Desarrolla soluciones que integran blockchain y criptografía implementando algoritmos de consenso y cifrado para asegurar la integridad y seguridad de los datos </v>
      </c>
      <c r="C63" s="61">
        <f>IFERROR(__xludf.DUMMYFUNCTION("""COMPUTED_VALUE"""),6.0)</f>
        <v>6</v>
      </c>
      <c r="D63" s="61" t="str">
        <f>IFERROR(__xludf.DUMMYFUNCTION("""COMPUTED_VALUE"""),"Codificación, Encriptación y Árbol de Merkle")</f>
        <v>Codificación, Encriptación y Árbol de Merkle</v>
      </c>
      <c r="E63" s="61" t="str">
        <f>IFERROR(__xludf.DUMMYFUNCTION("""COMPUTED_VALUE"""),"Árbol de Merkle")</f>
        <v>Árbol de Merkle</v>
      </c>
      <c r="F63" s="70" t="str">
        <f>IFERROR(__xludf.DUMMYFUNCTION("""COMPUTED_VALUE"""),"Octubre")</f>
        <v>Octubre</v>
      </c>
      <c r="G63" s="70">
        <f>IFERROR(__xludf.DUMMYFUNCTION("""COMPUTED_VALUE"""),10.0)</f>
        <v>10</v>
      </c>
    </row>
    <row r="64">
      <c r="A64" s="70">
        <f>IFERROR(__xludf.DUMMYFUNCTION("""COMPUTED_VALUE"""),96.0)</f>
        <v>96</v>
      </c>
      <c r="B64" s="61" t="str">
        <f>IFERROR(__xludf.DUMMYFUNCTION("""COMPUTED_VALUE"""),"Desarrolla soluciones que integran blockchain y criptografía implementando algoritmos de consenso y cifrado para asegurar la integridad y seguridad de los datos ")</f>
        <v>Desarrolla soluciones que integran blockchain y criptografía implementando algoritmos de consenso y cifrado para asegurar la integridad y seguridad de los datos </v>
      </c>
      <c r="C64" s="61">
        <f>IFERROR(__xludf.DUMMYFUNCTION("""COMPUTED_VALUE"""),6.0)</f>
        <v>6</v>
      </c>
      <c r="D64" s="61" t="str">
        <f>IFERROR(__xludf.DUMMYFUNCTION("""COMPUTED_VALUE"""),"Codificación, Encriptación y Árbol de Merkle")</f>
        <v>Codificación, Encriptación y Árbol de Merkle</v>
      </c>
      <c r="E64" s="61" t="str">
        <f>IFERROR(__xludf.DUMMYFUNCTION("""COMPUTED_VALUE"""),"Aplicaciones del Árbol de Merkle")</f>
        <v>Aplicaciones del Árbol de Merkle</v>
      </c>
      <c r="F64" s="70" t="str">
        <f>IFERROR(__xludf.DUMMYFUNCTION("""COMPUTED_VALUE"""),"Octubre")</f>
        <v>Octubre</v>
      </c>
      <c r="G64" s="70">
        <f>IFERROR(__xludf.DUMMYFUNCTION("""COMPUTED_VALUE"""),10.0)</f>
        <v>10</v>
      </c>
    </row>
    <row r="65">
      <c r="A65" s="70">
        <f>IFERROR(__xludf.DUMMYFUNCTION("""COMPUTED_VALUE"""),97.0)</f>
        <v>97</v>
      </c>
      <c r="B65" s="61" t="str">
        <f>IFERROR(__xludf.DUMMYFUNCTION("""COMPUTED_VALUE"""),"Desarrolla soluciones que integran blockchain y criptografía implementando algoritmos de consenso y cifrado para asegurar la integridad y seguridad de los datos ")</f>
        <v>Desarrolla soluciones que integran blockchain y criptografía implementando algoritmos de consenso y cifrado para asegurar la integridad y seguridad de los datos </v>
      </c>
      <c r="C65" s="61">
        <f>IFERROR(__xludf.DUMMYFUNCTION("""COMPUTED_VALUE"""),6.0)</f>
        <v>6</v>
      </c>
      <c r="D65" s="61" t="str">
        <f>IFERROR(__xludf.DUMMYFUNCTION("""COMPUTED_VALUE"""),"Codificación, Encriptación y Árbol de Merkle")</f>
        <v>Codificación, Encriptación y Árbol de Merkle</v>
      </c>
      <c r="E65" s="61" t="str">
        <f>IFERROR(__xludf.DUMMYFUNCTION("""COMPUTED_VALUE"""),"Seguridad y Eficiencia en Blockchain")</f>
        <v>Seguridad y Eficiencia en Blockchain</v>
      </c>
      <c r="F65" s="70" t="str">
        <f>IFERROR(__xludf.DUMMYFUNCTION("""COMPUTED_VALUE"""),"Octubre")</f>
        <v>Octubre</v>
      </c>
      <c r="G65" s="70">
        <f>IFERROR(__xludf.DUMMYFUNCTION("""COMPUTED_VALUE"""),10.0)</f>
        <v>10</v>
      </c>
    </row>
    <row r="66">
      <c r="A66" s="70">
        <f>IFERROR(__xludf.DUMMYFUNCTION("""COMPUTED_VALUE"""),99.0)</f>
        <v>99</v>
      </c>
      <c r="B66" s="61" t="str">
        <f>IFERROR(__xludf.DUMMYFUNCTION("""COMPUTED_VALUE"""),"Utiliza técnias de hashing y comprensión  aplicando algoritmos como Huffman y Tablas Hash para optimizar el almacenamiento y recuperación de datos ")</f>
        <v>Utiliza técnias de hashing y comprensión  aplicando algoritmos como Huffman y Tablas Hash para optimizar el almacenamiento y recuperación de datos </v>
      </c>
      <c r="C66" s="61">
        <f>IFERROR(__xludf.DUMMYFUNCTION("""COMPUTED_VALUE"""),6.0)</f>
        <v>6</v>
      </c>
      <c r="D66" s="61" t="str">
        <f>IFERROR(__xludf.DUMMYFUNCTION("""COMPUTED_VALUE"""),"Compresión")</f>
        <v>Compresión</v>
      </c>
      <c r="E66" s="61" t="str">
        <f>IFERROR(__xludf.DUMMYFUNCTION("""COMPUTED_VALUE"""),"Introducción a la Compresión de Datos")</f>
        <v>Introducción a la Compresión de Datos</v>
      </c>
      <c r="F66" s="70" t="str">
        <f>IFERROR(__xludf.DUMMYFUNCTION("""COMPUTED_VALUE"""),"Octubre")</f>
        <v>Octubre</v>
      </c>
      <c r="G66" s="70">
        <f>IFERROR(__xludf.DUMMYFUNCTION("""COMPUTED_VALUE"""),11.0)</f>
        <v>11</v>
      </c>
    </row>
    <row r="67">
      <c r="A67" s="70">
        <f>IFERROR(__xludf.DUMMYFUNCTION("""COMPUTED_VALUE"""),100.0)</f>
        <v>100</v>
      </c>
      <c r="B67" s="61" t="str">
        <f>IFERROR(__xludf.DUMMYFUNCTION("""COMPUTED_VALUE"""),"Utiliza técnias de hashing y comprensión  aplicando algoritmos como Huffman y Tablas Hash para optimizar el almacenamiento y recuperación de datos ")</f>
        <v>Utiliza técnias de hashing y comprensión  aplicando algoritmos como Huffman y Tablas Hash para optimizar el almacenamiento y recuperación de datos </v>
      </c>
      <c r="C67" s="61">
        <f>IFERROR(__xludf.DUMMYFUNCTION("""COMPUTED_VALUE"""),6.0)</f>
        <v>6</v>
      </c>
      <c r="D67" s="61" t="str">
        <f>IFERROR(__xludf.DUMMYFUNCTION("""COMPUTED_VALUE"""),"Compresión")</f>
        <v>Compresión</v>
      </c>
      <c r="E67" s="61" t="str">
        <f>IFERROR(__xludf.DUMMYFUNCTION("""COMPUTED_VALUE"""),"Compresión sin Pérdida")</f>
        <v>Compresión sin Pérdida</v>
      </c>
      <c r="F67" s="70" t="str">
        <f>IFERROR(__xludf.DUMMYFUNCTION("""COMPUTED_VALUE"""),"Octubre")</f>
        <v>Octubre</v>
      </c>
      <c r="G67" s="70">
        <f>IFERROR(__xludf.DUMMYFUNCTION("""COMPUTED_VALUE"""),11.0)</f>
        <v>11</v>
      </c>
    </row>
    <row r="68">
      <c r="A68" s="70">
        <f>IFERROR(__xludf.DUMMYFUNCTION("""COMPUTED_VALUE"""),101.0)</f>
        <v>101</v>
      </c>
      <c r="B68" s="61" t="str">
        <f>IFERROR(__xludf.DUMMYFUNCTION("""COMPUTED_VALUE"""),"Utiliza técnias de hashing y comprensión  aplicando algoritmos como Huffman y Tablas Hash para optimizar el almacenamiento y recuperación de datos ")</f>
        <v>Utiliza técnias de hashing y comprensión  aplicando algoritmos como Huffman y Tablas Hash para optimizar el almacenamiento y recuperación de datos </v>
      </c>
      <c r="C68" s="61">
        <f>IFERROR(__xludf.DUMMYFUNCTION("""COMPUTED_VALUE"""),6.0)</f>
        <v>6</v>
      </c>
      <c r="D68" s="61" t="str">
        <f>IFERROR(__xludf.DUMMYFUNCTION("""COMPUTED_VALUE"""),"Compresión")</f>
        <v>Compresión</v>
      </c>
      <c r="E68" s="61" t="str">
        <f>IFERROR(__xludf.DUMMYFUNCTION("""COMPUTED_VALUE"""),"Algoritmo de Codificación Huffman")</f>
        <v>Algoritmo de Codificación Huffman</v>
      </c>
      <c r="F68" s="70" t="str">
        <f>IFERROR(__xludf.DUMMYFUNCTION("""COMPUTED_VALUE"""),"Octubre")</f>
        <v>Octubre</v>
      </c>
      <c r="G68" s="70">
        <f>IFERROR(__xludf.DUMMYFUNCTION("""COMPUTED_VALUE"""),11.0)</f>
        <v>11</v>
      </c>
    </row>
    <row r="69">
      <c r="A69" s="70">
        <f>IFERROR(__xludf.DUMMYFUNCTION("""COMPUTED_VALUE"""),102.0)</f>
        <v>102</v>
      </c>
      <c r="B69" s="61" t="str">
        <f>IFERROR(__xludf.DUMMYFUNCTION("""COMPUTED_VALUE"""),"Utiliza técnias de hashing y comprensión  aplicando algoritmos como Huffman y Tablas Hash para optimizar el almacenamiento y recuperación de datos ")</f>
        <v>Utiliza técnias de hashing y comprensión  aplicando algoritmos como Huffman y Tablas Hash para optimizar el almacenamiento y recuperación de datos </v>
      </c>
      <c r="C69" s="61">
        <f>IFERROR(__xludf.DUMMYFUNCTION("""COMPUTED_VALUE"""),6.0)</f>
        <v>6</v>
      </c>
      <c r="D69" s="61" t="str">
        <f>IFERROR(__xludf.DUMMYFUNCTION("""COMPUTED_VALUE"""),"Compresión")</f>
        <v>Compresión</v>
      </c>
      <c r="E69" s="61" t="str">
        <f>IFERROR(__xludf.DUMMYFUNCTION("""COMPUTED_VALUE"""),"Aplicaciones de la Compresión")</f>
        <v>Aplicaciones de la Compresión</v>
      </c>
      <c r="F69" s="70" t="str">
        <f>IFERROR(__xludf.DUMMYFUNCTION("""COMPUTED_VALUE"""),"Octubre")</f>
        <v>Octubre</v>
      </c>
      <c r="G69" s="70">
        <f>IFERROR(__xludf.DUMMYFUNCTION("""COMPUTED_VALUE"""),11.0)</f>
        <v>11</v>
      </c>
    </row>
    <row r="70">
      <c r="A70" s="70">
        <f>IFERROR(__xludf.DUMMYFUNCTION("""COMPUTED_VALUE"""),103.0)</f>
        <v>103</v>
      </c>
      <c r="B70" s="61" t="str">
        <f>IFERROR(__xludf.DUMMYFUNCTION("""COMPUTED_VALUE"""),"Utiliza técnias de hashing y comprensión  aplicando algoritmos como Huffman y Tablas Hash para optimizar el almacenamiento y recuperación de datos ")</f>
        <v>Utiliza técnias de hashing y comprensión  aplicando algoritmos como Huffman y Tablas Hash para optimizar el almacenamiento y recuperación de datos </v>
      </c>
      <c r="C70" s="61">
        <f>IFERROR(__xludf.DUMMYFUNCTION("""COMPUTED_VALUE"""),6.0)</f>
        <v>6</v>
      </c>
      <c r="D70" s="61" t="str">
        <f>IFERROR(__xludf.DUMMYFUNCTION("""COMPUTED_VALUE"""),"Compresión")</f>
        <v>Compresión</v>
      </c>
      <c r="E70" s="61" t="str">
        <f>IFERROR(__xludf.DUMMYFUNCTION("""COMPUTED_VALUE"""),"Evaluación de la Eficiencia de la Compresión")</f>
        <v>Evaluación de la Eficiencia de la Compresión</v>
      </c>
      <c r="F70" s="70" t="str">
        <f>IFERROR(__xludf.DUMMYFUNCTION("""COMPUTED_VALUE"""),"Octubre")</f>
        <v>Octubre</v>
      </c>
      <c r="G70" s="70">
        <f>IFERROR(__xludf.DUMMYFUNCTION("""COMPUTED_VALUE"""),11.0)</f>
        <v>11</v>
      </c>
    </row>
    <row r="71">
      <c r="A71" s="70"/>
      <c r="B71" s="61"/>
      <c r="C71" s="61"/>
      <c r="D71" s="61"/>
      <c r="E71" s="61"/>
      <c r="F71" s="70"/>
      <c r="G71" s="70"/>
    </row>
    <row r="72">
      <c r="A72" s="70"/>
      <c r="B72" s="61"/>
      <c r="C72" s="61"/>
      <c r="D72" s="61"/>
      <c r="E72" s="61"/>
      <c r="F72" s="70"/>
      <c r="G72" s="70"/>
    </row>
    <row r="73">
      <c r="A73" s="70"/>
      <c r="B73" s="61"/>
      <c r="C73" s="61"/>
      <c r="D73" s="61"/>
      <c r="E73" s="61"/>
      <c r="F73" s="70"/>
      <c r="G73" s="70"/>
    </row>
    <row r="74">
      <c r="A74" s="70"/>
      <c r="B74" s="61"/>
      <c r="C74" s="61"/>
      <c r="D74" s="61"/>
      <c r="E74" s="61"/>
      <c r="F74" s="70"/>
      <c r="G74" s="70"/>
    </row>
    <row r="75">
      <c r="A75" s="70"/>
      <c r="B75" s="61"/>
      <c r="C75" s="61"/>
      <c r="D75" s="61"/>
      <c r="E75" s="61"/>
      <c r="F75" s="70"/>
      <c r="G75" s="70"/>
    </row>
    <row r="76">
      <c r="A76" s="70"/>
      <c r="B76" s="61"/>
      <c r="C76" s="61"/>
      <c r="D76" s="61"/>
      <c r="E76" s="61"/>
      <c r="F76" s="70"/>
      <c r="G76" s="70"/>
    </row>
    <row r="77">
      <c r="A77" s="70"/>
      <c r="B77" s="61"/>
      <c r="C77" s="61"/>
      <c r="D77" s="61"/>
      <c r="E77" s="61"/>
      <c r="F77" s="70"/>
      <c r="G77" s="70"/>
    </row>
    <row r="78">
      <c r="A78" s="70"/>
      <c r="B78" s="61"/>
      <c r="C78" s="61"/>
      <c r="D78" s="61"/>
      <c r="E78" s="61"/>
      <c r="F78" s="70"/>
      <c r="G78" s="70"/>
    </row>
    <row r="79">
      <c r="A79" s="70"/>
      <c r="B79" s="61"/>
      <c r="C79" s="61"/>
      <c r="D79" s="61"/>
      <c r="E79" s="61"/>
      <c r="F79" s="70"/>
      <c r="G79" s="70"/>
    </row>
    <row r="80">
      <c r="A80" s="70"/>
      <c r="B80" s="61"/>
      <c r="C80" s="61"/>
      <c r="D80" s="61"/>
      <c r="E80" s="61"/>
      <c r="F80" s="70"/>
      <c r="G80" s="70"/>
    </row>
    <row r="81">
      <c r="A81" s="70"/>
      <c r="B81" s="61"/>
      <c r="C81" s="61"/>
      <c r="D81" s="61"/>
      <c r="E81" s="61"/>
      <c r="F81" s="70"/>
      <c r="G81" s="70"/>
    </row>
    <row r="82">
      <c r="A82" s="70"/>
      <c r="B82" s="61"/>
      <c r="C82" s="61"/>
      <c r="D82" s="61"/>
      <c r="E82" s="61"/>
      <c r="F82" s="70"/>
      <c r="G82" s="70"/>
    </row>
    <row r="83">
      <c r="A83" s="70"/>
      <c r="B83" s="61"/>
      <c r="C83" s="61"/>
      <c r="D83" s="61"/>
      <c r="E83" s="61"/>
      <c r="F83" s="70"/>
      <c r="G83" s="70"/>
    </row>
    <row r="84">
      <c r="A84" s="70"/>
      <c r="B84" s="61"/>
      <c r="C84" s="61"/>
      <c r="D84" s="61"/>
      <c r="E84" s="61"/>
      <c r="F84" s="70"/>
      <c r="G84" s="70"/>
    </row>
    <row r="85">
      <c r="A85" s="70"/>
      <c r="B85" s="61"/>
      <c r="C85" s="61"/>
      <c r="D85" s="61"/>
      <c r="E85" s="61"/>
      <c r="F85" s="70"/>
      <c r="G85" s="70"/>
    </row>
    <row r="86">
      <c r="A86" s="70"/>
      <c r="B86" s="61"/>
      <c r="C86" s="61"/>
      <c r="D86" s="61"/>
      <c r="E86" s="61"/>
      <c r="F86" s="70"/>
      <c r="G86" s="70"/>
    </row>
    <row r="87">
      <c r="A87" s="70"/>
      <c r="B87" s="61"/>
      <c r="C87" s="61"/>
      <c r="D87" s="61"/>
      <c r="E87" s="61"/>
      <c r="F87" s="70"/>
      <c r="G87" s="70"/>
    </row>
    <row r="88">
      <c r="A88" s="70"/>
      <c r="B88" s="61"/>
      <c r="C88" s="61"/>
      <c r="D88" s="61"/>
      <c r="E88" s="61"/>
      <c r="F88" s="70"/>
      <c r="G88" s="70"/>
    </row>
    <row r="89">
      <c r="A89" s="70"/>
      <c r="B89" s="61"/>
      <c r="C89" s="61"/>
      <c r="D89" s="61"/>
      <c r="E89" s="61"/>
      <c r="F89" s="70"/>
      <c r="G89" s="70"/>
    </row>
    <row r="90">
      <c r="A90" s="70"/>
      <c r="B90" s="61"/>
      <c r="C90" s="61"/>
      <c r="D90" s="61"/>
      <c r="E90" s="61"/>
      <c r="F90" s="70"/>
      <c r="G90" s="70"/>
    </row>
    <row r="91">
      <c r="A91" s="70"/>
      <c r="B91" s="61"/>
      <c r="C91" s="61"/>
      <c r="D91" s="61"/>
      <c r="E91" s="61"/>
      <c r="F91" s="70"/>
      <c r="G91" s="70"/>
    </row>
    <row r="92">
      <c r="A92" s="70"/>
      <c r="B92" s="61"/>
      <c r="C92" s="61"/>
      <c r="D92" s="61"/>
      <c r="E92" s="61"/>
      <c r="F92" s="70"/>
      <c r="G92" s="70"/>
    </row>
    <row r="93">
      <c r="A93" s="70"/>
      <c r="B93" s="61"/>
      <c r="C93" s="61"/>
      <c r="D93" s="61"/>
      <c r="E93" s="61"/>
      <c r="F93" s="70"/>
      <c r="G93" s="70"/>
    </row>
    <row r="94">
      <c r="A94" s="70"/>
      <c r="B94" s="61"/>
      <c r="C94" s="61"/>
      <c r="D94" s="61"/>
      <c r="E94" s="61"/>
      <c r="F94" s="70"/>
      <c r="G94" s="70"/>
    </row>
    <row r="95">
      <c r="A95" s="70"/>
      <c r="B95" s="61"/>
      <c r="C95" s="61"/>
      <c r="D95" s="61"/>
      <c r="E95" s="61"/>
      <c r="F95" s="70"/>
      <c r="G95" s="70"/>
    </row>
    <row r="96">
      <c r="A96" s="70"/>
      <c r="B96" s="61"/>
      <c r="C96" s="61"/>
      <c r="D96" s="61"/>
      <c r="E96" s="61"/>
      <c r="F96" s="70"/>
      <c r="G96" s="70"/>
    </row>
    <row r="97">
      <c r="A97" s="70"/>
      <c r="B97" s="61"/>
      <c r="C97" s="61"/>
      <c r="D97" s="61"/>
      <c r="E97" s="61"/>
      <c r="F97" s="70"/>
      <c r="G97" s="70"/>
    </row>
    <row r="98">
      <c r="A98" s="70"/>
      <c r="B98" s="61"/>
      <c r="C98" s="61"/>
      <c r="D98" s="61"/>
      <c r="E98" s="61"/>
      <c r="F98" s="70"/>
      <c r="G98" s="70"/>
    </row>
    <row r="99">
      <c r="A99" s="70"/>
      <c r="B99" s="61"/>
      <c r="C99" s="61"/>
      <c r="D99" s="61"/>
      <c r="E99" s="61"/>
      <c r="F99" s="70"/>
      <c r="G99" s="70"/>
    </row>
    <row r="100">
      <c r="A100" s="70"/>
      <c r="B100" s="61"/>
      <c r="C100" s="61"/>
      <c r="D100" s="61"/>
      <c r="E100" s="61"/>
      <c r="F100" s="70"/>
      <c r="G100" s="70"/>
    </row>
    <row r="101">
      <c r="A101" s="70"/>
      <c r="B101" s="61" t="str">
        <f>IFERROR(__xludf.DUMMYFUNCTION("""COMPUTED_VALUE"""),",.+{-")</f>
        <v>,.+{-</v>
      </c>
      <c r="C101" s="61"/>
      <c r="D101" s="61"/>
      <c r="E101" s="61"/>
      <c r="F101" s="70"/>
      <c r="G101" s="70"/>
    </row>
    <row r="102">
      <c r="A102" s="70"/>
      <c r="B102" s="61"/>
      <c r="C102" s="61"/>
      <c r="D102" s="61"/>
      <c r="E102" s="61"/>
      <c r="F102" s="70"/>
      <c r="G102" s="70"/>
    </row>
    <row r="103">
      <c r="A103" s="70"/>
      <c r="B103" s="61"/>
      <c r="C103" s="61"/>
      <c r="D103" s="61"/>
      <c r="E103" s="61"/>
      <c r="F103" s="70"/>
      <c r="G103" s="70"/>
    </row>
    <row r="104">
      <c r="A104" s="70"/>
      <c r="B104" s="61"/>
      <c r="C104" s="61"/>
      <c r="D104" s="61"/>
      <c r="E104" s="61"/>
      <c r="F104" s="70"/>
      <c r="G104" s="70"/>
    </row>
    <row r="105">
      <c r="A105" s="70"/>
      <c r="B105" s="61"/>
      <c r="C105" s="61"/>
      <c r="D105" s="61"/>
      <c r="E105" s="61"/>
      <c r="F105" s="70"/>
      <c r="G105" s="70"/>
    </row>
    <row r="106">
      <c r="A106" s="70"/>
      <c r="B106" s="61"/>
      <c r="C106" s="61"/>
      <c r="D106" s="61"/>
      <c r="E106" s="61"/>
      <c r="F106" s="70"/>
      <c r="G106" s="70"/>
    </row>
    <row r="107">
      <c r="A107" s="70"/>
      <c r="B107" s="61"/>
      <c r="C107" s="61"/>
      <c r="D107" s="61"/>
      <c r="E107" s="61"/>
      <c r="F107" s="70"/>
      <c r="G107" s="70"/>
    </row>
    <row r="108">
      <c r="A108" s="70"/>
      <c r="B108" s="61"/>
      <c r="C108" s="61"/>
      <c r="D108" s="61"/>
      <c r="E108" s="61"/>
      <c r="F108" s="70"/>
      <c r="G108" s="70"/>
    </row>
    <row r="109">
      <c r="A109" s="70"/>
      <c r="B109" s="61"/>
      <c r="C109" s="61"/>
      <c r="D109" s="61"/>
      <c r="E109" s="61"/>
      <c r="F109" s="70"/>
      <c r="G109" s="70"/>
    </row>
    <row r="110">
      <c r="A110" s="70"/>
      <c r="B110" s="61"/>
      <c r="C110" s="61"/>
      <c r="D110" s="61"/>
      <c r="E110" s="61"/>
      <c r="F110" s="70"/>
      <c r="G110" s="70"/>
    </row>
    <row r="111">
      <c r="A111" s="70"/>
      <c r="B111" s="61"/>
      <c r="C111" s="61"/>
      <c r="D111" s="61"/>
      <c r="E111" s="61"/>
      <c r="F111" s="70"/>
      <c r="G111" s="70"/>
    </row>
    <row r="112">
      <c r="A112" s="70"/>
      <c r="B112" s="61"/>
      <c r="C112" s="61"/>
      <c r="D112" s="61"/>
      <c r="E112" s="61"/>
      <c r="F112" s="70"/>
      <c r="G112" s="70"/>
    </row>
    <row r="113">
      <c r="A113" s="70"/>
      <c r="B113" s="61"/>
      <c r="C113" s="61"/>
      <c r="D113" s="61"/>
      <c r="E113" s="61"/>
      <c r="F113" s="70"/>
      <c r="G113" s="70"/>
    </row>
    <row r="114">
      <c r="A114" s="70"/>
      <c r="B114" s="61"/>
      <c r="C114" s="61"/>
      <c r="D114" s="61"/>
      <c r="E114" s="61"/>
      <c r="F114" s="70"/>
      <c r="G114" s="70"/>
    </row>
    <row r="115">
      <c r="A115" s="70"/>
      <c r="B115" s="61"/>
      <c r="C115" s="61"/>
      <c r="D115" s="61"/>
      <c r="E115" s="61"/>
      <c r="F115" s="70"/>
      <c r="G115" s="70"/>
    </row>
    <row r="116">
      <c r="A116" s="70"/>
      <c r="B116" s="61"/>
      <c r="C116" s="61"/>
      <c r="D116" s="61"/>
      <c r="E116" s="61"/>
      <c r="F116" s="70"/>
      <c r="G116" s="70"/>
    </row>
    <row r="117">
      <c r="A117" s="70"/>
      <c r="B117" s="61"/>
      <c r="C117" s="61"/>
      <c r="D117" s="61"/>
      <c r="E117" s="61"/>
      <c r="F117" s="70"/>
      <c r="G117" s="70"/>
    </row>
    <row r="118">
      <c r="A118" s="70"/>
      <c r="B118" s="61"/>
      <c r="C118" s="61"/>
      <c r="D118" s="61"/>
      <c r="E118" s="61"/>
      <c r="F118" s="70"/>
      <c r="G118" s="70"/>
    </row>
    <row r="119">
      <c r="A119" s="70"/>
      <c r="B119" s="61"/>
      <c r="C119" s="61"/>
      <c r="D119" s="61"/>
      <c r="E119" s="61"/>
      <c r="F119" s="70"/>
      <c r="G119" s="70"/>
    </row>
    <row r="120">
      <c r="A120" s="70"/>
      <c r="B120" s="61"/>
      <c r="C120" s="61"/>
      <c r="D120" s="61"/>
      <c r="E120" s="61"/>
      <c r="F120" s="70"/>
      <c r="G120" s="70"/>
    </row>
    <row r="121">
      <c r="A121" s="70"/>
      <c r="B121" s="61"/>
      <c r="C121" s="61"/>
      <c r="D121" s="61"/>
      <c r="E121" s="61"/>
      <c r="F121" s="70"/>
      <c r="G121" s="70"/>
    </row>
    <row r="122">
      <c r="A122" s="70"/>
      <c r="B122" s="61"/>
      <c r="C122" s="61"/>
      <c r="D122" s="61"/>
      <c r="E122" s="61"/>
      <c r="F122" s="70"/>
      <c r="G122" s="70"/>
    </row>
    <row r="123">
      <c r="A123" s="70"/>
      <c r="B123" s="61"/>
      <c r="C123" s="61"/>
      <c r="D123" s="61"/>
      <c r="E123" s="61"/>
      <c r="F123" s="70"/>
      <c r="G123" s="70"/>
    </row>
    <row r="124">
      <c r="A124" s="70"/>
      <c r="B124" s="61"/>
      <c r="C124" s="61"/>
      <c r="D124" s="61"/>
      <c r="E124" s="61"/>
      <c r="F124" s="70"/>
      <c r="G124" s="70"/>
    </row>
    <row r="125">
      <c r="A125" s="70"/>
      <c r="B125" s="61"/>
      <c r="C125" s="61"/>
      <c r="D125" s="61"/>
      <c r="E125" s="61"/>
      <c r="F125" s="70"/>
      <c r="G125" s="70"/>
    </row>
    <row r="126">
      <c r="A126" s="70"/>
      <c r="B126" s="61"/>
      <c r="C126" s="61"/>
      <c r="D126" s="61"/>
      <c r="E126" s="61"/>
      <c r="F126" s="70"/>
      <c r="G126" s="70"/>
    </row>
    <row r="127">
      <c r="A127" s="70"/>
      <c r="B127" s="61"/>
      <c r="C127" s="61"/>
      <c r="D127" s="61"/>
      <c r="E127" s="61"/>
      <c r="F127" s="70"/>
      <c r="G127" s="70"/>
    </row>
    <row r="128">
      <c r="A128" s="70"/>
      <c r="B128" s="61"/>
      <c r="C128" s="61"/>
      <c r="D128" s="61"/>
      <c r="E128" s="61"/>
      <c r="F128" s="70"/>
      <c r="G128" s="70"/>
    </row>
    <row r="129">
      <c r="A129" s="70"/>
      <c r="B129" s="61"/>
      <c r="C129" s="61"/>
      <c r="D129" s="61"/>
      <c r="E129" s="61"/>
      <c r="F129" s="70"/>
      <c r="G129" s="70"/>
    </row>
    <row r="130">
      <c r="A130" s="70"/>
      <c r="B130" s="61"/>
      <c r="C130" s="61"/>
      <c r="D130" s="61"/>
      <c r="E130" s="61"/>
      <c r="F130" s="70"/>
      <c r="G130" s="70"/>
    </row>
    <row r="131">
      <c r="A131" s="70"/>
      <c r="B131" s="61"/>
      <c r="C131" s="61"/>
      <c r="D131" s="61"/>
      <c r="E131" s="61"/>
      <c r="F131" s="70"/>
      <c r="G131" s="70"/>
    </row>
    <row r="132">
      <c r="A132" s="70"/>
      <c r="B132" s="61"/>
      <c r="C132" s="61"/>
      <c r="D132" s="61"/>
      <c r="E132" s="61"/>
      <c r="F132" s="70"/>
      <c r="G132" s="70"/>
    </row>
    <row r="133">
      <c r="A133" s="70"/>
      <c r="B133" s="61"/>
      <c r="C133" s="61"/>
      <c r="D133" s="61"/>
      <c r="E133" s="61"/>
      <c r="F133" s="70"/>
      <c r="G133" s="70"/>
    </row>
    <row r="134">
      <c r="A134" s="70"/>
      <c r="B134" s="61"/>
      <c r="C134" s="61"/>
      <c r="D134" s="61"/>
      <c r="E134" s="61"/>
      <c r="F134" s="70"/>
      <c r="G134" s="70"/>
    </row>
    <row r="135">
      <c r="A135" s="70"/>
      <c r="B135" s="61"/>
      <c r="C135" s="61"/>
      <c r="D135" s="61"/>
      <c r="E135" s="61"/>
      <c r="F135" s="70"/>
      <c r="G135" s="70"/>
    </row>
    <row r="136">
      <c r="A136" s="70"/>
      <c r="B136" s="61"/>
      <c r="C136" s="61"/>
      <c r="D136" s="61"/>
      <c r="E136" s="61"/>
      <c r="F136" s="70"/>
      <c r="G136" s="70"/>
    </row>
    <row r="137">
      <c r="A137" s="70"/>
      <c r="B137" s="61"/>
      <c r="C137" s="61"/>
      <c r="D137" s="61"/>
      <c r="E137" s="61"/>
      <c r="F137" s="70"/>
      <c r="G137" s="70"/>
    </row>
    <row r="138">
      <c r="A138" s="70"/>
      <c r="B138" s="61"/>
      <c r="C138" s="61"/>
      <c r="D138" s="61"/>
      <c r="E138" s="61"/>
      <c r="F138" s="70"/>
      <c r="G138" s="70"/>
    </row>
    <row r="139">
      <c r="A139" s="70"/>
      <c r="B139" s="61"/>
      <c r="C139" s="61"/>
      <c r="D139" s="61"/>
      <c r="E139" s="61"/>
      <c r="F139" s="70"/>
      <c r="G139" s="70"/>
    </row>
    <row r="140">
      <c r="A140" s="70"/>
      <c r="B140" s="61"/>
      <c r="C140" s="61"/>
      <c r="D140" s="61"/>
      <c r="E140" s="61"/>
      <c r="F140" s="70"/>
      <c r="G140" s="70"/>
    </row>
    <row r="141">
      <c r="A141" s="70"/>
      <c r="B141" s="61"/>
      <c r="C141" s="61"/>
      <c r="D141" s="61"/>
      <c r="E141" s="61"/>
      <c r="F141" s="70"/>
      <c r="G141" s="70"/>
    </row>
    <row r="142">
      <c r="A142" s="70"/>
      <c r="B142" s="61"/>
      <c r="C142" s="61"/>
      <c r="D142" s="61"/>
      <c r="E142" s="61"/>
      <c r="F142" s="70"/>
      <c r="G142" s="70"/>
    </row>
    <row r="143">
      <c r="A143" s="70"/>
      <c r="B143" s="61"/>
      <c r="C143" s="61"/>
      <c r="D143" s="61"/>
      <c r="E143" s="61"/>
      <c r="F143" s="70"/>
      <c r="G143" s="70"/>
    </row>
    <row r="144">
      <c r="A144" s="70"/>
      <c r="B144" s="61"/>
      <c r="C144" s="61"/>
      <c r="D144" s="61"/>
      <c r="E144" s="61"/>
      <c r="F144" s="70"/>
      <c r="G144" s="70"/>
    </row>
    <row r="145">
      <c r="A145" s="70"/>
      <c r="B145" s="61"/>
      <c r="C145" s="61"/>
      <c r="D145" s="61"/>
      <c r="E145" s="61"/>
      <c r="F145" s="70"/>
      <c r="G145" s="70"/>
    </row>
    <row r="146">
      <c r="A146" s="70"/>
      <c r="B146" s="61"/>
      <c r="C146" s="61"/>
      <c r="D146" s="61"/>
      <c r="E146" s="61"/>
      <c r="F146" s="70"/>
      <c r="G146" s="70"/>
    </row>
    <row r="147">
      <c r="A147" s="70"/>
      <c r="B147" s="61"/>
      <c r="C147" s="61"/>
      <c r="D147" s="61"/>
      <c r="E147" s="61"/>
      <c r="F147" s="70"/>
      <c r="G147" s="70"/>
    </row>
    <row r="148">
      <c r="A148" s="70"/>
      <c r="B148" s="61"/>
      <c r="C148" s="61"/>
      <c r="D148" s="61"/>
      <c r="E148" s="61"/>
      <c r="F148" s="70"/>
      <c r="G148" s="70"/>
    </row>
    <row r="149">
      <c r="A149" s="70"/>
      <c r="B149" s="61"/>
      <c r="C149" s="61"/>
      <c r="D149" s="61"/>
      <c r="E149" s="61"/>
      <c r="F149" s="70"/>
      <c r="G149" s="70"/>
    </row>
    <row r="150">
      <c r="A150" s="70"/>
      <c r="B150" s="61"/>
      <c r="C150" s="61"/>
      <c r="D150" s="61"/>
      <c r="E150" s="61"/>
      <c r="F150" s="70"/>
      <c r="G150" s="70"/>
    </row>
    <row r="151">
      <c r="A151" s="70"/>
      <c r="B151" s="61"/>
      <c r="C151" s="61"/>
      <c r="D151" s="61"/>
      <c r="E151" s="61"/>
      <c r="F151" s="70"/>
      <c r="G151" s="70"/>
    </row>
    <row r="152">
      <c r="A152" s="70"/>
      <c r="B152" s="61"/>
      <c r="C152" s="61"/>
      <c r="D152" s="61"/>
      <c r="E152" s="61"/>
      <c r="F152" s="70"/>
      <c r="G152" s="70"/>
    </row>
    <row r="153">
      <c r="A153" s="70"/>
      <c r="B153" s="61"/>
      <c r="C153" s="61"/>
      <c r="D153" s="61"/>
      <c r="E153" s="61"/>
      <c r="F153" s="70"/>
      <c r="G153" s="70"/>
    </row>
    <row r="154">
      <c r="A154" s="70"/>
      <c r="B154" s="61"/>
      <c r="C154" s="61"/>
      <c r="D154" s="61"/>
      <c r="E154" s="61"/>
      <c r="F154" s="70"/>
      <c r="G154" s="70"/>
    </row>
    <row r="155">
      <c r="A155" s="70"/>
      <c r="B155" s="61"/>
      <c r="C155" s="61"/>
      <c r="D155" s="61"/>
      <c r="E155" s="61"/>
      <c r="F155" s="70"/>
      <c r="G155" s="70"/>
    </row>
    <row r="156">
      <c r="A156" s="70"/>
      <c r="B156" s="61"/>
      <c r="C156" s="61"/>
      <c r="D156" s="61"/>
      <c r="E156" s="61"/>
      <c r="F156" s="70"/>
      <c r="G156" s="70"/>
    </row>
    <row r="157">
      <c r="A157" s="70"/>
      <c r="B157" s="61"/>
      <c r="C157" s="61"/>
      <c r="D157" s="61"/>
      <c r="E157" s="61"/>
      <c r="F157" s="70"/>
      <c r="G157" s="70"/>
    </row>
    <row r="158">
      <c r="A158" s="70"/>
      <c r="B158" s="61"/>
      <c r="C158" s="61"/>
      <c r="D158" s="61"/>
      <c r="E158" s="61"/>
      <c r="F158" s="70"/>
      <c r="G158" s="70"/>
    </row>
    <row r="159">
      <c r="A159" s="70"/>
      <c r="B159" s="61"/>
      <c r="C159" s="61"/>
      <c r="D159" s="61"/>
      <c r="E159" s="61"/>
      <c r="F159" s="70"/>
      <c r="G159" s="70"/>
    </row>
    <row r="160">
      <c r="A160" s="70"/>
      <c r="B160" s="61"/>
      <c r="C160" s="61"/>
      <c r="D160" s="61"/>
      <c r="E160" s="61"/>
      <c r="F160" s="70"/>
      <c r="G160" s="70"/>
    </row>
    <row r="161">
      <c r="A161" s="70"/>
      <c r="B161" s="61"/>
      <c r="C161" s="61"/>
      <c r="D161" s="61"/>
      <c r="E161" s="61"/>
      <c r="F161" s="70"/>
      <c r="G161" s="70"/>
    </row>
    <row r="162">
      <c r="A162" s="70"/>
      <c r="B162" s="61"/>
      <c r="C162" s="61"/>
      <c r="D162" s="61"/>
      <c r="E162" s="61"/>
      <c r="F162" s="70"/>
      <c r="G162" s="70"/>
    </row>
    <row r="163">
      <c r="A163" s="70"/>
      <c r="B163" s="61"/>
      <c r="C163" s="61"/>
      <c r="D163" s="61"/>
      <c r="E163" s="61"/>
      <c r="F163" s="70"/>
      <c r="G163" s="70"/>
    </row>
    <row r="164">
      <c r="A164" s="70"/>
      <c r="B164" s="61"/>
      <c r="C164" s="61"/>
      <c r="D164" s="61"/>
      <c r="E164" s="61"/>
      <c r="F164" s="70"/>
      <c r="G164" s="70"/>
    </row>
    <row r="165">
      <c r="A165" s="70"/>
      <c r="B165" s="61"/>
      <c r="C165" s="61"/>
      <c r="D165" s="61"/>
      <c r="E165" s="61"/>
      <c r="F165" s="70"/>
      <c r="G165" s="70"/>
    </row>
    <row r="166">
      <c r="A166" s="70"/>
      <c r="B166" s="61"/>
      <c r="C166" s="61"/>
      <c r="D166" s="61"/>
      <c r="E166" s="61"/>
      <c r="F166" s="70"/>
      <c r="G166" s="70"/>
    </row>
    <row r="167">
      <c r="A167" s="70"/>
      <c r="B167" s="61"/>
      <c r="C167" s="61"/>
      <c r="D167" s="61"/>
      <c r="E167" s="61"/>
      <c r="F167" s="70"/>
      <c r="G167" s="70"/>
    </row>
    <row r="168">
      <c r="A168" s="70"/>
      <c r="B168" s="61"/>
      <c r="C168" s="61"/>
      <c r="D168" s="61"/>
      <c r="E168" s="61"/>
      <c r="F168" s="70"/>
      <c r="G168" s="70"/>
    </row>
    <row r="169">
      <c r="A169" s="70"/>
      <c r="B169" s="61"/>
      <c r="C169" s="61"/>
      <c r="D169" s="61"/>
      <c r="E169" s="61"/>
      <c r="F169" s="70"/>
      <c r="G169" s="70"/>
    </row>
    <row r="170">
      <c r="A170" s="70"/>
      <c r="B170" s="61"/>
      <c r="C170" s="61"/>
      <c r="D170" s="61"/>
      <c r="E170" s="61"/>
      <c r="F170" s="70"/>
      <c r="G170" s="70"/>
    </row>
    <row r="171">
      <c r="A171" s="70"/>
      <c r="B171" s="61"/>
      <c r="C171" s="61"/>
      <c r="D171" s="61"/>
      <c r="E171" s="61"/>
      <c r="F171" s="70"/>
      <c r="G171" s="70"/>
    </row>
    <row r="172">
      <c r="A172" s="70"/>
      <c r="B172" s="61"/>
      <c r="C172" s="61"/>
      <c r="D172" s="61"/>
      <c r="E172" s="61"/>
      <c r="F172" s="70"/>
      <c r="G172" s="70"/>
    </row>
    <row r="173">
      <c r="A173" s="70"/>
      <c r="B173" s="61"/>
      <c r="C173" s="61"/>
      <c r="D173" s="61"/>
      <c r="E173" s="61"/>
      <c r="F173" s="70"/>
      <c r="G173" s="70"/>
    </row>
    <row r="174">
      <c r="A174" s="70"/>
      <c r="B174" s="61"/>
      <c r="C174" s="61"/>
      <c r="D174" s="61"/>
      <c r="E174" s="61"/>
      <c r="F174" s="70"/>
      <c r="G174" s="70"/>
    </row>
    <row r="175">
      <c r="A175" s="70"/>
      <c r="B175" s="61"/>
      <c r="C175" s="61"/>
      <c r="D175" s="61"/>
      <c r="E175" s="61"/>
      <c r="F175" s="70"/>
      <c r="G175" s="70"/>
    </row>
    <row r="176">
      <c r="A176" s="70"/>
      <c r="B176" s="61"/>
      <c r="C176" s="61"/>
      <c r="D176" s="61"/>
      <c r="E176" s="61"/>
      <c r="F176" s="70"/>
      <c r="G176" s="70"/>
    </row>
    <row r="177">
      <c r="A177" s="70"/>
      <c r="B177" s="61"/>
      <c r="C177" s="61"/>
      <c r="D177" s="61"/>
      <c r="E177" s="61"/>
      <c r="F177" s="70"/>
      <c r="G177" s="70"/>
    </row>
    <row r="178">
      <c r="A178" s="70"/>
      <c r="B178" s="61"/>
      <c r="C178" s="61"/>
      <c r="D178" s="61"/>
      <c r="E178" s="61"/>
      <c r="F178" s="70"/>
      <c r="G178" s="70"/>
    </row>
    <row r="179">
      <c r="A179" s="70"/>
      <c r="B179" s="61"/>
      <c r="C179" s="61"/>
      <c r="D179" s="61"/>
      <c r="E179" s="61"/>
      <c r="F179" s="70"/>
      <c r="G179" s="70"/>
    </row>
    <row r="180">
      <c r="A180" s="70"/>
      <c r="B180" s="61"/>
      <c r="C180" s="61"/>
      <c r="D180" s="61"/>
      <c r="E180" s="61"/>
      <c r="F180" s="70"/>
      <c r="G180" s="70"/>
    </row>
    <row r="181">
      <c r="A181" s="70"/>
      <c r="B181" s="61"/>
      <c r="C181" s="61"/>
      <c r="D181" s="61"/>
      <c r="E181" s="61"/>
      <c r="F181" s="70"/>
      <c r="G181" s="70"/>
    </row>
    <row r="182">
      <c r="A182" s="70"/>
      <c r="B182" s="61"/>
      <c r="C182" s="61"/>
      <c r="D182" s="61"/>
      <c r="E182" s="61"/>
      <c r="F182" s="70"/>
      <c r="G182" s="70"/>
    </row>
    <row r="183">
      <c r="A183" s="70"/>
      <c r="B183" s="61"/>
      <c r="C183" s="61"/>
      <c r="D183" s="61"/>
      <c r="E183" s="61"/>
      <c r="F183" s="70"/>
      <c r="G183" s="70"/>
    </row>
    <row r="184">
      <c r="A184" s="70"/>
      <c r="B184" s="61"/>
      <c r="C184" s="61"/>
      <c r="D184" s="61"/>
      <c r="E184" s="61"/>
      <c r="F184" s="70"/>
      <c r="G184" s="70"/>
    </row>
    <row r="185">
      <c r="A185" s="70"/>
      <c r="B185" s="61"/>
      <c r="C185" s="61"/>
      <c r="D185" s="61"/>
      <c r="E185" s="61"/>
      <c r="F185" s="70"/>
      <c r="G185" s="70"/>
    </row>
    <row r="186">
      <c r="A186" s="70"/>
      <c r="B186" s="61"/>
      <c r="C186" s="61"/>
      <c r="D186" s="61"/>
      <c r="E186" s="61"/>
      <c r="F186" s="70"/>
      <c r="G186" s="70"/>
    </row>
    <row r="187">
      <c r="A187" s="70"/>
      <c r="B187" s="61"/>
      <c r="C187" s="61"/>
      <c r="D187" s="61"/>
      <c r="E187" s="61"/>
      <c r="F187" s="70"/>
      <c r="G187" s="70"/>
    </row>
    <row r="188">
      <c r="A188" s="70"/>
      <c r="B188" s="61"/>
      <c r="C188" s="61"/>
      <c r="D188" s="61"/>
      <c r="E188" s="61"/>
      <c r="F188" s="70"/>
      <c r="G188" s="70"/>
    </row>
    <row r="189">
      <c r="A189" s="70"/>
      <c r="B189" s="61"/>
      <c r="C189" s="61"/>
      <c r="D189" s="61"/>
      <c r="E189" s="61"/>
      <c r="F189" s="70"/>
      <c r="G189" s="70"/>
    </row>
    <row r="190">
      <c r="A190" s="70"/>
      <c r="B190" s="61"/>
      <c r="C190" s="61"/>
      <c r="D190" s="61"/>
      <c r="E190" s="61"/>
      <c r="F190" s="70"/>
      <c r="G190" s="70"/>
    </row>
    <row r="191">
      <c r="A191" s="70"/>
      <c r="B191" s="61"/>
      <c r="C191" s="61"/>
      <c r="D191" s="61"/>
      <c r="E191" s="61"/>
      <c r="F191" s="70"/>
      <c r="G191" s="70"/>
    </row>
    <row r="192">
      <c r="A192" s="70"/>
      <c r="B192" s="61"/>
      <c r="C192" s="61"/>
      <c r="D192" s="61"/>
      <c r="E192" s="61"/>
      <c r="F192" s="70"/>
      <c r="G192" s="70"/>
    </row>
    <row r="193">
      <c r="A193" s="70"/>
      <c r="B193" s="61"/>
      <c r="C193" s="61"/>
      <c r="D193" s="61"/>
      <c r="E193" s="61"/>
      <c r="F193" s="70"/>
      <c r="G193" s="70"/>
    </row>
    <row r="194">
      <c r="A194" s="70"/>
      <c r="B194" s="61"/>
      <c r="C194" s="61"/>
      <c r="D194" s="61"/>
      <c r="E194" s="61"/>
      <c r="F194" s="70"/>
      <c r="G194" s="70"/>
    </row>
    <row r="195">
      <c r="A195" s="70"/>
      <c r="B195" s="61"/>
      <c r="C195" s="61"/>
      <c r="D195" s="61"/>
      <c r="E195" s="61"/>
      <c r="F195" s="70"/>
      <c r="G195" s="70"/>
    </row>
    <row r="196">
      <c r="A196" s="70"/>
      <c r="B196" s="61"/>
      <c r="C196" s="61"/>
      <c r="D196" s="61"/>
      <c r="E196" s="61"/>
      <c r="F196" s="70"/>
      <c r="G196" s="70"/>
    </row>
    <row r="197">
      <c r="A197" s="70"/>
      <c r="B197" s="61"/>
      <c r="C197" s="61"/>
      <c r="D197" s="61"/>
      <c r="E197" s="61"/>
      <c r="F197" s="70"/>
      <c r="G197" s="70"/>
    </row>
    <row r="198">
      <c r="A198" s="70"/>
      <c r="B198" s="61"/>
      <c r="C198" s="61"/>
      <c r="D198" s="61"/>
      <c r="E198" s="61"/>
      <c r="F198" s="70"/>
      <c r="G198" s="70"/>
    </row>
    <row r="199">
      <c r="A199" s="70"/>
      <c r="B199" s="61"/>
      <c r="C199" s="61"/>
      <c r="D199" s="61"/>
      <c r="E199" s="61"/>
      <c r="F199" s="70"/>
      <c r="G199" s="70"/>
    </row>
    <row r="200">
      <c r="A200" s="70"/>
      <c r="B200" s="61"/>
      <c r="C200" s="61"/>
      <c r="D200" s="61"/>
      <c r="E200" s="61"/>
      <c r="F200" s="70"/>
      <c r="G200" s="70"/>
    </row>
    <row r="201">
      <c r="A201" s="70"/>
      <c r="B201" s="61"/>
      <c r="C201" s="61"/>
      <c r="D201" s="61"/>
      <c r="E201" s="61"/>
      <c r="F201" s="70"/>
      <c r="G201" s="70"/>
    </row>
    <row r="202">
      <c r="A202" s="70"/>
      <c r="B202" s="61"/>
      <c r="C202" s="61"/>
      <c r="D202" s="61"/>
      <c r="E202" s="61"/>
      <c r="F202" s="70"/>
      <c r="G202" s="70"/>
    </row>
    <row r="203">
      <c r="A203" s="70"/>
      <c r="B203" s="61"/>
      <c r="C203" s="61"/>
      <c r="D203" s="61"/>
      <c r="E203" s="61"/>
      <c r="F203" s="70"/>
      <c r="G203" s="70"/>
    </row>
    <row r="204">
      <c r="A204" s="70"/>
      <c r="B204" s="61"/>
      <c r="C204" s="61"/>
      <c r="D204" s="61"/>
      <c r="E204" s="61"/>
      <c r="F204" s="70"/>
      <c r="G204" s="70"/>
    </row>
    <row r="205">
      <c r="A205" s="70"/>
      <c r="B205" s="61"/>
      <c r="C205" s="61"/>
      <c r="D205" s="61"/>
      <c r="E205" s="61"/>
      <c r="F205" s="70"/>
      <c r="G205" s="70"/>
    </row>
    <row r="206">
      <c r="A206" s="70"/>
      <c r="B206" s="61"/>
      <c r="C206" s="61"/>
      <c r="D206" s="61"/>
      <c r="E206" s="61"/>
      <c r="F206" s="70"/>
      <c r="G206" s="70"/>
    </row>
    <row r="207">
      <c r="A207" s="70"/>
      <c r="B207" s="61"/>
      <c r="C207" s="61"/>
      <c r="D207" s="61"/>
      <c r="E207" s="61"/>
      <c r="F207" s="70"/>
      <c r="G207" s="70"/>
    </row>
    <row r="208">
      <c r="A208" s="70"/>
      <c r="B208" s="61"/>
      <c r="C208" s="61"/>
      <c r="D208" s="61"/>
      <c r="E208" s="61"/>
      <c r="F208" s="70"/>
      <c r="G208" s="70"/>
    </row>
    <row r="209">
      <c r="A209" s="70"/>
      <c r="B209" s="61"/>
      <c r="C209" s="61"/>
      <c r="D209" s="61"/>
      <c r="E209" s="61"/>
      <c r="F209" s="70"/>
      <c r="G209" s="70"/>
    </row>
    <row r="210">
      <c r="A210" s="70"/>
      <c r="B210" s="61"/>
      <c r="C210" s="61"/>
      <c r="D210" s="61"/>
      <c r="E210" s="61"/>
      <c r="F210" s="70"/>
      <c r="G210" s="70"/>
    </row>
    <row r="211">
      <c r="A211" s="70"/>
      <c r="B211" s="61"/>
      <c r="C211" s="61"/>
      <c r="D211" s="61"/>
      <c r="E211" s="61"/>
      <c r="F211" s="70"/>
      <c r="G211" s="70"/>
    </row>
    <row r="212">
      <c r="A212" s="70"/>
      <c r="B212" s="61"/>
      <c r="C212" s="61"/>
      <c r="D212" s="61"/>
      <c r="E212" s="61"/>
      <c r="F212" s="70"/>
      <c r="G212" s="70"/>
    </row>
    <row r="213">
      <c r="A213" s="70"/>
      <c r="B213" s="61"/>
      <c r="C213" s="61"/>
      <c r="D213" s="61"/>
      <c r="E213" s="61"/>
      <c r="F213" s="70"/>
      <c r="G213" s="70"/>
    </row>
    <row r="214">
      <c r="A214" s="70"/>
      <c r="B214" s="61"/>
      <c r="C214" s="61"/>
      <c r="D214" s="61"/>
      <c r="E214" s="61"/>
      <c r="F214" s="70"/>
      <c r="G214" s="70"/>
    </row>
    <row r="215">
      <c r="A215" s="70"/>
      <c r="B215" s="61"/>
      <c r="C215" s="61"/>
      <c r="D215" s="61"/>
      <c r="E215" s="61"/>
      <c r="F215" s="70"/>
      <c r="G215" s="70"/>
    </row>
    <row r="216">
      <c r="A216" s="70"/>
      <c r="B216" s="61"/>
      <c r="C216" s="61"/>
      <c r="D216" s="61"/>
      <c r="E216" s="61"/>
      <c r="F216" s="70"/>
      <c r="G216" s="70"/>
    </row>
    <row r="217">
      <c r="A217" s="70"/>
      <c r="B217" s="61"/>
      <c r="C217" s="61"/>
      <c r="D217" s="61"/>
      <c r="E217" s="61"/>
      <c r="F217" s="70"/>
      <c r="G217" s="70"/>
    </row>
    <row r="218">
      <c r="A218" s="70"/>
      <c r="B218" s="61"/>
      <c r="C218" s="61"/>
      <c r="D218" s="61"/>
      <c r="E218" s="61"/>
      <c r="F218" s="70"/>
      <c r="G218" s="70"/>
    </row>
    <row r="219">
      <c r="A219" s="70"/>
      <c r="B219" s="61"/>
      <c r="C219" s="61"/>
      <c r="D219" s="61"/>
      <c r="E219" s="61"/>
      <c r="F219" s="70"/>
      <c r="G219" s="70"/>
    </row>
    <row r="220">
      <c r="A220" s="70"/>
      <c r="B220" s="61"/>
      <c r="C220" s="61"/>
      <c r="D220" s="61"/>
      <c r="E220" s="61"/>
      <c r="F220" s="70"/>
      <c r="G220" s="70"/>
    </row>
    <row r="221">
      <c r="A221" s="70"/>
      <c r="B221" s="61"/>
      <c r="C221" s="61"/>
      <c r="D221" s="61"/>
      <c r="E221" s="61"/>
      <c r="F221" s="70"/>
      <c r="G221" s="70"/>
    </row>
    <row r="222">
      <c r="A222" s="70"/>
      <c r="B222" s="61"/>
      <c r="C222" s="61"/>
      <c r="D222" s="61"/>
      <c r="E222" s="61"/>
      <c r="F222" s="70"/>
      <c r="G222" s="70"/>
    </row>
    <row r="223">
      <c r="A223" s="70"/>
      <c r="B223" s="61"/>
      <c r="C223" s="61"/>
      <c r="D223" s="61"/>
      <c r="E223" s="61"/>
      <c r="F223" s="70"/>
      <c r="G223" s="70"/>
    </row>
    <row r="224">
      <c r="A224" s="70"/>
      <c r="B224" s="61"/>
      <c r="C224" s="61"/>
      <c r="D224" s="61"/>
      <c r="E224" s="61"/>
      <c r="F224" s="70"/>
      <c r="G224" s="70"/>
    </row>
    <row r="225">
      <c r="A225" s="70"/>
      <c r="B225" s="61"/>
      <c r="C225" s="61"/>
      <c r="D225" s="61"/>
      <c r="E225" s="61"/>
      <c r="F225" s="70"/>
      <c r="G225" s="70"/>
    </row>
    <row r="226">
      <c r="A226" s="70"/>
      <c r="B226" s="61"/>
      <c r="C226" s="61"/>
      <c r="D226" s="61"/>
      <c r="E226" s="61"/>
      <c r="F226" s="70"/>
      <c r="G226" s="70"/>
    </row>
    <row r="227">
      <c r="A227" s="70"/>
      <c r="B227" s="61"/>
      <c r="C227" s="61"/>
      <c r="D227" s="61"/>
      <c r="E227" s="61"/>
      <c r="F227" s="70"/>
      <c r="G227" s="70"/>
    </row>
    <row r="228">
      <c r="A228" s="70"/>
      <c r="B228" s="61"/>
      <c r="C228" s="61"/>
      <c r="D228" s="61"/>
      <c r="E228" s="61"/>
      <c r="F228" s="70"/>
      <c r="G228" s="70"/>
    </row>
    <row r="229">
      <c r="A229" s="70"/>
      <c r="B229" s="61"/>
      <c r="C229" s="61"/>
      <c r="D229" s="61"/>
      <c r="E229" s="61"/>
      <c r="F229" s="70"/>
      <c r="G229" s="70"/>
    </row>
    <row r="230">
      <c r="A230" s="70"/>
      <c r="B230" s="61"/>
      <c r="C230" s="61"/>
      <c r="D230" s="61"/>
      <c r="E230" s="61"/>
      <c r="F230" s="70"/>
      <c r="G230" s="70"/>
    </row>
    <row r="231">
      <c r="A231" s="70"/>
      <c r="B231" s="61"/>
      <c r="C231" s="61"/>
      <c r="D231" s="61"/>
      <c r="E231" s="61"/>
      <c r="F231" s="70"/>
      <c r="G231" s="70"/>
    </row>
    <row r="232">
      <c r="A232" s="70"/>
      <c r="B232" s="61"/>
      <c r="C232" s="61"/>
      <c r="D232" s="61"/>
      <c r="E232" s="61"/>
      <c r="F232" s="70"/>
      <c r="G232" s="70"/>
    </row>
    <row r="233">
      <c r="A233" s="70"/>
      <c r="B233" s="61"/>
      <c r="C233" s="61"/>
      <c r="D233" s="61"/>
      <c r="E233" s="61"/>
      <c r="F233" s="70"/>
      <c r="G233" s="70"/>
    </row>
    <row r="234">
      <c r="A234" s="70"/>
      <c r="B234" s="61"/>
      <c r="C234" s="61"/>
      <c r="D234" s="61"/>
      <c r="E234" s="61"/>
      <c r="F234" s="70"/>
      <c r="G234" s="70"/>
    </row>
    <row r="235">
      <c r="A235" s="70"/>
      <c r="B235" s="61"/>
      <c r="C235" s="61"/>
      <c r="D235" s="61"/>
      <c r="E235" s="61"/>
      <c r="F235" s="70"/>
      <c r="G235" s="70"/>
    </row>
    <row r="236">
      <c r="A236" s="70"/>
      <c r="B236" s="61"/>
      <c r="C236" s="61"/>
      <c r="D236" s="61"/>
      <c r="E236" s="61"/>
      <c r="F236" s="70"/>
      <c r="G236" s="70"/>
    </row>
    <row r="237">
      <c r="A237" s="70"/>
      <c r="B237" s="61"/>
      <c r="C237" s="61"/>
      <c r="D237" s="61"/>
      <c r="E237" s="61"/>
      <c r="F237" s="70"/>
      <c r="G237" s="70"/>
    </row>
    <row r="238">
      <c r="A238" s="70"/>
      <c r="B238" s="61"/>
      <c r="C238" s="61"/>
      <c r="D238" s="61"/>
      <c r="E238" s="61"/>
      <c r="F238" s="70"/>
      <c r="G238" s="70"/>
    </row>
    <row r="239">
      <c r="A239" s="70"/>
      <c r="B239" s="61"/>
      <c r="C239" s="61"/>
      <c r="D239" s="61"/>
      <c r="E239" s="61"/>
      <c r="F239" s="70"/>
      <c r="G239" s="70"/>
    </row>
    <row r="240">
      <c r="A240" s="70"/>
      <c r="B240" s="61"/>
      <c r="C240" s="61"/>
      <c r="D240" s="61"/>
      <c r="E240" s="61"/>
      <c r="F240" s="70"/>
      <c r="G240" s="70"/>
    </row>
    <row r="241">
      <c r="A241" s="70"/>
      <c r="B241" s="61"/>
      <c r="C241" s="61"/>
      <c r="D241" s="61"/>
      <c r="E241" s="61"/>
      <c r="F241" s="70"/>
      <c r="G241" s="70"/>
    </row>
    <row r="242">
      <c r="A242" s="70"/>
      <c r="B242" s="61"/>
      <c r="C242" s="61"/>
      <c r="D242" s="61"/>
      <c r="E242" s="61"/>
      <c r="F242" s="70"/>
      <c r="G242" s="70"/>
    </row>
    <row r="243">
      <c r="A243" s="70"/>
      <c r="B243" s="61"/>
      <c r="C243" s="61"/>
      <c r="D243" s="61"/>
      <c r="E243" s="61"/>
      <c r="F243" s="70"/>
      <c r="G243" s="70"/>
    </row>
    <row r="244">
      <c r="A244" s="70"/>
      <c r="B244" s="61"/>
      <c r="C244" s="61"/>
      <c r="D244" s="61"/>
      <c r="E244" s="61"/>
      <c r="F244" s="70"/>
      <c r="G244" s="70"/>
    </row>
    <row r="245">
      <c r="A245" s="70"/>
      <c r="B245" s="61"/>
      <c r="C245" s="61"/>
      <c r="D245" s="61"/>
      <c r="E245" s="61"/>
      <c r="F245" s="70"/>
      <c r="G245" s="70"/>
    </row>
    <row r="246">
      <c r="A246" s="70"/>
      <c r="B246" s="61"/>
      <c r="C246" s="61"/>
      <c r="D246" s="61"/>
      <c r="E246" s="61"/>
      <c r="F246" s="70"/>
      <c r="G246" s="70"/>
    </row>
    <row r="247">
      <c r="A247" s="70"/>
      <c r="B247" s="61"/>
      <c r="C247" s="61"/>
      <c r="D247" s="61"/>
      <c r="E247" s="61"/>
      <c r="F247" s="70"/>
      <c r="G247" s="70"/>
    </row>
    <row r="248">
      <c r="A248" s="70"/>
      <c r="B248" s="61"/>
      <c r="C248" s="61"/>
      <c r="D248" s="61"/>
      <c r="E248" s="61"/>
      <c r="F248" s="70"/>
      <c r="G248" s="70"/>
    </row>
    <row r="249">
      <c r="A249" s="70"/>
      <c r="B249" s="61"/>
      <c r="C249" s="61"/>
      <c r="D249" s="61"/>
      <c r="E249" s="61"/>
      <c r="F249" s="70"/>
      <c r="G249" s="70"/>
    </row>
    <row r="250">
      <c r="A250" s="70"/>
      <c r="B250" s="61"/>
      <c r="C250" s="61"/>
      <c r="D250" s="61"/>
      <c r="E250" s="61"/>
      <c r="F250" s="70"/>
      <c r="G250" s="70"/>
    </row>
    <row r="251">
      <c r="A251" s="70"/>
      <c r="B251" s="61"/>
      <c r="C251" s="61"/>
      <c r="D251" s="61"/>
      <c r="E251" s="61"/>
      <c r="F251" s="70"/>
      <c r="G251" s="70"/>
    </row>
    <row r="252">
      <c r="A252" s="70"/>
      <c r="B252" s="61"/>
      <c r="C252" s="61"/>
      <c r="D252" s="61"/>
      <c r="E252" s="61"/>
      <c r="F252" s="70"/>
      <c r="G252" s="70"/>
    </row>
    <row r="253">
      <c r="A253" s="70"/>
      <c r="B253" s="61"/>
      <c r="C253" s="61"/>
      <c r="D253" s="61"/>
      <c r="E253" s="61"/>
      <c r="F253" s="70"/>
      <c r="G253" s="70"/>
    </row>
    <row r="254">
      <c r="A254" s="70"/>
      <c r="B254" s="61"/>
      <c r="C254" s="61"/>
      <c r="D254" s="61"/>
      <c r="E254" s="61"/>
      <c r="F254" s="70"/>
      <c r="G254" s="70"/>
    </row>
    <row r="255">
      <c r="A255" s="70"/>
      <c r="B255" s="61"/>
      <c r="C255" s="61"/>
      <c r="D255" s="61"/>
      <c r="E255" s="61"/>
      <c r="F255" s="70"/>
      <c r="G255" s="70"/>
    </row>
    <row r="256">
      <c r="A256" s="70"/>
      <c r="B256" s="61"/>
      <c r="C256" s="61"/>
      <c r="D256" s="61"/>
      <c r="E256" s="61"/>
      <c r="F256" s="70"/>
      <c r="G256" s="70"/>
    </row>
    <row r="257">
      <c r="A257" s="70"/>
      <c r="B257" s="61"/>
      <c r="C257" s="61"/>
      <c r="D257" s="61"/>
      <c r="E257" s="61"/>
      <c r="F257" s="70"/>
      <c r="G257" s="70"/>
    </row>
    <row r="258">
      <c r="A258" s="70"/>
      <c r="B258" s="61"/>
      <c r="C258" s="61"/>
      <c r="D258" s="61"/>
      <c r="E258" s="61"/>
      <c r="F258" s="70"/>
      <c r="G258" s="70"/>
    </row>
    <row r="259">
      <c r="A259" s="70"/>
      <c r="B259" s="61"/>
      <c r="C259" s="61"/>
      <c r="D259" s="61"/>
      <c r="E259" s="61"/>
      <c r="F259" s="70"/>
      <c r="G259" s="70"/>
    </row>
    <row r="260">
      <c r="A260" s="70"/>
      <c r="B260" s="61"/>
      <c r="C260" s="61"/>
      <c r="D260" s="61"/>
      <c r="E260" s="61"/>
      <c r="F260" s="70"/>
      <c r="G260" s="70"/>
    </row>
    <row r="261">
      <c r="A261" s="70"/>
      <c r="B261" s="61"/>
      <c r="C261" s="61"/>
      <c r="D261" s="61"/>
      <c r="E261" s="61"/>
      <c r="F261" s="70"/>
      <c r="G261" s="70"/>
    </row>
    <row r="262">
      <c r="A262" s="70"/>
      <c r="B262" s="61"/>
      <c r="C262" s="61"/>
      <c r="D262" s="61"/>
      <c r="E262" s="61"/>
      <c r="F262" s="70"/>
      <c r="G262" s="70"/>
    </row>
    <row r="263">
      <c r="A263" s="70"/>
      <c r="B263" s="61"/>
      <c r="C263" s="61"/>
      <c r="D263" s="61"/>
      <c r="E263" s="61"/>
      <c r="F263" s="70"/>
      <c r="G263" s="70"/>
    </row>
    <row r="264">
      <c r="A264" s="70"/>
      <c r="B264" s="61"/>
      <c r="C264" s="61"/>
      <c r="D264" s="61"/>
      <c r="E264" s="61"/>
      <c r="F264" s="70"/>
      <c r="G264" s="70"/>
    </row>
    <row r="265">
      <c r="A265" s="70"/>
      <c r="B265" s="61"/>
      <c r="C265" s="61"/>
      <c r="D265" s="61"/>
      <c r="E265" s="61"/>
      <c r="F265" s="70"/>
      <c r="G265" s="70"/>
    </row>
    <row r="266">
      <c r="A266" s="70"/>
      <c r="B266" s="61"/>
      <c r="C266" s="61"/>
      <c r="D266" s="61"/>
      <c r="E266" s="61"/>
      <c r="F266" s="70"/>
      <c r="G266" s="70"/>
    </row>
    <row r="267">
      <c r="A267" s="70"/>
      <c r="B267" s="61"/>
      <c r="C267" s="61"/>
      <c r="D267" s="61"/>
      <c r="E267" s="61"/>
      <c r="F267" s="70"/>
      <c r="G267" s="70"/>
    </row>
    <row r="268">
      <c r="A268" s="70"/>
      <c r="B268" s="61"/>
      <c r="C268" s="61"/>
      <c r="D268" s="61"/>
      <c r="E268" s="61"/>
      <c r="F268" s="70"/>
      <c r="G268" s="70"/>
    </row>
    <row r="269">
      <c r="A269" s="70"/>
      <c r="B269" s="61"/>
      <c r="C269" s="61"/>
      <c r="D269" s="61"/>
      <c r="E269" s="61"/>
      <c r="F269" s="70"/>
      <c r="G269" s="70"/>
    </row>
    <row r="270">
      <c r="A270" s="70"/>
      <c r="B270" s="61"/>
      <c r="C270" s="61"/>
      <c r="D270" s="61"/>
      <c r="E270" s="61"/>
      <c r="F270" s="70"/>
      <c r="G270" s="70"/>
    </row>
    <row r="271">
      <c r="A271" s="70"/>
      <c r="B271" s="61"/>
      <c r="C271" s="61"/>
      <c r="D271" s="61"/>
      <c r="E271" s="61"/>
      <c r="F271" s="70"/>
      <c r="G271" s="70"/>
    </row>
    <row r="272">
      <c r="A272" s="70"/>
      <c r="B272" s="61"/>
      <c r="C272" s="61"/>
      <c r="D272" s="61"/>
      <c r="E272" s="61"/>
      <c r="F272" s="70"/>
      <c r="G272" s="70"/>
    </row>
    <row r="273">
      <c r="A273" s="70"/>
      <c r="B273" s="61"/>
      <c r="C273" s="61"/>
      <c r="D273" s="61"/>
      <c r="E273" s="61"/>
      <c r="F273" s="70"/>
      <c r="G273" s="70"/>
    </row>
    <row r="274">
      <c r="A274" s="70"/>
      <c r="B274" s="61"/>
      <c r="C274" s="61"/>
      <c r="D274" s="61"/>
      <c r="E274" s="61"/>
      <c r="F274" s="70"/>
      <c r="G274" s="70"/>
    </row>
    <row r="275">
      <c r="A275" s="70"/>
      <c r="B275" s="61"/>
      <c r="C275" s="61"/>
      <c r="D275" s="61"/>
      <c r="E275" s="61"/>
      <c r="F275" s="70"/>
      <c r="G275" s="70"/>
    </row>
    <row r="276">
      <c r="A276" s="70"/>
      <c r="B276" s="61"/>
      <c r="C276" s="61"/>
      <c r="D276" s="61"/>
      <c r="E276" s="61"/>
      <c r="F276" s="70"/>
      <c r="G276" s="70"/>
    </row>
    <row r="277">
      <c r="A277" s="70"/>
      <c r="B277" s="61"/>
      <c r="C277" s="61"/>
      <c r="D277" s="61"/>
      <c r="E277" s="61"/>
      <c r="F277" s="70"/>
      <c r="G277" s="70"/>
    </row>
    <row r="278">
      <c r="A278" s="70"/>
      <c r="B278" s="61"/>
      <c r="C278" s="61"/>
      <c r="D278" s="61"/>
      <c r="E278" s="61"/>
      <c r="F278" s="70"/>
      <c r="G278" s="70"/>
    </row>
    <row r="279">
      <c r="A279" s="70"/>
      <c r="B279" s="61"/>
      <c r="C279" s="61"/>
      <c r="D279" s="61"/>
      <c r="E279" s="61"/>
      <c r="F279" s="70"/>
      <c r="G279" s="70"/>
    </row>
    <row r="280">
      <c r="A280" s="70"/>
      <c r="B280" s="61"/>
      <c r="C280" s="61"/>
      <c r="D280" s="61"/>
      <c r="E280" s="61"/>
      <c r="F280" s="70"/>
      <c r="G280" s="70"/>
    </row>
    <row r="281">
      <c r="A281" s="70"/>
      <c r="B281" s="61"/>
      <c r="C281" s="61"/>
      <c r="D281" s="61"/>
      <c r="E281" s="61"/>
      <c r="F281" s="70"/>
      <c r="G281" s="70"/>
    </row>
    <row r="282">
      <c r="A282" s="70"/>
      <c r="B282" s="61"/>
      <c r="C282" s="61"/>
      <c r="D282" s="61"/>
      <c r="E282" s="61"/>
      <c r="F282" s="70"/>
      <c r="G282" s="70"/>
    </row>
    <row r="283">
      <c r="A283" s="70"/>
      <c r="B283" s="61"/>
      <c r="C283" s="61"/>
      <c r="D283" s="61"/>
      <c r="E283" s="61"/>
      <c r="F283" s="70"/>
      <c r="G283" s="70"/>
    </row>
    <row r="284">
      <c r="A284" s="70"/>
      <c r="B284" s="61"/>
      <c r="C284" s="61"/>
      <c r="D284" s="61"/>
      <c r="E284" s="61"/>
      <c r="F284" s="70"/>
      <c r="G284" s="70"/>
    </row>
    <row r="285">
      <c r="A285" s="70"/>
      <c r="B285" s="61"/>
      <c r="C285" s="61"/>
      <c r="D285" s="61"/>
      <c r="E285" s="61"/>
      <c r="F285" s="70"/>
      <c r="G285" s="70"/>
    </row>
    <row r="286">
      <c r="A286" s="70"/>
      <c r="B286" s="61"/>
      <c r="C286" s="61"/>
      <c r="D286" s="61"/>
      <c r="E286" s="61"/>
      <c r="F286" s="70"/>
      <c r="G286" s="70"/>
    </row>
    <row r="287">
      <c r="A287" s="70"/>
      <c r="B287" s="61"/>
      <c r="C287" s="61"/>
      <c r="D287" s="61"/>
      <c r="E287" s="61"/>
      <c r="F287" s="70"/>
      <c r="G287" s="70"/>
    </row>
    <row r="288">
      <c r="A288" s="70"/>
      <c r="B288" s="61"/>
      <c r="C288" s="61"/>
      <c r="D288" s="61"/>
      <c r="E288" s="61"/>
      <c r="F288" s="70"/>
      <c r="G288" s="70"/>
    </row>
    <row r="289">
      <c r="A289" s="70"/>
      <c r="B289" s="61"/>
      <c r="C289" s="61"/>
      <c r="D289" s="61"/>
      <c r="E289" s="61"/>
      <c r="F289" s="70"/>
      <c r="G289" s="70"/>
    </row>
    <row r="290">
      <c r="A290" s="70"/>
      <c r="B290" s="61"/>
      <c r="C290" s="61"/>
      <c r="D290" s="61"/>
      <c r="E290" s="61"/>
      <c r="F290" s="70"/>
      <c r="G290" s="70"/>
    </row>
    <row r="291">
      <c r="A291" s="70"/>
      <c r="B291" s="61"/>
      <c r="C291" s="61"/>
      <c r="D291" s="61"/>
      <c r="E291" s="61"/>
      <c r="F291" s="70"/>
      <c r="G291" s="70"/>
    </row>
    <row r="292">
      <c r="A292" s="70"/>
      <c r="B292" s="61"/>
      <c r="C292" s="61"/>
      <c r="D292" s="61"/>
      <c r="E292" s="61"/>
      <c r="F292" s="70"/>
      <c r="G292" s="70"/>
    </row>
    <row r="293">
      <c r="A293" s="70"/>
      <c r="B293" s="61"/>
      <c r="C293" s="61"/>
      <c r="D293" s="61"/>
      <c r="E293" s="61"/>
      <c r="F293" s="70"/>
      <c r="G293" s="70"/>
    </row>
    <row r="294">
      <c r="A294" s="70"/>
      <c r="B294" s="61"/>
      <c r="C294" s="61"/>
      <c r="D294" s="61"/>
      <c r="E294" s="61"/>
      <c r="F294" s="70"/>
      <c r="G294" s="70"/>
    </row>
    <row r="295">
      <c r="A295" s="70"/>
      <c r="B295" s="61"/>
      <c r="C295" s="61"/>
      <c r="D295" s="61"/>
      <c r="E295" s="61"/>
      <c r="F295" s="70"/>
      <c r="G295" s="70"/>
    </row>
    <row r="296">
      <c r="A296" s="70"/>
      <c r="B296" s="61"/>
      <c r="C296" s="61"/>
      <c r="D296" s="61"/>
      <c r="E296" s="61"/>
      <c r="F296" s="70"/>
      <c r="G296" s="70"/>
    </row>
    <row r="297">
      <c r="A297" s="70"/>
      <c r="B297" s="61"/>
      <c r="C297" s="61"/>
      <c r="D297" s="61"/>
      <c r="E297" s="61"/>
      <c r="F297" s="70"/>
      <c r="G297" s="70"/>
    </row>
    <row r="298">
      <c r="A298" s="70"/>
      <c r="B298" s="61"/>
      <c r="C298" s="61"/>
      <c r="D298" s="61"/>
      <c r="E298" s="61"/>
      <c r="F298" s="70"/>
      <c r="G298" s="70"/>
    </row>
    <row r="299">
      <c r="A299" s="70"/>
      <c r="B299" s="61"/>
      <c r="C299" s="61"/>
      <c r="D299" s="61"/>
      <c r="E299" s="61"/>
      <c r="F299" s="70"/>
      <c r="G299" s="70"/>
    </row>
    <row r="300">
      <c r="A300" s="70"/>
      <c r="B300" s="61"/>
      <c r="C300" s="61"/>
      <c r="D300" s="61"/>
      <c r="E300" s="61"/>
      <c r="F300" s="70"/>
      <c r="G300" s="70"/>
    </row>
    <row r="301">
      <c r="A301" s="70"/>
      <c r="B301" s="61"/>
      <c r="C301" s="61"/>
      <c r="D301" s="61"/>
      <c r="E301" s="61"/>
      <c r="F301" s="70"/>
      <c r="G301" s="70"/>
    </row>
    <row r="302">
      <c r="A302" s="70"/>
      <c r="B302" s="61"/>
      <c r="C302" s="61"/>
      <c r="D302" s="61"/>
      <c r="E302" s="61"/>
      <c r="F302" s="70"/>
      <c r="G302" s="70"/>
    </row>
    <row r="303">
      <c r="A303" s="70"/>
      <c r="B303" s="61"/>
      <c r="C303" s="61"/>
      <c r="D303" s="61"/>
      <c r="E303" s="61"/>
      <c r="F303" s="70"/>
      <c r="G303" s="70"/>
    </row>
    <row r="304">
      <c r="A304" s="70"/>
      <c r="B304" s="61"/>
      <c r="C304" s="61"/>
      <c r="D304" s="61"/>
      <c r="E304" s="61"/>
      <c r="F304" s="70"/>
      <c r="G304" s="70"/>
    </row>
    <row r="305">
      <c r="A305" s="70"/>
      <c r="B305" s="61"/>
      <c r="C305" s="61"/>
      <c r="D305" s="61"/>
      <c r="E305" s="61"/>
      <c r="F305" s="70"/>
      <c r="G305" s="70"/>
    </row>
    <row r="306">
      <c r="A306" s="70"/>
      <c r="B306" s="61"/>
      <c r="C306" s="61"/>
      <c r="D306" s="61"/>
      <c r="E306" s="61"/>
      <c r="F306" s="70"/>
      <c r="G306" s="70"/>
    </row>
    <row r="307">
      <c r="A307" s="70"/>
      <c r="B307" s="61"/>
      <c r="C307" s="61"/>
      <c r="D307" s="61"/>
      <c r="E307" s="61"/>
      <c r="F307" s="70"/>
      <c r="G307" s="70"/>
    </row>
    <row r="308">
      <c r="A308" s="70"/>
      <c r="B308" s="61"/>
      <c r="C308" s="61"/>
      <c r="D308" s="61"/>
      <c r="E308" s="61"/>
      <c r="F308" s="70"/>
      <c r="G308" s="70"/>
    </row>
    <row r="309">
      <c r="A309" s="70"/>
      <c r="B309" s="61"/>
      <c r="C309" s="61"/>
      <c r="D309" s="61"/>
      <c r="E309" s="61"/>
      <c r="F309" s="70"/>
      <c r="G309" s="70"/>
    </row>
    <row r="310">
      <c r="A310" s="70"/>
      <c r="B310" s="61"/>
      <c r="C310" s="61"/>
      <c r="D310" s="61"/>
      <c r="E310" s="61"/>
      <c r="F310" s="70"/>
      <c r="G310" s="70"/>
    </row>
    <row r="311">
      <c r="A311" s="70"/>
      <c r="B311" s="61"/>
      <c r="C311" s="61"/>
      <c r="D311" s="61"/>
      <c r="E311" s="61"/>
      <c r="F311" s="70"/>
      <c r="G311" s="70"/>
    </row>
    <row r="312">
      <c r="A312" s="70"/>
      <c r="B312" s="61"/>
      <c r="C312" s="61"/>
      <c r="D312" s="61"/>
      <c r="E312" s="61"/>
      <c r="F312" s="70"/>
      <c r="G312" s="70"/>
    </row>
    <row r="313">
      <c r="A313" s="70"/>
      <c r="B313" s="61"/>
      <c r="C313" s="61"/>
      <c r="D313" s="61"/>
      <c r="E313" s="61"/>
      <c r="F313" s="70"/>
      <c r="G313" s="70"/>
    </row>
    <row r="314">
      <c r="A314" s="70"/>
      <c r="B314" s="61"/>
      <c r="C314" s="61"/>
      <c r="D314" s="61"/>
      <c r="E314" s="61"/>
      <c r="F314" s="70"/>
      <c r="G314" s="70"/>
    </row>
    <row r="315">
      <c r="A315" s="70"/>
      <c r="B315" s="61"/>
      <c r="C315" s="61"/>
      <c r="D315" s="61"/>
      <c r="E315" s="61"/>
      <c r="F315" s="70"/>
      <c r="G315" s="70"/>
    </row>
    <row r="316">
      <c r="A316" s="70"/>
      <c r="B316" s="61"/>
      <c r="C316" s="61"/>
      <c r="D316" s="61"/>
      <c r="E316" s="61"/>
      <c r="F316" s="70"/>
      <c r="G316" s="70"/>
    </row>
    <row r="317">
      <c r="A317" s="70"/>
      <c r="B317" s="61"/>
      <c r="C317" s="61"/>
      <c r="D317" s="61"/>
      <c r="E317" s="61"/>
      <c r="F317" s="70"/>
      <c r="G317" s="70"/>
    </row>
    <row r="318">
      <c r="A318" s="70"/>
      <c r="B318" s="61"/>
      <c r="C318" s="61"/>
      <c r="D318" s="61"/>
      <c r="E318" s="61"/>
      <c r="F318" s="70"/>
      <c r="G318" s="70"/>
    </row>
    <row r="319">
      <c r="A319" s="70"/>
      <c r="B319" s="61"/>
      <c r="C319" s="61"/>
      <c r="D319" s="61"/>
      <c r="E319" s="61"/>
      <c r="F319" s="70"/>
      <c r="G319" s="70"/>
    </row>
    <row r="320">
      <c r="A320" s="70"/>
      <c r="B320" s="61"/>
      <c r="C320" s="61"/>
      <c r="D320" s="61"/>
      <c r="E320" s="61"/>
      <c r="F320" s="70"/>
      <c r="G320" s="70"/>
    </row>
    <row r="321">
      <c r="A321" s="70"/>
      <c r="B321" s="61"/>
      <c r="C321" s="61"/>
      <c r="D321" s="61"/>
      <c r="E321" s="61"/>
      <c r="F321" s="70"/>
      <c r="G321" s="70"/>
    </row>
    <row r="322">
      <c r="A322" s="70"/>
      <c r="B322" s="61"/>
      <c r="C322" s="61"/>
      <c r="D322" s="61"/>
      <c r="E322" s="61"/>
      <c r="F322" s="70"/>
      <c r="G322" s="70"/>
    </row>
    <row r="323">
      <c r="A323" s="70"/>
      <c r="B323" s="61"/>
      <c r="C323" s="61"/>
      <c r="D323" s="61"/>
      <c r="E323" s="61"/>
      <c r="F323" s="70"/>
      <c r="G323" s="70"/>
    </row>
    <row r="324">
      <c r="A324" s="70"/>
      <c r="B324" s="61"/>
      <c r="C324" s="61"/>
      <c r="D324" s="61"/>
      <c r="E324" s="61"/>
      <c r="F324" s="70"/>
      <c r="G324" s="70"/>
    </row>
    <row r="325">
      <c r="A325" s="70"/>
      <c r="B325" s="61"/>
      <c r="C325" s="61"/>
      <c r="D325" s="61"/>
      <c r="E325" s="61"/>
      <c r="F325" s="70"/>
      <c r="G325" s="70"/>
    </row>
    <row r="326">
      <c r="A326" s="70"/>
      <c r="B326" s="61"/>
      <c r="C326" s="61"/>
      <c r="D326" s="61"/>
      <c r="E326" s="61"/>
      <c r="F326" s="70"/>
      <c r="G326" s="70"/>
    </row>
    <row r="327">
      <c r="A327" s="70"/>
      <c r="B327" s="61"/>
      <c r="C327" s="61"/>
      <c r="D327" s="61"/>
      <c r="E327" s="61"/>
      <c r="F327" s="70"/>
      <c r="G327" s="70"/>
    </row>
    <row r="328">
      <c r="A328" s="70"/>
      <c r="B328" s="61"/>
      <c r="C328" s="61"/>
      <c r="D328" s="61"/>
      <c r="E328" s="61"/>
      <c r="F328" s="70"/>
      <c r="G328" s="70"/>
    </row>
    <row r="329">
      <c r="A329" s="70"/>
      <c r="B329" s="61"/>
      <c r="C329" s="61"/>
      <c r="D329" s="61"/>
      <c r="E329" s="61"/>
      <c r="F329" s="70"/>
      <c r="G329" s="70"/>
    </row>
    <row r="330">
      <c r="A330" s="70"/>
      <c r="B330" s="61"/>
      <c r="C330" s="61"/>
      <c r="D330" s="61"/>
      <c r="E330" s="61"/>
      <c r="F330" s="70"/>
      <c r="G330" s="70"/>
    </row>
    <row r="331">
      <c r="A331" s="70"/>
      <c r="B331" s="61"/>
      <c r="C331" s="61"/>
      <c r="D331" s="61"/>
      <c r="E331" s="61"/>
      <c r="F331" s="70"/>
      <c r="G331" s="70"/>
    </row>
    <row r="332">
      <c r="A332" s="70"/>
      <c r="B332" s="61"/>
      <c r="C332" s="61"/>
      <c r="D332" s="61"/>
      <c r="E332" s="61"/>
      <c r="F332" s="70"/>
      <c r="G332" s="70"/>
    </row>
    <row r="333">
      <c r="A333" s="70"/>
      <c r="B333" s="61"/>
      <c r="C333" s="61"/>
      <c r="D333" s="61"/>
      <c r="E333" s="61"/>
      <c r="F333" s="70"/>
      <c r="G333" s="70"/>
    </row>
    <row r="334">
      <c r="A334" s="70"/>
      <c r="B334" s="61"/>
      <c r="C334" s="61"/>
      <c r="D334" s="61"/>
      <c r="E334" s="61"/>
      <c r="F334" s="70"/>
      <c r="G334" s="70"/>
    </row>
    <row r="335">
      <c r="A335" s="70"/>
      <c r="B335" s="61"/>
      <c r="C335" s="61"/>
      <c r="D335" s="61"/>
      <c r="E335" s="61"/>
      <c r="F335" s="70"/>
      <c r="G335" s="70"/>
    </row>
    <row r="336">
      <c r="A336" s="70"/>
      <c r="B336" s="61"/>
      <c r="C336" s="61"/>
      <c r="D336" s="61"/>
      <c r="E336" s="61"/>
      <c r="F336" s="70"/>
      <c r="G336" s="70"/>
    </row>
    <row r="337">
      <c r="A337" s="70"/>
      <c r="B337" s="61"/>
      <c r="C337" s="61"/>
      <c r="D337" s="61"/>
      <c r="E337" s="61"/>
      <c r="F337" s="70"/>
      <c r="G337" s="70"/>
    </row>
    <row r="338">
      <c r="A338" s="70"/>
      <c r="B338" s="61"/>
      <c r="C338" s="61"/>
      <c r="D338" s="61"/>
      <c r="E338" s="61"/>
      <c r="F338" s="70"/>
      <c r="G338" s="70"/>
    </row>
    <row r="339">
      <c r="A339" s="70"/>
      <c r="B339" s="61"/>
      <c r="C339" s="61"/>
      <c r="D339" s="61"/>
      <c r="E339" s="61"/>
      <c r="F339" s="70"/>
      <c r="G339" s="70"/>
    </row>
    <row r="340">
      <c r="A340" s="70"/>
      <c r="B340" s="61"/>
      <c r="C340" s="61"/>
      <c r="D340" s="61"/>
      <c r="E340" s="61"/>
      <c r="F340" s="70"/>
      <c r="G340" s="70"/>
    </row>
    <row r="341">
      <c r="A341" s="70"/>
      <c r="B341" s="61"/>
      <c r="C341" s="61"/>
      <c r="D341" s="61"/>
      <c r="E341" s="61"/>
      <c r="F341" s="70"/>
      <c r="G341" s="70"/>
    </row>
    <row r="342">
      <c r="A342" s="70"/>
      <c r="B342" s="61"/>
      <c r="C342" s="61"/>
      <c r="D342" s="61"/>
      <c r="E342" s="61"/>
      <c r="F342" s="70"/>
      <c r="G342" s="70"/>
    </row>
    <row r="343">
      <c r="A343" s="70"/>
      <c r="B343" s="61"/>
      <c r="C343" s="61"/>
      <c r="D343" s="61"/>
      <c r="E343" s="61"/>
      <c r="F343" s="70"/>
      <c r="G343" s="70"/>
    </row>
    <row r="344">
      <c r="A344" s="70"/>
      <c r="B344" s="61"/>
      <c r="C344" s="61"/>
      <c r="D344" s="61"/>
      <c r="E344" s="61"/>
      <c r="F344" s="70"/>
      <c r="G344" s="70"/>
    </row>
    <row r="345">
      <c r="A345" s="70"/>
      <c r="B345" s="61"/>
      <c r="C345" s="61"/>
      <c r="D345" s="61"/>
      <c r="E345" s="61"/>
      <c r="F345" s="70"/>
      <c r="G345" s="70"/>
    </row>
    <row r="346">
      <c r="A346" s="70"/>
      <c r="B346" s="61"/>
      <c r="C346" s="61"/>
      <c r="D346" s="61"/>
      <c r="E346" s="61"/>
      <c r="F346" s="70"/>
      <c r="G346" s="70"/>
    </row>
    <row r="347">
      <c r="A347" s="70"/>
      <c r="B347" s="61"/>
      <c r="C347" s="61"/>
      <c r="D347" s="61"/>
      <c r="E347" s="61"/>
      <c r="F347" s="70"/>
      <c r="G347" s="70"/>
    </row>
    <row r="348">
      <c r="A348" s="70"/>
      <c r="B348" s="61"/>
      <c r="C348" s="61"/>
      <c r="D348" s="61"/>
      <c r="E348" s="61"/>
      <c r="F348" s="70"/>
      <c r="G348" s="70"/>
    </row>
    <row r="349">
      <c r="A349" s="70"/>
      <c r="B349" s="61"/>
      <c r="C349" s="61"/>
      <c r="D349" s="61"/>
      <c r="E349" s="61"/>
      <c r="F349" s="70"/>
      <c r="G349" s="70"/>
    </row>
    <row r="350">
      <c r="A350" s="70"/>
      <c r="B350" s="61"/>
      <c r="C350" s="61"/>
      <c r="D350" s="61"/>
      <c r="E350" s="61"/>
      <c r="F350" s="70"/>
      <c r="G350" s="70"/>
    </row>
    <row r="351">
      <c r="A351" s="70"/>
      <c r="B351" s="61"/>
      <c r="C351" s="61"/>
      <c r="D351" s="61"/>
      <c r="E351" s="61"/>
      <c r="F351" s="70"/>
      <c r="G351" s="70"/>
    </row>
    <row r="352">
      <c r="A352" s="70"/>
      <c r="B352" s="61"/>
      <c r="C352" s="61"/>
      <c r="D352" s="61"/>
      <c r="E352" s="61"/>
      <c r="F352" s="70"/>
      <c r="G352" s="70"/>
    </row>
    <row r="353">
      <c r="A353" s="70"/>
      <c r="B353" s="61"/>
      <c r="C353" s="61"/>
      <c r="D353" s="61"/>
      <c r="E353" s="61"/>
      <c r="F353" s="70"/>
      <c r="G353" s="70"/>
    </row>
    <row r="354">
      <c r="A354" s="70"/>
      <c r="B354" s="61"/>
      <c r="C354" s="61"/>
      <c r="D354" s="61"/>
      <c r="E354" s="61"/>
      <c r="F354" s="70"/>
      <c r="G354" s="70"/>
    </row>
    <row r="355">
      <c r="A355" s="70"/>
      <c r="B355" s="61"/>
      <c r="C355" s="61"/>
      <c r="D355" s="61"/>
      <c r="E355" s="61"/>
      <c r="F355" s="70"/>
      <c r="G355" s="70"/>
    </row>
    <row r="356">
      <c r="A356" s="70"/>
      <c r="B356" s="61"/>
      <c r="C356" s="61"/>
      <c r="D356" s="61"/>
      <c r="E356" s="61"/>
      <c r="F356" s="70"/>
      <c r="G356" s="70"/>
    </row>
    <row r="357">
      <c r="A357" s="70"/>
      <c r="B357" s="61"/>
      <c r="C357" s="61"/>
      <c r="D357" s="61"/>
      <c r="E357" s="61"/>
      <c r="F357" s="70"/>
      <c r="G357" s="70"/>
    </row>
    <row r="358">
      <c r="A358" s="70"/>
      <c r="B358" s="61"/>
      <c r="C358" s="61"/>
      <c r="D358" s="61"/>
      <c r="E358" s="61"/>
      <c r="F358" s="70"/>
      <c r="G358" s="70"/>
    </row>
    <row r="359">
      <c r="A359" s="70"/>
      <c r="B359" s="61"/>
      <c r="C359" s="61"/>
      <c r="D359" s="61"/>
      <c r="E359" s="61"/>
      <c r="F359" s="70"/>
      <c r="G359" s="70"/>
    </row>
    <row r="360">
      <c r="A360" s="70"/>
      <c r="B360" s="61"/>
      <c r="C360" s="61"/>
      <c r="D360" s="61"/>
      <c r="E360" s="61"/>
      <c r="F360" s="70"/>
      <c r="G360" s="70"/>
    </row>
    <row r="361">
      <c r="A361" s="70"/>
      <c r="B361" s="61"/>
      <c r="C361" s="61"/>
      <c r="D361" s="61"/>
      <c r="E361" s="61"/>
      <c r="F361" s="70"/>
      <c r="G361" s="70"/>
    </row>
    <row r="362">
      <c r="A362" s="70"/>
      <c r="B362" s="61"/>
      <c r="C362" s="61"/>
      <c r="D362" s="61"/>
      <c r="E362" s="61"/>
      <c r="F362" s="70"/>
      <c r="G362" s="70"/>
    </row>
    <row r="363">
      <c r="A363" s="70"/>
      <c r="B363" s="61"/>
      <c r="C363" s="61"/>
      <c r="D363" s="61"/>
      <c r="E363" s="61"/>
      <c r="F363" s="70"/>
      <c r="G363" s="70"/>
    </row>
    <row r="364">
      <c r="A364" s="70"/>
      <c r="B364" s="61"/>
      <c r="C364" s="61"/>
      <c r="D364" s="61"/>
      <c r="E364" s="61"/>
      <c r="F364" s="70"/>
      <c r="G364" s="70"/>
    </row>
    <row r="365">
      <c r="A365" s="70"/>
      <c r="B365" s="61"/>
      <c r="C365" s="61"/>
      <c r="D365" s="61"/>
      <c r="E365" s="61"/>
      <c r="F365" s="70"/>
      <c r="G365" s="70"/>
    </row>
    <row r="366">
      <c r="A366" s="70"/>
      <c r="B366" s="61"/>
      <c r="C366" s="61"/>
      <c r="D366" s="61"/>
      <c r="E366" s="61"/>
      <c r="F366" s="70"/>
      <c r="G366" s="70"/>
    </row>
    <row r="367">
      <c r="A367" s="70"/>
      <c r="B367" s="61"/>
      <c r="C367" s="61"/>
      <c r="D367" s="61"/>
      <c r="E367" s="61"/>
      <c r="F367" s="70"/>
      <c r="G367" s="70"/>
    </row>
    <row r="368">
      <c r="A368" s="70"/>
      <c r="B368" s="61"/>
      <c r="C368" s="61"/>
      <c r="D368" s="61"/>
      <c r="E368" s="61"/>
      <c r="F368" s="70"/>
      <c r="G368" s="70"/>
    </row>
    <row r="369">
      <c r="A369" s="70"/>
      <c r="B369" s="61"/>
      <c r="C369" s="61"/>
      <c r="D369" s="61"/>
      <c r="E369" s="61"/>
      <c r="F369" s="70"/>
      <c r="G369" s="70"/>
    </row>
    <row r="370">
      <c r="A370" s="70"/>
      <c r="B370" s="61"/>
      <c r="C370" s="61"/>
      <c r="D370" s="61"/>
      <c r="E370" s="61"/>
      <c r="F370" s="70"/>
      <c r="G370" s="70"/>
    </row>
    <row r="371">
      <c r="A371" s="70"/>
      <c r="B371" s="61"/>
      <c r="C371" s="61"/>
      <c r="D371" s="61"/>
      <c r="E371" s="61"/>
      <c r="F371" s="70"/>
      <c r="G371" s="70"/>
    </row>
    <row r="372">
      <c r="A372" s="70"/>
      <c r="B372" s="61"/>
      <c r="C372" s="61"/>
      <c r="D372" s="61"/>
      <c r="E372" s="61"/>
      <c r="F372" s="70"/>
      <c r="G372" s="70"/>
    </row>
    <row r="373">
      <c r="A373" s="70"/>
      <c r="B373" s="61"/>
      <c r="C373" s="61"/>
      <c r="D373" s="61"/>
      <c r="E373" s="61"/>
      <c r="F373" s="70"/>
      <c r="G373" s="70"/>
    </row>
    <row r="374">
      <c r="A374" s="70"/>
      <c r="B374" s="61"/>
      <c r="C374" s="61"/>
      <c r="D374" s="61"/>
      <c r="E374" s="61"/>
      <c r="F374" s="70"/>
      <c r="G374" s="70"/>
    </row>
    <row r="375">
      <c r="A375" s="70"/>
      <c r="B375" s="61"/>
      <c r="C375" s="61"/>
      <c r="D375" s="61"/>
      <c r="E375" s="61"/>
      <c r="F375" s="70"/>
      <c r="G375" s="70"/>
    </row>
    <row r="376">
      <c r="A376" s="70"/>
      <c r="B376" s="61"/>
      <c r="C376" s="61"/>
      <c r="D376" s="61"/>
      <c r="E376" s="61"/>
      <c r="F376" s="70"/>
      <c r="G376" s="70"/>
    </row>
    <row r="377">
      <c r="A377" s="70"/>
      <c r="B377" s="61"/>
      <c r="C377" s="61"/>
      <c r="D377" s="61"/>
      <c r="E377" s="61"/>
      <c r="F377" s="70"/>
      <c r="G377" s="70"/>
    </row>
    <row r="378">
      <c r="A378" s="70"/>
      <c r="B378" s="61"/>
      <c r="C378" s="61"/>
      <c r="D378" s="61"/>
      <c r="E378" s="61"/>
      <c r="F378" s="70"/>
      <c r="G378" s="70"/>
    </row>
    <row r="379">
      <c r="A379" s="70"/>
      <c r="B379" s="61"/>
      <c r="C379" s="61"/>
      <c r="D379" s="61"/>
      <c r="E379" s="61"/>
      <c r="F379" s="70"/>
      <c r="G379" s="70"/>
    </row>
    <row r="380">
      <c r="A380" s="70"/>
      <c r="B380" s="61"/>
      <c r="C380" s="61"/>
      <c r="D380" s="61"/>
      <c r="E380" s="61"/>
      <c r="F380" s="70"/>
      <c r="G380" s="70"/>
    </row>
    <row r="381">
      <c r="A381" s="70"/>
      <c r="B381" s="61"/>
      <c r="C381" s="61"/>
      <c r="D381" s="61"/>
      <c r="E381" s="61"/>
      <c r="F381" s="70"/>
      <c r="G381" s="70"/>
    </row>
    <row r="382">
      <c r="A382" s="70"/>
      <c r="B382" s="61"/>
      <c r="C382" s="61"/>
      <c r="D382" s="61"/>
      <c r="E382" s="61"/>
      <c r="F382" s="70"/>
      <c r="G382" s="70"/>
    </row>
    <row r="383">
      <c r="A383" s="70"/>
      <c r="B383" s="61"/>
      <c r="C383" s="61"/>
      <c r="D383" s="61"/>
      <c r="E383" s="61"/>
      <c r="F383" s="70"/>
      <c r="G383" s="70"/>
    </row>
    <row r="384">
      <c r="A384" s="70"/>
      <c r="B384" s="61"/>
      <c r="C384" s="61"/>
      <c r="D384" s="61"/>
      <c r="E384" s="61"/>
      <c r="F384" s="70"/>
      <c r="G384" s="70"/>
    </row>
    <row r="385">
      <c r="A385" s="70"/>
      <c r="B385" s="61"/>
      <c r="C385" s="61"/>
      <c r="D385" s="61"/>
      <c r="E385" s="61"/>
      <c r="F385" s="70"/>
      <c r="G385" s="70"/>
    </row>
    <row r="386">
      <c r="A386" s="70"/>
      <c r="B386" s="61"/>
      <c r="C386" s="61"/>
      <c r="D386" s="61"/>
      <c r="E386" s="61"/>
      <c r="F386" s="70"/>
      <c r="G386" s="70"/>
    </row>
    <row r="387">
      <c r="A387" s="70"/>
      <c r="B387" s="61"/>
      <c r="C387" s="61"/>
      <c r="D387" s="61"/>
      <c r="E387" s="61"/>
      <c r="F387" s="70"/>
      <c r="G387" s="70"/>
    </row>
    <row r="388">
      <c r="A388" s="70"/>
      <c r="B388" s="61"/>
      <c r="C388" s="61"/>
      <c r="D388" s="61"/>
      <c r="E388" s="61"/>
      <c r="F388" s="70"/>
      <c r="G388" s="70"/>
    </row>
    <row r="389">
      <c r="A389" s="70"/>
      <c r="B389" s="61"/>
      <c r="C389" s="61"/>
      <c r="D389" s="61"/>
      <c r="E389" s="61"/>
      <c r="F389" s="70"/>
      <c r="G389" s="70"/>
    </row>
    <row r="390">
      <c r="A390" s="70"/>
      <c r="B390" s="61"/>
      <c r="C390" s="61"/>
      <c r="D390" s="61"/>
      <c r="E390" s="61"/>
      <c r="F390" s="70"/>
      <c r="G390" s="70"/>
    </row>
    <row r="391">
      <c r="A391" s="70"/>
      <c r="B391" s="61"/>
      <c r="C391" s="61"/>
      <c r="D391" s="61"/>
      <c r="E391" s="61"/>
      <c r="F391" s="70"/>
      <c r="G391" s="70"/>
    </row>
    <row r="392">
      <c r="A392" s="70"/>
      <c r="B392" s="61"/>
      <c r="C392" s="61"/>
      <c r="D392" s="61"/>
      <c r="E392" s="61"/>
      <c r="F392" s="70"/>
      <c r="G392" s="70"/>
    </row>
    <row r="393">
      <c r="A393" s="70"/>
      <c r="B393" s="61"/>
      <c r="C393" s="61"/>
      <c r="D393" s="61"/>
      <c r="E393" s="61"/>
      <c r="F393" s="70"/>
      <c r="G393" s="70"/>
    </row>
    <row r="394">
      <c r="A394" s="70"/>
      <c r="B394" s="61"/>
      <c r="C394" s="61"/>
      <c r="D394" s="61"/>
      <c r="E394" s="61"/>
      <c r="F394" s="70"/>
      <c r="G394" s="70"/>
    </row>
    <row r="395">
      <c r="A395" s="70"/>
      <c r="B395" s="61"/>
      <c r="C395" s="61"/>
      <c r="D395" s="61"/>
      <c r="E395" s="61"/>
      <c r="F395" s="70"/>
      <c r="G395" s="70"/>
    </row>
    <row r="396">
      <c r="A396" s="70"/>
      <c r="B396" s="61"/>
      <c r="C396" s="61"/>
      <c r="D396" s="61"/>
      <c r="E396" s="61"/>
      <c r="F396" s="70"/>
      <c r="G396" s="70"/>
    </row>
    <row r="397">
      <c r="A397" s="70"/>
      <c r="B397" s="61"/>
      <c r="C397" s="61"/>
      <c r="D397" s="61"/>
      <c r="E397" s="61"/>
      <c r="F397" s="70"/>
      <c r="G397" s="70"/>
    </row>
    <row r="398">
      <c r="A398" s="70"/>
      <c r="B398" s="61"/>
      <c r="C398" s="61"/>
      <c r="D398" s="61"/>
      <c r="E398" s="61"/>
      <c r="F398" s="70"/>
      <c r="G398" s="70"/>
    </row>
    <row r="399">
      <c r="A399" s="70"/>
      <c r="B399" s="61"/>
      <c r="C399" s="61"/>
      <c r="D399" s="61"/>
      <c r="E399" s="61"/>
      <c r="F399" s="70"/>
      <c r="G399" s="70"/>
    </row>
    <row r="400">
      <c r="A400" s="70"/>
      <c r="B400" s="61"/>
      <c r="C400" s="61"/>
      <c r="D400" s="61"/>
      <c r="E400" s="61"/>
      <c r="F400" s="70"/>
      <c r="G400" s="70"/>
    </row>
    <row r="401">
      <c r="A401" s="70"/>
      <c r="B401" s="61"/>
      <c r="C401" s="61"/>
      <c r="D401" s="61"/>
      <c r="E401" s="61"/>
      <c r="F401" s="70"/>
      <c r="G401" s="70"/>
    </row>
    <row r="402">
      <c r="A402" s="70"/>
      <c r="B402" s="61"/>
      <c r="C402" s="61"/>
      <c r="D402" s="61"/>
      <c r="E402" s="61"/>
      <c r="F402" s="70"/>
      <c r="G402" s="70"/>
    </row>
    <row r="403">
      <c r="A403" s="70"/>
      <c r="B403" s="61"/>
      <c r="C403" s="61"/>
      <c r="D403" s="61"/>
      <c r="E403" s="61"/>
      <c r="F403" s="70"/>
      <c r="G403" s="70"/>
    </row>
    <row r="404">
      <c r="A404" s="70"/>
      <c r="B404" s="61"/>
      <c r="C404" s="61"/>
      <c r="D404" s="61"/>
      <c r="E404" s="61"/>
      <c r="F404" s="70"/>
      <c r="G404" s="70"/>
    </row>
    <row r="405">
      <c r="A405" s="70"/>
      <c r="B405" s="61"/>
      <c r="C405" s="61"/>
      <c r="D405" s="61"/>
      <c r="E405" s="61"/>
      <c r="F405" s="70"/>
      <c r="G405" s="70"/>
    </row>
    <row r="406">
      <c r="A406" s="70"/>
      <c r="B406" s="61"/>
      <c r="C406" s="61"/>
      <c r="D406" s="61"/>
      <c r="E406" s="61"/>
      <c r="F406" s="70"/>
      <c r="G406" s="70"/>
    </row>
    <row r="407">
      <c r="A407" s="70"/>
      <c r="B407" s="61"/>
      <c r="C407" s="61"/>
      <c r="D407" s="61"/>
      <c r="E407" s="61"/>
      <c r="F407" s="70"/>
      <c r="G407" s="70"/>
    </row>
    <row r="408">
      <c r="A408" s="70"/>
      <c r="B408" s="61"/>
      <c r="C408" s="61"/>
      <c r="D408" s="61"/>
      <c r="E408" s="61"/>
      <c r="F408" s="70"/>
      <c r="G408" s="70"/>
    </row>
    <row r="409">
      <c r="A409" s="70"/>
      <c r="B409" s="61"/>
      <c r="C409" s="61"/>
      <c r="D409" s="61"/>
      <c r="E409" s="61"/>
      <c r="F409" s="70"/>
      <c r="G409" s="70"/>
    </row>
    <row r="410">
      <c r="A410" s="70"/>
      <c r="B410" s="61"/>
      <c r="C410" s="61"/>
      <c r="D410" s="61"/>
      <c r="E410" s="61"/>
      <c r="F410" s="70"/>
      <c r="G410" s="70"/>
    </row>
    <row r="411">
      <c r="A411" s="70"/>
      <c r="B411" s="61"/>
      <c r="C411" s="61"/>
      <c r="D411" s="61"/>
      <c r="E411" s="61"/>
      <c r="F411" s="70"/>
      <c r="G411" s="70"/>
    </row>
    <row r="412">
      <c r="A412" s="70"/>
      <c r="B412" s="61"/>
      <c r="C412" s="61"/>
      <c r="D412" s="61"/>
      <c r="E412" s="61"/>
      <c r="F412" s="70"/>
      <c r="G412" s="70"/>
    </row>
    <row r="413">
      <c r="A413" s="70"/>
      <c r="B413" s="61"/>
      <c r="C413" s="61"/>
      <c r="D413" s="61"/>
      <c r="E413" s="61"/>
      <c r="F413" s="70"/>
      <c r="G413" s="70"/>
    </row>
    <row r="414">
      <c r="A414" s="70"/>
      <c r="B414" s="61"/>
      <c r="C414" s="61"/>
      <c r="D414" s="61"/>
      <c r="E414" s="61"/>
      <c r="F414" s="70"/>
      <c r="G414" s="70"/>
    </row>
    <row r="415">
      <c r="A415" s="70"/>
      <c r="B415" s="61"/>
      <c r="C415" s="61"/>
      <c r="D415" s="61"/>
      <c r="E415" s="61"/>
      <c r="F415" s="70"/>
      <c r="G415" s="70"/>
    </row>
    <row r="416">
      <c r="A416" s="70"/>
      <c r="B416" s="61"/>
      <c r="C416" s="61"/>
      <c r="D416" s="61"/>
      <c r="E416" s="61"/>
      <c r="F416" s="70"/>
      <c r="G416" s="70"/>
    </row>
    <row r="417">
      <c r="A417" s="70"/>
      <c r="B417" s="61"/>
      <c r="C417" s="61"/>
      <c r="D417" s="61"/>
      <c r="E417" s="61"/>
      <c r="F417" s="70"/>
      <c r="G417" s="70"/>
    </row>
    <row r="418">
      <c r="A418" s="70"/>
      <c r="B418" s="61"/>
      <c r="C418" s="61"/>
      <c r="D418" s="61"/>
      <c r="E418" s="61"/>
      <c r="F418" s="70"/>
      <c r="G418" s="70"/>
    </row>
    <row r="419">
      <c r="A419" s="70"/>
      <c r="B419" s="61"/>
      <c r="C419" s="61"/>
      <c r="D419" s="61"/>
      <c r="E419" s="61"/>
      <c r="F419" s="70"/>
      <c r="G419" s="70"/>
    </row>
    <row r="420">
      <c r="A420" s="70"/>
      <c r="B420" s="61"/>
      <c r="C420" s="61"/>
      <c r="D420" s="61"/>
      <c r="E420" s="61"/>
      <c r="F420" s="70"/>
      <c r="G420" s="70"/>
    </row>
    <row r="421">
      <c r="A421" s="70"/>
      <c r="B421" s="61"/>
      <c r="C421" s="61"/>
      <c r="D421" s="61"/>
      <c r="E421" s="61"/>
      <c r="F421" s="70"/>
      <c r="G421" s="70"/>
    </row>
    <row r="422">
      <c r="A422" s="70"/>
      <c r="B422" s="61"/>
      <c r="C422" s="61"/>
      <c r="D422" s="61"/>
      <c r="E422" s="61"/>
      <c r="F422" s="70"/>
      <c r="G422" s="70"/>
    </row>
    <row r="423">
      <c r="A423" s="70"/>
      <c r="B423" s="61"/>
      <c r="C423" s="61"/>
      <c r="D423" s="61"/>
      <c r="E423" s="61"/>
      <c r="F423" s="70"/>
      <c r="G423" s="70"/>
    </row>
    <row r="424">
      <c r="A424" s="70"/>
      <c r="B424" s="61"/>
      <c r="C424" s="61"/>
      <c r="D424" s="61"/>
      <c r="E424" s="61"/>
      <c r="F424" s="70"/>
      <c r="G424" s="70"/>
    </row>
    <row r="425">
      <c r="A425" s="70"/>
      <c r="B425" s="61"/>
      <c r="C425" s="61"/>
      <c r="D425" s="61"/>
      <c r="E425" s="61"/>
      <c r="F425" s="70"/>
      <c r="G425" s="70"/>
    </row>
    <row r="426">
      <c r="A426" s="70"/>
      <c r="B426" s="61"/>
      <c r="C426" s="61"/>
      <c r="D426" s="61"/>
      <c r="E426" s="61"/>
      <c r="F426" s="70"/>
      <c r="G426" s="70"/>
    </row>
    <row r="427">
      <c r="A427" s="70"/>
      <c r="B427" s="61"/>
      <c r="C427" s="61"/>
      <c r="D427" s="61"/>
      <c r="E427" s="61"/>
      <c r="F427" s="70"/>
      <c r="G427" s="70"/>
    </row>
    <row r="428">
      <c r="A428" s="70"/>
      <c r="B428" s="61"/>
      <c r="C428" s="61"/>
      <c r="D428" s="61"/>
      <c r="E428" s="61"/>
      <c r="F428" s="70"/>
      <c r="G428" s="70"/>
    </row>
    <row r="429">
      <c r="A429" s="70"/>
      <c r="B429" s="61"/>
      <c r="C429" s="61"/>
      <c r="D429" s="61"/>
      <c r="E429" s="61"/>
      <c r="F429" s="70"/>
      <c r="G429" s="70"/>
    </row>
    <row r="430">
      <c r="A430" s="70"/>
      <c r="B430" s="61"/>
      <c r="C430" s="61"/>
      <c r="D430" s="61"/>
      <c r="E430" s="61"/>
      <c r="F430" s="70"/>
      <c r="G430" s="70"/>
    </row>
    <row r="431">
      <c r="A431" s="70"/>
      <c r="B431" s="61"/>
      <c r="C431" s="61"/>
      <c r="D431" s="61"/>
      <c r="E431" s="61"/>
      <c r="F431" s="70"/>
      <c r="G431" s="70"/>
    </row>
    <row r="432">
      <c r="A432" s="70"/>
      <c r="B432" s="61"/>
      <c r="C432" s="61"/>
      <c r="D432" s="61"/>
      <c r="E432" s="61"/>
      <c r="F432" s="70"/>
      <c r="G432" s="70"/>
    </row>
    <row r="433">
      <c r="A433" s="70"/>
      <c r="B433" s="61"/>
      <c r="C433" s="61"/>
      <c r="D433" s="61"/>
      <c r="E433" s="61"/>
      <c r="F433" s="70"/>
      <c r="G433" s="70"/>
    </row>
    <row r="434">
      <c r="A434" s="70"/>
      <c r="B434" s="61"/>
      <c r="C434" s="61"/>
      <c r="D434" s="61"/>
      <c r="E434" s="61"/>
      <c r="F434" s="70"/>
      <c r="G434" s="70"/>
    </row>
    <row r="435">
      <c r="A435" s="70"/>
      <c r="B435" s="61"/>
      <c r="C435" s="61"/>
      <c r="D435" s="61"/>
      <c r="E435" s="61"/>
      <c r="F435" s="70"/>
      <c r="G435" s="70"/>
    </row>
    <row r="436">
      <c r="A436" s="70"/>
      <c r="B436" s="61"/>
      <c r="C436" s="61"/>
      <c r="D436" s="61"/>
      <c r="E436" s="61"/>
      <c r="F436" s="70"/>
      <c r="G436" s="70"/>
    </row>
    <row r="437">
      <c r="A437" s="70"/>
      <c r="B437" s="61"/>
      <c r="C437" s="61"/>
      <c r="D437" s="61"/>
      <c r="E437" s="61"/>
      <c r="F437" s="70"/>
      <c r="G437" s="70"/>
    </row>
    <row r="438">
      <c r="A438" s="70"/>
      <c r="B438" s="61"/>
      <c r="C438" s="61"/>
      <c r="D438" s="61"/>
      <c r="E438" s="61"/>
      <c r="F438" s="70"/>
      <c r="G438" s="70"/>
    </row>
    <row r="439">
      <c r="A439" s="70"/>
      <c r="B439" s="61"/>
      <c r="C439" s="61"/>
      <c r="D439" s="61"/>
      <c r="E439" s="61"/>
      <c r="F439" s="70"/>
      <c r="G439" s="70"/>
    </row>
    <row r="440">
      <c r="A440" s="70"/>
      <c r="B440" s="61"/>
      <c r="C440" s="61"/>
      <c r="D440" s="61"/>
      <c r="E440" s="61"/>
      <c r="F440" s="70"/>
      <c r="G440" s="70"/>
    </row>
    <row r="441">
      <c r="A441" s="70"/>
      <c r="B441" s="61"/>
      <c r="C441" s="61"/>
      <c r="D441" s="61"/>
      <c r="E441" s="61"/>
      <c r="F441" s="70"/>
      <c r="G441" s="70"/>
    </row>
    <row r="442">
      <c r="A442" s="70"/>
      <c r="B442" s="61"/>
      <c r="C442" s="61"/>
      <c r="D442" s="61"/>
      <c r="E442" s="61"/>
      <c r="F442" s="70"/>
      <c r="G442" s="70"/>
    </row>
    <row r="443">
      <c r="A443" s="70"/>
      <c r="B443" s="61"/>
      <c r="C443" s="61"/>
      <c r="D443" s="61"/>
      <c r="E443" s="61"/>
      <c r="F443" s="70"/>
      <c r="G443" s="70"/>
    </row>
    <row r="444">
      <c r="A444" s="70"/>
      <c r="B444" s="61"/>
      <c r="C444" s="61"/>
      <c r="D444" s="61"/>
      <c r="E444" s="61"/>
      <c r="F444" s="70"/>
      <c r="G444" s="70"/>
    </row>
    <row r="445">
      <c r="A445" s="70"/>
      <c r="B445" s="61"/>
      <c r="C445" s="61"/>
      <c r="D445" s="61"/>
      <c r="E445" s="61"/>
      <c r="F445" s="70"/>
      <c r="G445" s="70"/>
    </row>
    <row r="446">
      <c r="A446" s="70"/>
      <c r="B446" s="61"/>
      <c r="C446" s="61"/>
      <c r="D446" s="61"/>
      <c r="E446" s="61"/>
      <c r="F446" s="70"/>
      <c r="G446" s="70"/>
    </row>
    <row r="447">
      <c r="A447" s="70"/>
      <c r="B447" s="61"/>
      <c r="C447" s="61"/>
      <c r="D447" s="61"/>
      <c r="E447" s="61"/>
      <c r="F447" s="70"/>
      <c r="G447" s="70"/>
    </row>
    <row r="448">
      <c r="A448" s="70"/>
      <c r="B448" s="61"/>
      <c r="C448" s="61"/>
      <c r="D448" s="61"/>
      <c r="E448" s="61"/>
      <c r="F448" s="70"/>
      <c r="G448" s="70"/>
    </row>
    <row r="449">
      <c r="A449" s="70"/>
      <c r="B449" s="61"/>
      <c r="C449" s="61"/>
      <c r="D449" s="61"/>
      <c r="E449" s="61"/>
      <c r="F449" s="70"/>
      <c r="G449" s="70"/>
    </row>
    <row r="450">
      <c r="A450" s="70"/>
      <c r="B450" s="61"/>
      <c r="C450" s="61"/>
      <c r="D450" s="61"/>
      <c r="E450" s="61"/>
      <c r="F450" s="70"/>
      <c r="G450" s="70"/>
    </row>
    <row r="451">
      <c r="A451" s="70"/>
      <c r="B451" s="61"/>
      <c r="C451" s="61"/>
      <c r="D451" s="61"/>
      <c r="E451" s="61"/>
      <c r="F451" s="70"/>
      <c r="G451" s="70"/>
    </row>
    <row r="452">
      <c r="A452" s="70"/>
      <c r="B452" s="61"/>
      <c r="C452" s="61"/>
      <c r="D452" s="61"/>
      <c r="E452" s="61"/>
      <c r="F452" s="70"/>
      <c r="G452" s="70"/>
    </row>
    <row r="453">
      <c r="A453" s="70"/>
      <c r="B453" s="61"/>
      <c r="C453" s="61"/>
      <c r="D453" s="61"/>
      <c r="E453" s="61"/>
      <c r="F453" s="70"/>
      <c r="G453" s="70"/>
    </row>
    <row r="454">
      <c r="A454" s="70"/>
      <c r="B454" s="61"/>
      <c r="C454" s="61"/>
      <c r="D454" s="61"/>
      <c r="E454" s="61"/>
      <c r="F454" s="70"/>
      <c r="G454" s="70"/>
    </row>
    <row r="455">
      <c r="A455" s="70"/>
      <c r="B455" s="61"/>
      <c r="C455" s="61"/>
      <c r="D455" s="61"/>
      <c r="E455" s="61"/>
      <c r="F455" s="70"/>
      <c r="G455" s="70"/>
    </row>
    <row r="456">
      <c r="A456" s="70"/>
      <c r="B456" s="61"/>
      <c r="C456" s="61"/>
      <c r="D456" s="61"/>
      <c r="E456" s="61"/>
      <c r="F456" s="70"/>
      <c r="G456" s="70"/>
    </row>
    <row r="457">
      <c r="A457" s="70"/>
      <c r="B457" s="61"/>
      <c r="C457" s="61"/>
      <c r="D457" s="61"/>
      <c r="E457" s="61"/>
      <c r="F457" s="70"/>
      <c r="G457" s="70"/>
    </row>
    <row r="458">
      <c r="A458" s="70"/>
      <c r="B458" s="61"/>
      <c r="C458" s="61"/>
      <c r="D458" s="61"/>
      <c r="E458" s="61"/>
      <c r="F458" s="70"/>
      <c r="G458" s="70"/>
    </row>
    <row r="459">
      <c r="A459" s="70"/>
      <c r="B459" s="61"/>
      <c r="C459" s="61"/>
      <c r="D459" s="61"/>
      <c r="E459" s="61"/>
      <c r="F459" s="70"/>
      <c r="G459" s="70"/>
    </row>
    <row r="460">
      <c r="A460" s="70"/>
      <c r="B460" s="61"/>
      <c r="C460" s="61"/>
      <c r="D460" s="61"/>
      <c r="E460" s="61"/>
      <c r="F460" s="70"/>
      <c r="G460" s="70"/>
    </row>
    <row r="461">
      <c r="A461" s="70"/>
      <c r="B461" s="61"/>
      <c r="C461" s="61"/>
      <c r="D461" s="61"/>
      <c r="E461" s="61"/>
      <c r="F461" s="70"/>
      <c r="G461" s="70"/>
    </row>
    <row r="462">
      <c r="A462" s="70"/>
      <c r="B462" s="61"/>
      <c r="C462" s="61"/>
      <c r="D462" s="61"/>
      <c r="E462" s="61"/>
      <c r="F462" s="70"/>
      <c r="G462" s="70"/>
    </row>
    <row r="463">
      <c r="A463" s="70"/>
      <c r="B463" s="61"/>
      <c r="C463" s="61"/>
      <c r="D463" s="61"/>
      <c r="E463" s="61"/>
      <c r="F463" s="70"/>
      <c r="G463" s="70"/>
    </row>
    <row r="464">
      <c r="A464" s="70"/>
      <c r="B464" s="61"/>
      <c r="C464" s="61"/>
      <c r="D464" s="61"/>
      <c r="E464" s="61"/>
      <c r="F464" s="70"/>
      <c r="G464" s="70"/>
    </row>
    <row r="465">
      <c r="A465" s="70"/>
      <c r="B465" s="61"/>
      <c r="C465" s="61"/>
      <c r="D465" s="61"/>
      <c r="E465" s="61"/>
      <c r="F465" s="70"/>
      <c r="G465" s="70"/>
    </row>
    <row r="466">
      <c r="A466" s="70"/>
      <c r="B466" s="61"/>
      <c r="C466" s="61"/>
      <c r="D466" s="61"/>
      <c r="E466" s="61"/>
      <c r="F466" s="70"/>
      <c r="G466" s="70"/>
    </row>
    <row r="467">
      <c r="A467" s="70"/>
      <c r="B467" s="61"/>
      <c r="C467" s="61"/>
      <c r="D467" s="61"/>
      <c r="E467" s="61"/>
      <c r="F467" s="70"/>
      <c r="G467" s="70"/>
    </row>
    <row r="468">
      <c r="A468" s="70"/>
      <c r="B468" s="61"/>
      <c r="C468" s="61"/>
      <c r="D468" s="61"/>
      <c r="E468" s="61"/>
      <c r="F468" s="70"/>
      <c r="G468" s="70"/>
    </row>
    <row r="469">
      <c r="A469" s="70"/>
      <c r="B469" s="61"/>
      <c r="C469" s="61"/>
      <c r="D469" s="61"/>
      <c r="E469" s="61"/>
      <c r="F469" s="70"/>
      <c r="G469" s="70"/>
    </row>
    <row r="470">
      <c r="A470" s="70"/>
      <c r="B470" s="61"/>
      <c r="C470" s="61"/>
      <c r="D470" s="61"/>
      <c r="E470" s="61"/>
      <c r="F470" s="70"/>
      <c r="G470" s="70"/>
    </row>
    <row r="471">
      <c r="A471" s="70"/>
      <c r="B471" s="61"/>
      <c r="C471" s="61"/>
      <c r="D471" s="61"/>
      <c r="E471" s="61"/>
      <c r="F471" s="70"/>
      <c r="G471" s="70"/>
    </row>
    <row r="472">
      <c r="A472" s="70"/>
      <c r="B472" s="61"/>
      <c r="C472" s="61"/>
      <c r="D472" s="61"/>
      <c r="E472" s="61"/>
      <c r="F472" s="70"/>
      <c r="G472" s="70"/>
    </row>
    <row r="473">
      <c r="A473" s="70"/>
      <c r="B473" s="61"/>
      <c r="C473" s="61"/>
      <c r="D473" s="61"/>
      <c r="E473" s="61"/>
      <c r="F473" s="70"/>
      <c r="G473" s="70"/>
    </row>
    <row r="474">
      <c r="A474" s="70"/>
      <c r="B474" s="61"/>
      <c r="C474" s="61"/>
      <c r="D474" s="61"/>
      <c r="E474" s="61"/>
      <c r="F474" s="70"/>
      <c r="G474" s="70"/>
    </row>
    <row r="475">
      <c r="A475" s="70"/>
      <c r="B475" s="61"/>
      <c r="C475" s="61"/>
      <c r="D475" s="61"/>
      <c r="E475" s="61"/>
      <c r="F475" s="70"/>
      <c r="G475" s="70"/>
    </row>
    <row r="476">
      <c r="A476" s="70"/>
      <c r="B476" s="61"/>
      <c r="C476" s="61"/>
      <c r="D476" s="61"/>
      <c r="E476" s="61"/>
      <c r="F476" s="70"/>
      <c r="G476" s="70"/>
    </row>
    <row r="477">
      <c r="A477" s="70"/>
      <c r="B477" s="61"/>
      <c r="C477" s="61"/>
      <c r="D477" s="61"/>
      <c r="E477" s="61"/>
      <c r="F477" s="70"/>
      <c r="G477" s="70"/>
    </row>
    <row r="478">
      <c r="A478" s="70"/>
      <c r="B478" s="61"/>
      <c r="C478" s="61"/>
      <c r="D478" s="61"/>
      <c r="E478" s="61"/>
      <c r="F478" s="70"/>
      <c r="G478" s="70"/>
    </row>
    <row r="479">
      <c r="A479" s="70"/>
      <c r="B479" s="61"/>
      <c r="C479" s="61"/>
      <c r="D479" s="61"/>
      <c r="E479" s="61"/>
      <c r="F479" s="70"/>
      <c r="G479" s="70"/>
    </row>
    <row r="480">
      <c r="A480" s="70"/>
      <c r="B480" s="61"/>
      <c r="C480" s="61"/>
      <c r="D480" s="61"/>
      <c r="E480" s="61"/>
      <c r="F480" s="70"/>
      <c r="G480" s="70"/>
    </row>
    <row r="481">
      <c r="A481" s="70"/>
      <c r="B481" s="61"/>
      <c r="C481" s="61"/>
      <c r="D481" s="61"/>
      <c r="E481" s="61"/>
      <c r="F481" s="70"/>
      <c r="G481" s="70"/>
    </row>
    <row r="482">
      <c r="A482" s="70"/>
      <c r="B482" s="61"/>
      <c r="C482" s="61"/>
      <c r="D482" s="61"/>
      <c r="E482" s="61"/>
      <c r="F482" s="70"/>
      <c r="G482" s="70"/>
    </row>
    <row r="483">
      <c r="A483" s="70"/>
      <c r="B483" s="61"/>
      <c r="C483" s="61"/>
      <c r="D483" s="61"/>
      <c r="E483" s="61"/>
      <c r="F483" s="70"/>
      <c r="G483" s="70"/>
    </row>
    <row r="484">
      <c r="A484" s="70"/>
      <c r="B484" s="61"/>
      <c r="C484" s="61"/>
      <c r="D484" s="61"/>
      <c r="E484" s="61"/>
      <c r="F484" s="70"/>
      <c r="G484" s="70"/>
    </row>
    <row r="485">
      <c r="A485" s="70"/>
      <c r="B485" s="61"/>
      <c r="C485" s="61"/>
      <c r="D485" s="61"/>
      <c r="E485" s="61"/>
      <c r="F485" s="70"/>
      <c r="G485" s="70"/>
    </row>
    <row r="486">
      <c r="A486" s="70"/>
      <c r="B486" s="61"/>
      <c r="C486" s="61"/>
      <c r="D486" s="61"/>
      <c r="E486" s="61"/>
      <c r="F486" s="70"/>
      <c r="G486" s="70"/>
    </row>
    <row r="487">
      <c r="A487" s="70"/>
      <c r="B487" s="61"/>
      <c r="C487" s="61"/>
      <c r="D487" s="61"/>
      <c r="E487" s="61"/>
      <c r="F487" s="70"/>
      <c r="G487" s="70"/>
    </row>
    <row r="488">
      <c r="A488" s="70"/>
      <c r="B488" s="61"/>
      <c r="C488" s="61"/>
      <c r="D488" s="61"/>
      <c r="E488" s="61"/>
      <c r="F488" s="70"/>
      <c r="G488" s="70"/>
    </row>
    <row r="489">
      <c r="A489" s="70"/>
      <c r="B489" s="61"/>
      <c r="C489" s="61"/>
      <c r="D489" s="61"/>
      <c r="E489" s="61"/>
      <c r="F489" s="70"/>
      <c r="G489" s="70"/>
    </row>
    <row r="490">
      <c r="A490" s="70"/>
      <c r="B490" s="61"/>
      <c r="C490" s="61"/>
      <c r="D490" s="61"/>
      <c r="E490" s="61"/>
      <c r="F490" s="70"/>
      <c r="G490" s="70"/>
    </row>
    <row r="491">
      <c r="A491" s="70"/>
      <c r="B491" s="61"/>
      <c r="C491" s="61"/>
      <c r="D491" s="61"/>
      <c r="E491" s="61"/>
      <c r="F491" s="70"/>
      <c r="G491" s="70"/>
    </row>
    <row r="492">
      <c r="A492" s="70"/>
      <c r="B492" s="61"/>
      <c r="C492" s="61"/>
      <c r="D492" s="61"/>
      <c r="E492" s="61"/>
      <c r="F492" s="70"/>
      <c r="G492" s="70"/>
    </row>
    <row r="493">
      <c r="A493" s="70"/>
      <c r="B493" s="61"/>
      <c r="C493" s="61"/>
      <c r="D493" s="61"/>
      <c r="E493" s="61"/>
      <c r="F493" s="70"/>
      <c r="G493" s="70"/>
    </row>
    <row r="494">
      <c r="A494" s="70"/>
      <c r="B494" s="61"/>
      <c r="C494" s="61"/>
      <c r="D494" s="61"/>
      <c r="E494" s="61"/>
      <c r="F494" s="70"/>
      <c r="G494" s="70"/>
    </row>
    <row r="495">
      <c r="A495" s="70"/>
      <c r="B495" s="61"/>
      <c r="C495" s="61"/>
      <c r="D495" s="61"/>
      <c r="E495" s="61"/>
      <c r="F495" s="70"/>
      <c r="G495" s="70"/>
    </row>
    <row r="496">
      <c r="A496" s="70"/>
      <c r="B496" s="61"/>
      <c r="C496" s="61"/>
      <c r="D496" s="61"/>
      <c r="E496" s="61"/>
      <c r="F496" s="70"/>
      <c r="G496" s="70"/>
    </row>
    <row r="497">
      <c r="A497" s="70"/>
      <c r="B497" s="61"/>
      <c r="C497" s="61"/>
      <c r="D497" s="61"/>
      <c r="E497" s="61"/>
      <c r="F497" s="70"/>
      <c r="G497" s="70"/>
    </row>
    <row r="498">
      <c r="A498" s="70"/>
      <c r="B498" s="61"/>
      <c r="C498" s="61"/>
      <c r="D498" s="61"/>
      <c r="E498" s="61"/>
      <c r="F498" s="70"/>
      <c r="G498" s="70"/>
    </row>
    <row r="499">
      <c r="A499" s="70"/>
      <c r="B499" s="61"/>
      <c r="C499" s="61"/>
      <c r="D499" s="61"/>
      <c r="E499" s="61"/>
      <c r="F499" s="70"/>
      <c r="G499" s="70"/>
    </row>
    <row r="500">
      <c r="A500" s="70"/>
      <c r="B500" s="61"/>
      <c r="C500" s="61"/>
      <c r="D500" s="61"/>
      <c r="E500" s="61"/>
      <c r="F500" s="70"/>
      <c r="G500" s="70"/>
    </row>
    <row r="501">
      <c r="B501" s="61"/>
      <c r="C501" s="61"/>
      <c r="D501" s="61"/>
      <c r="E501" s="61"/>
    </row>
    <row r="502">
      <c r="B502" s="61"/>
      <c r="C502" s="61"/>
      <c r="D502" s="61"/>
      <c r="E502" s="61"/>
    </row>
    <row r="503">
      <c r="B503" s="61"/>
      <c r="C503" s="61"/>
      <c r="D503" s="61"/>
      <c r="E503" s="61"/>
    </row>
    <row r="504">
      <c r="B504" s="61"/>
      <c r="C504" s="61"/>
      <c r="D504" s="61"/>
      <c r="E504" s="61"/>
    </row>
    <row r="505">
      <c r="B505" s="61"/>
      <c r="C505" s="61"/>
      <c r="D505" s="61"/>
      <c r="E505" s="61"/>
    </row>
    <row r="506">
      <c r="B506" s="61"/>
      <c r="C506" s="61"/>
      <c r="D506" s="61"/>
      <c r="E506" s="61"/>
    </row>
    <row r="507">
      <c r="B507" s="61"/>
      <c r="C507" s="61"/>
      <c r="D507" s="61"/>
      <c r="E507" s="61"/>
    </row>
    <row r="508">
      <c r="B508" s="61"/>
      <c r="C508" s="61"/>
      <c r="D508" s="61"/>
      <c r="E508" s="61"/>
    </row>
    <row r="509">
      <c r="B509" s="61"/>
      <c r="C509" s="61"/>
      <c r="D509" s="61"/>
      <c r="E509" s="61"/>
    </row>
    <row r="510">
      <c r="B510" s="61"/>
      <c r="C510" s="61"/>
      <c r="D510" s="61"/>
      <c r="E510" s="61"/>
    </row>
    <row r="511">
      <c r="B511" s="61"/>
      <c r="C511" s="61"/>
      <c r="D511" s="61"/>
      <c r="E511" s="61"/>
    </row>
    <row r="512">
      <c r="B512" s="61"/>
      <c r="C512" s="61"/>
      <c r="D512" s="61"/>
      <c r="E512" s="61"/>
    </row>
    <row r="513">
      <c r="B513" s="61"/>
      <c r="C513" s="61"/>
      <c r="D513" s="61"/>
      <c r="E513" s="61"/>
    </row>
    <row r="514">
      <c r="B514" s="61"/>
      <c r="C514" s="61"/>
      <c r="D514" s="61"/>
      <c r="E514" s="61"/>
    </row>
    <row r="515">
      <c r="B515" s="61"/>
      <c r="C515" s="61"/>
      <c r="D515" s="61"/>
      <c r="E515" s="61"/>
    </row>
    <row r="516">
      <c r="B516" s="61"/>
      <c r="C516" s="61"/>
      <c r="D516" s="61"/>
      <c r="E516" s="61"/>
    </row>
    <row r="517">
      <c r="B517" s="61"/>
      <c r="C517" s="61"/>
      <c r="D517" s="61"/>
      <c r="E517" s="61"/>
    </row>
    <row r="518">
      <c r="B518" s="61"/>
      <c r="C518" s="61"/>
      <c r="D518" s="61"/>
      <c r="E518" s="61"/>
    </row>
    <row r="519">
      <c r="B519" s="61"/>
      <c r="C519" s="61"/>
      <c r="D519" s="61"/>
      <c r="E519" s="61"/>
    </row>
    <row r="520">
      <c r="B520" s="61"/>
      <c r="C520" s="61"/>
      <c r="D520" s="61"/>
      <c r="E520" s="61"/>
    </row>
    <row r="521">
      <c r="B521" s="61"/>
      <c r="C521" s="61"/>
      <c r="D521" s="61"/>
      <c r="E521" s="61"/>
    </row>
    <row r="522">
      <c r="B522" s="61"/>
      <c r="C522" s="61"/>
      <c r="D522" s="61"/>
      <c r="E522" s="61"/>
    </row>
    <row r="523">
      <c r="B523" s="61"/>
      <c r="C523" s="61"/>
      <c r="D523" s="61"/>
      <c r="E523" s="61"/>
    </row>
    <row r="524">
      <c r="B524" s="61"/>
      <c r="C524" s="61"/>
      <c r="D524" s="61"/>
      <c r="E524" s="61"/>
    </row>
    <row r="525">
      <c r="B525" s="61"/>
      <c r="C525" s="61"/>
      <c r="D525" s="61"/>
      <c r="E525" s="61"/>
    </row>
    <row r="526">
      <c r="B526" s="61"/>
      <c r="C526" s="61"/>
      <c r="D526" s="61"/>
      <c r="E526" s="61"/>
    </row>
    <row r="527">
      <c r="B527" s="61"/>
      <c r="C527" s="61"/>
      <c r="D527" s="61"/>
      <c r="E527" s="61"/>
    </row>
    <row r="528">
      <c r="B528" s="61"/>
      <c r="C528" s="61"/>
      <c r="D528" s="61"/>
      <c r="E528" s="61"/>
    </row>
    <row r="529">
      <c r="B529" s="61"/>
      <c r="C529" s="61"/>
      <c r="D529" s="61"/>
      <c r="E529" s="61"/>
    </row>
    <row r="530">
      <c r="B530" s="61"/>
      <c r="C530" s="61"/>
      <c r="D530" s="61"/>
      <c r="E530" s="61"/>
    </row>
    <row r="531">
      <c r="B531" s="61"/>
      <c r="C531" s="61"/>
      <c r="D531" s="61"/>
      <c r="E531" s="61"/>
    </row>
    <row r="532">
      <c r="B532" s="61"/>
      <c r="C532" s="61"/>
      <c r="D532" s="61"/>
      <c r="E532" s="61"/>
    </row>
    <row r="533">
      <c r="B533" s="61"/>
      <c r="C533" s="61"/>
      <c r="D533" s="61"/>
      <c r="E533" s="61"/>
    </row>
    <row r="534">
      <c r="B534" s="61"/>
      <c r="C534" s="61"/>
      <c r="D534" s="61"/>
      <c r="E534" s="61"/>
    </row>
    <row r="535">
      <c r="B535" s="61"/>
      <c r="C535" s="61"/>
      <c r="D535" s="61"/>
      <c r="E535" s="61"/>
    </row>
    <row r="536">
      <c r="B536" s="61"/>
      <c r="C536" s="61"/>
      <c r="D536" s="61"/>
      <c r="E536" s="61"/>
    </row>
    <row r="537">
      <c r="B537" s="61"/>
      <c r="C537" s="61"/>
      <c r="D537" s="61"/>
      <c r="E537" s="61"/>
    </row>
    <row r="538">
      <c r="B538" s="61"/>
      <c r="C538" s="61"/>
      <c r="D538" s="61"/>
      <c r="E538" s="61"/>
    </row>
    <row r="539">
      <c r="B539" s="61"/>
      <c r="C539" s="61"/>
      <c r="D539" s="61"/>
      <c r="E539" s="61"/>
    </row>
    <row r="540">
      <c r="B540" s="61"/>
      <c r="C540" s="61"/>
      <c r="D540" s="61"/>
      <c r="E540" s="61"/>
    </row>
    <row r="541">
      <c r="B541" s="61"/>
      <c r="C541" s="61"/>
      <c r="D541" s="61"/>
      <c r="E541" s="61"/>
    </row>
    <row r="542">
      <c r="B542" s="61"/>
      <c r="C542" s="61"/>
      <c r="D542" s="61"/>
      <c r="E542" s="61"/>
    </row>
    <row r="543">
      <c r="B543" s="61"/>
      <c r="C543" s="61"/>
      <c r="D543" s="61"/>
      <c r="E543" s="61"/>
    </row>
    <row r="544">
      <c r="B544" s="61"/>
      <c r="C544" s="61"/>
      <c r="D544" s="61"/>
      <c r="E544" s="61"/>
    </row>
    <row r="545">
      <c r="B545" s="61"/>
      <c r="C545" s="61"/>
      <c r="D545" s="61"/>
      <c r="E545" s="61"/>
    </row>
    <row r="546">
      <c r="B546" s="61"/>
      <c r="C546" s="61"/>
      <c r="D546" s="61"/>
      <c r="E546" s="61"/>
    </row>
    <row r="547">
      <c r="B547" s="61"/>
      <c r="C547" s="61"/>
      <c r="D547" s="61"/>
      <c r="E547" s="61"/>
    </row>
    <row r="548">
      <c r="B548" s="61"/>
      <c r="C548" s="61"/>
      <c r="D548" s="61"/>
      <c r="E548" s="61"/>
    </row>
    <row r="549">
      <c r="B549" s="61"/>
      <c r="C549" s="61"/>
      <c r="D549" s="61"/>
      <c r="E549" s="61"/>
    </row>
    <row r="550">
      <c r="B550" s="61"/>
      <c r="C550" s="61"/>
      <c r="D550" s="61"/>
      <c r="E550" s="61"/>
    </row>
    <row r="551">
      <c r="B551" s="61"/>
      <c r="C551" s="61"/>
      <c r="D551" s="61"/>
      <c r="E551" s="61"/>
    </row>
    <row r="552">
      <c r="B552" s="61"/>
      <c r="C552" s="61"/>
      <c r="D552" s="61"/>
      <c r="E552" s="61"/>
    </row>
    <row r="553">
      <c r="B553" s="61"/>
      <c r="C553" s="61"/>
      <c r="D553" s="61"/>
      <c r="E553" s="61"/>
    </row>
    <row r="554">
      <c r="B554" s="61"/>
      <c r="C554" s="61"/>
      <c r="D554" s="61"/>
      <c r="E554" s="61"/>
    </row>
    <row r="555">
      <c r="B555" s="61"/>
      <c r="C555" s="61"/>
      <c r="D555" s="61"/>
      <c r="E555" s="61"/>
    </row>
    <row r="556">
      <c r="B556" s="61"/>
      <c r="C556" s="61"/>
      <c r="D556" s="61"/>
      <c r="E556" s="61"/>
    </row>
    <row r="557">
      <c r="B557" s="61"/>
      <c r="C557" s="61"/>
      <c r="D557" s="61"/>
      <c r="E557" s="61"/>
    </row>
    <row r="558">
      <c r="B558" s="61"/>
      <c r="C558" s="61"/>
      <c r="D558" s="61"/>
      <c r="E558" s="61"/>
    </row>
    <row r="559">
      <c r="B559" s="61"/>
      <c r="C559" s="61"/>
      <c r="D559" s="61"/>
      <c r="E559" s="61"/>
    </row>
    <row r="560">
      <c r="B560" s="61"/>
      <c r="C560" s="61"/>
      <c r="D560" s="61"/>
      <c r="E560" s="61"/>
    </row>
    <row r="561">
      <c r="B561" s="61"/>
      <c r="C561" s="61"/>
      <c r="D561" s="61"/>
      <c r="E561" s="61"/>
    </row>
    <row r="562">
      <c r="B562" s="61"/>
      <c r="C562" s="61"/>
      <c r="D562" s="61"/>
      <c r="E562" s="61"/>
    </row>
    <row r="563">
      <c r="B563" s="61"/>
      <c r="C563" s="61"/>
      <c r="D563" s="61"/>
      <c r="E563" s="61"/>
    </row>
    <row r="564">
      <c r="B564" s="61"/>
      <c r="C564" s="61"/>
      <c r="D564" s="61"/>
      <c r="E564" s="61"/>
    </row>
    <row r="565">
      <c r="B565" s="61"/>
      <c r="C565" s="61"/>
      <c r="D565" s="61"/>
      <c r="E565" s="61"/>
    </row>
    <row r="566">
      <c r="B566" s="61"/>
      <c r="C566" s="61"/>
      <c r="D566" s="61"/>
      <c r="E566" s="61"/>
    </row>
    <row r="567">
      <c r="B567" s="61"/>
      <c r="C567" s="61"/>
      <c r="D567" s="61"/>
      <c r="E567" s="61"/>
    </row>
    <row r="568">
      <c r="B568" s="61"/>
      <c r="C568" s="61"/>
      <c r="D568" s="61"/>
      <c r="E568" s="61"/>
    </row>
    <row r="569">
      <c r="B569" s="61"/>
      <c r="C569" s="61"/>
      <c r="D569" s="61"/>
      <c r="E569" s="61"/>
    </row>
    <row r="570">
      <c r="B570" s="61"/>
      <c r="C570" s="61"/>
      <c r="D570" s="61"/>
      <c r="E570" s="61"/>
    </row>
    <row r="571">
      <c r="B571" s="61"/>
      <c r="C571" s="61"/>
      <c r="D571" s="61"/>
      <c r="E571" s="61"/>
    </row>
    <row r="572">
      <c r="B572" s="61"/>
      <c r="C572" s="61"/>
      <c r="D572" s="61"/>
      <c r="E572" s="61"/>
    </row>
    <row r="573">
      <c r="B573" s="61"/>
      <c r="C573" s="61"/>
      <c r="D573" s="61"/>
      <c r="E573" s="61"/>
    </row>
    <row r="574">
      <c r="B574" s="61"/>
      <c r="C574" s="61"/>
      <c r="D574" s="61"/>
      <c r="E574" s="61"/>
    </row>
    <row r="575">
      <c r="B575" s="61"/>
      <c r="C575" s="61"/>
      <c r="D575" s="61"/>
      <c r="E575" s="61"/>
    </row>
    <row r="576">
      <c r="B576" s="61"/>
      <c r="C576" s="61"/>
      <c r="D576" s="61"/>
      <c r="E576" s="61"/>
    </row>
    <row r="577">
      <c r="B577" s="61"/>
      <c r="C577" s="61"/>
      <c r="D577" s="61"/>
      <c r="E577" s="61"/>
    </row>
    <row r="578">
      <c r="B578" s="61"/>
      <c r="C578" s="61"/>
      <c r="D578" s="61"/>
      <c r="E578" s="61"/>
    </row>
    <row r="579">
      <c r="B579" s="61"/>
      <c r="C579" s="61"/>
      <c r="D579" s="61"/>
      <c r="E579" s="61"/>
    </row>
    <row r="580">
      <c r="B580" s="61"/>
      <c r="C580" s="61"/>
      <c r="D580" s="61"/>
      <c r="E580" s="61"/>
    </row>
    <row r="581">
      <c r="B581" s="61"/>
      <c r="C581" s="61"/>
      <c r="D581" s="61"/>
      <c r="E581" s="61"/>
    </row>
    <row r="582">
      <c r="B582" s="61"/>
      <c r="C582" s="61"/>
      <c r="D582" s="61"/>
      <c r="E582" s="61"/>
    </row>
    <row r="583">
      <c r="B583" s="61"/>
      <c r="C583" s="61"/>
      <c r="D583" s="61"/>
      <c r="E583" s="61"/>
    </row>
    <row r="584">
      <c r="B584" s="61"/>
      <c r="C584" s="61"/>
      <c r="D584" s="61"/>
      <c r="E584" s="61"/>
    </row>
    <row r="585">
      <c r="B585" s="61"/>
      <c r="C585" s="61"/>
      <c r="D585" s="61"/>
      <c r="E585" s="61"/>
    </row>
    <row r="586">
      <c r="B586" s="61"/>
      <c r="C586" s="61"/>
      <c r="D586" s="61"/>
      <c r="E586" s="61"/>
    </row>
    <row r="587">
      <c r="B587" s="61"/>
      <c r="C587" s="61"/>
      <c r="D587" s="61"/>
      <c r="E587" s="61"/>
    </row>
    <row r="588">
      <c r="B588" s="61"/>
      <c r="C588" s="61"/>
      <c r="D588" s="61"/>
      <c r="E588" s="61"/>
    </row>
    <row r="589">
      <c r="B589" s="61"/>
      <c r="C589" s="61"/>
      <c r="D589" s="61"/>
      <c r="E589" s="61"/>
    </row>
    <row r="590">
      <c r="B590" s="61"/>
      <c r="C590" s="61"/>
      <c r="D590" s="61"/>
      <c r="E590" s="61"/>
    </row>
    <row r="591">
      <c r="B591" s="61"/>
      <c r="C591" s="61"/>
      <c r="D591" s="61"/>
      <c r="E591" s="61"/>
    </row>
    <row r="592">
      <c r="B592" s="61"/>
      <c r="C592" s="61"/>
      <c r="D592" s="61"/>
      <c r="E592" s="61"/>
    </row>
    <row r="593">
      <c r="B593" s="61"/>
      <c r="C593" s="61"/>
      <c r="D593" s="61"/>
      <c r="E593" s="61"/>
    </row>
    <row r="594">
      <c r="B594" s="61"/>
      <c r="C594" s="61"/>
      <c r="D594" s="61"/>
      <c r="E594" s="61"/>
    </row>
    <row r="595">
      <c r="B595" s="61"/>
      <c r="C595" s="61"/>
      <c r="D595" s="61"/>
      <c r="E595" s="61"/>
    </row>
    <row r="596">
      <c r="B596" s="61"/>
      <c r="C596" s="61"/>
      <c r="D596" s="61"/>
      <c r="E596" s="61"/>
    </row>
    <row r="597">
      <c r="B597" s="61"/>
      <c r="C597" s="61"/>
      <c r="D597" s="61"/>
      <c r="E597" s="61"/>
    </row>
    <row r="598">
      <c r="B598" s="61"/>
      <c r="C598" s="61"/>
      <c r="D598" s="61"/>
      <c r="E598" s="61"/>
    </row>
    <row r="599">
      <c r="B599" s="61"/>
      <c r="C599" s="61"/>
      <c r="D599" s="61"/>
      <c r="E599" s="61"/>
    </row>
    <row r="600">
      <c r="B600" s="61"/>
      <c r="C600" s="61"/>
      <c r="D600" s="61"/>
      <c r="E600" s="61"/>
    </row>
    <row r="601">
      <c r="B601" s="61"/>
      <c r="C601" s="61"/>
      <c r="D601" s="61"/>
      <c r="E601" s="61"/>
    </row>
    <row r="602">
      <c r="B602" s="61"/>
      <c r="C602" s="61"/>
      <c r="D602" s="61"/>
      <c r="E602" s="61"/>
    </row>
    <row r="603">
      <c r="B603" s="61"/>
      <c r="C603" s="61"/>
      <c r="D603" s="61"/>
      <c r="E603" s="61"/>
    </row>
    <row r="604">
      <c r="B604" s="61"/>
      <c r="C604" s="61"/>
      <c r="D604" s="61"/>
      <c r="E604" s="61"/>
    </row>
    <row r="605">
      <c r="B605" s="61"/>
      <c r="C605" s="61"/>
      <c r="D605" s="61"/>
      <c r="E605" s="61"/>
    </row>
    <row r="606">
      <c r="B606" s="61"/>
      <c r="C606" s="61"/>
      <c r="D606" s="61"/>
      <c r="E606" s="61"/>
    </row>
    <row r="607">
      <c r="B607" s="61"/>
      <c r="C607" s="61"/>
      <c r="D607" s="61"/>
      <c r="E607" s="61"/>
    </row>
    <row r="608">
      <c r="B608" s="61"/>
      <c r="C608" s="61"/>
      <c r="D608" s="61"/>
      <c r="E608" s="61"/>
    </row>
    <row r="609">
      <c r="B609" s="61"/>
      <c r="C609" s="61"/>
      <c r="D609" s="61"/>
      <c r="E609" s="61"/>
    </row>
    <row r="610">
      <c r="B610" s="61"/>
      <c r="C610" s="61"/>
      <c r="D610" s="61"/>
      <c r="E610" s="61"/>
    </row>
    <row r="611">
      <c r="B611" s="61"/>
      <c r="C611" s="61"/>
      <c r="D611" s="61"/>
      <c r="E611" s="61"/>
    </row>
    <row r="612">
      <c r="B612" s="61"/>
      <c r="C612" s="61"/>
      <c r="D612" s="61"/>
      <c r="E612" s="61"/>
    </row>
    <row r="613">
      <c r="B613" s="61"/>
      <c r="C613" s="61"/>
      <c r="D613" s="61"/>
      <c r="E613" s="61"/>
    </row>
    <row r="614">
      <c r="B614" s="61"/>
      <c r="C614" s="61"/>
      <c r="D614" s="61"/>
      <c r="E614" s="61"/>
    </row>
    <row r="615">
      <c r="B615" s="61"/>
      <c r="C615" s="61"/>
      <c r="D615" s="61"/>
      <c r="E615" s="61"/>
    </row>
    <row r="616">
      <c r="B616" s="61"/>
      <c r="C616" s="61"/>
      <c r="D616" s="61"/>
      <c r="E616" s="61"/>
    </row>
    <row r="617">
      <c r="B617" s="61"/>
      <c r="C617" s="61"/>
      <c r="D617" s="61"/>
      <c r="E617" s="61"/>
    </row>
    <row r="618">
      <c r="B618" s="61"/>
      <c r="C618" s="61"/>
      <c r="D618" s="61"/>
      <c r="E618" s="61"/>
    </row>
    <row r="619">
      <c r="B619" s="61"/>
      <c r="C619" s="61"/>
      <c r="D619" s="61"/>
      <c r="E619" s="61"/>
    </row>
    <row r="620">
      <c r="B620" s="61"/>
      <c r="C620" s="61"/>
      <c r="D620" s="61"/>
      <c r="E620" s="61"/>
    </row>
    <row r="621">
      <c r="B621" s="61"/>
      <c r="C621" s="61"/>
      <c r="D621" s="61"/>
      <c r="E621" s="61"/>
    </row>
    <row r="622">
      <c r="B622" s="61"/>
      <c r="C622" s="61"/>
      <c r="D622" s="61"/>
      <c r="E622" s="61"/>
    </row>
    <row r="623">
      <c r="B623" s="61"/>
      <c r="C623" s="61"/>
      <c r="D623" s="61"/>
      <c r="E623" s="61"/>
    </row>
    <row r="624">
      <c r="B624" s="61"/>
      <c r="C624" s="61"/>
      <c r="D624" s="61"/>
      <c r="E624" s="61"/>
    </row>
    <row r="625">
      <c r="B625" s="61"/>
      <c r="C625" s="61"/>
      <c r="D625" s="61"/>
      <c r="E625" s="61"/>
    </row>
    <row r="626">
      <c r="B626" s="61"/>
      <c r="C626" s="61"/>
      <c r="D626" s="61"/>
      <c r="E626" s="61"/>
    </row>
    <row r="627">
      <c r="B627" s="61"/>
      <c r="C627" s="61"/>
      <c r="D627" s="61"/>
      <c r="E627" s="61"/>
    </row>
    <row r="628">
      <c r="B628" s="61"/>
      <c r="C628" s="61"/>
      <c r="D628" s="61"/>
      <c r="E628" s="61"/>
    </row>
    <row r="629">
      <c r="B629" s="61"/>
      <c r="C629" s="61"/>
      <c r="D629" s="61"/>
      <c r="E629" s="61"/>
    </row>
    <row r="630">
      <c r="B630" s="61"/>
      <c r="C630" s="61"/>
      <c r="D630" s="61"/>
      <c r="E630" s="61"/>
    </row>
    <row r="631">
      <c r="B631" s="61"/>
      <c r="C631" s="61"/>
      <c r="D631" s="61"/>
      <c r="E631" s="61"/>
    </row>
    <row r="632">
      <c r="B632" s="61"/>
      <c r="C632" s="61"/>
      <c r="D632" s="61"/>
      <c r="E632" s="61"/>
    </row>
    <row r="633">
      <c r="B633" s="61"/>
      <c r="C633" s="61"/>
      <c r="D633" s="61"/>
      <c r="E633" s="61"/>
    </row>
    <row r="634">
      <c r="B634" s="61"/>
      <c r="C634" s="61"/>
      <c r="D634" s="61"/>
      <c r="E634" s="61"/>
    </row>
    <row r="635">
      <c r="B635" s="61"/>
      <c r="C635" s="61"/>
      <c r="D635" s="61"/>
      <c r="E635" s="61"/>
    </row>
    <row r="636">
      <c r="B636" s="61"/>
      <c r="C636" s="61"/>
      <c r="D636" s="61"/>
      <c r="E636" s="61"/>
    </row>
    <row r="637">
      <c r="B637" s="61"/>
      <c r="C637" s="61"/>
      <c r="D637" s="61"/>
      <c r="E637" s="61"/>
    </row>
    <row r="638">
      <c r="B638" s="61"/>
      <c r="C638" s="61"/>
      <c r="D638" s="61"/>
      <c r="E638" s="61"/>
    </row>
    <row r="639">
      <c r="B639" s="61"/>
      <c r="C639" s="61"/>
      <c r="D639" s="61"/>
      <c r="E639" s="61"/>
    </row>
    <row r="640">
      <c r="B640" s="61"/>
      <c r="C640" s="61"/>
      <c r="D640" s="61"/>
      <c r="E640" s="61"/>
    </row>
    <row r="641">
      <c r="B641" s="61"/>
      <c r="C641" s="61"/>
      <c r="D641" s="61"/>
      <c r="E641" s="61"/>
    </row>
    <row r="642">
      <c r="B642" s="61"/>
      <c r="C642" s="61"/>
      <c r="D642" s="61"/>
      <c r="E642" s="61"/>
    </row>
    <row r="643">
      <c r="B643" s="61"/>
      <c r="C643" s="61"/>
      <c r="D643" s="61"/>
      <c r="E643" s="61"/>
    </row>
    <row r="644">
      <c r="B644" s="61"/>
      <c r="C644" s="61"/>
      <c r="D644" s="61"/>
      <c r="E644" s="61"/>
    </row>
    <row r="645">
      <c r="B645" s="61"/>
      <c r="C645" s="61"/>
      <c r="D645" s="61"/>
      <c r="E645" s="61"/>
    </row>
    <row r="646">
      <c r="B646" s="61"/>
      <c r="C646" s="61"/>
      <c r="D646" s="61"/>
      <c r="E646" s="61"/>
    </row>
    <row r="647">
      <c r="B647" s="61"/>
      <c r="C647" s="61"/>
      <c r="D647" s="61"/>
      <c r="E647" s="61"/>
    </row>
    <row r="648">
      <c r="B648" s="61"/>
      <c r="C648" s="61"/>
      <c r="D648" s="61"/>
      <c r="E648" s="61"/>
    </row>
    <row r="649">
      <c r="B649" s="61"/>
      <c r="C649" s="61"/>
      <c r="D649" s="61"/>
      <c r="E649" s="61"/>
    </row>
    <row r="650">
      <c r="B650" s="61"/>
      <c r="C650" s="61"/>
      <c r="D650" s="61"/>
      <c r="E650" s="61"/>
    </row>
    <row r="651">
      <c r="B651" s="61"/>
      <c r="C651" s="61"/>
      <c r="D651" s="61"/>
      <c r="E651" s="61"/>
    </row>
    <row r="652">
      <c r="B652" s="61"/>
      <c r="C652" s="61"/>
      <c r="D652" s="61"/>
      <c r="E652" s="61"/>
    </row>
    <row r="653">
      <c r="B653" s="61"/>
      <c r="C653" s="61"/>
      <c r="D653" s="61"/>
      <c r="E653" s="61"/>
    </row>
    <row r="654">
      <c r="B654" s="61"/>
      <c r="C654" s="61"/>
      <c r="D654" s="61"/>
      <c r="E654" s="61"/>
    </row>
    <row r="655">
      <c r="B655" s="61"/>
      <c r="C655" s="61"/>
      <c r="D655" s="61"/>
      <c r="E655" s="61"/>
    </row>
    <row r="656">
      <c r="B656" s="61"/>
      <c r="C656" s="61"/>
      <c r="D656" s="61"/>
      <c r="E656" s="61"/>
    </row>
    <row r="657">
      <c r="B657" s="61"/>
      <c r="C657" s="61"/>
      <c r="D657" s="61"/>
      <c r="E657" s="61"/>
    </row>
    <row r="658">
      <c r="B658" s="61"/>
      <c r="C658" s="61"/>
      <c r="D658" s="61"/>
      <c r="E658" s="61"/>
    </row>
    <row r="659">
      <c r="B659" s="61"/>
      <c r="C659" s="61"/>
      <c r="D659" s="61"/>
      <c r="E659" s="61"/>
    </row>
    <row r="660">
      <c r="B660" s="61"/>
      <c r="C660" s="61"/>
      <c r="D660" s="61"/>
      <c r="E660" s="61"/>
    </row>
    <row r="661">
      <c r="B661" s="61"/>
      <c r="C661" s="61"/>
      <c r="D661" s="61"/>
      <c r="E661" s="61"/>
    </row>
    <row r="662">
      <c r="B662" s="61"/>
      <c r="C662" s="61"/>
      <c r="D662" s="61"/>
      <c r="E662" s="61"/>
    </row>
    <row r="663">
      <c r="B663" s="61"/>
      <c r="C663" s="61"/>
      <c r="D663" s="61"/>
      <c r="E663" s="61"/>
    </row>
    <row r="664">
      <c r="B664" s="61"/>
      <c r="C664" s="61"/>
      <c r="D664" s="61"/>
      <c r="E664" s="61"/>
    </row>
    <row r="665">
      <c r="B665" s="61"/>
      <c r="C665" s="61"/>
      <c r="D665" s="61"/>
      <c r="E665" s="61"/>
    </row>
    <row r="666">
      <c r="B666" s="61"/>
      <c r="C666" s="61"/>
      <c r="D666" s="61"/>
      <c r="E666" s="61"/>
    </row>
    <row r="667">
      <c r="B667" s="61"/>
      <c r="C667" s="61"/>
      <c r="D667" s="61"/>
      <c r="E667" s="61"/>
    </row>
    <row r="668">
      <c r="B668" s="61"/>
      <c r="C668" s="61"/>
      <c r="D668" s="61"/>
      <c r="E668" s="61"/>
    </row>
    <row r="669">
      <c r="B669" s="61"/>
      <c r="C669" s="61"/>
      <c r="D669" s="61"/>
      <c r="E669" s="61"/>
    </row>
    <row r="670">
      <c r="B670" s="61"/>
      <c r="C670" s="61"/>
      <c r="D670" s="61"/>
      <c r="E670" s="61"/>
    </row>
    <row r="671">
      <c r="B671" s="61"/>
      <c r="C671" s="61"/>
      <c r="D671" s="61"/>
      <c r="E671" s="61"/>
    </row>
    <row r="672">
      <c r="B672" s="61"/>
      <c r="C672" s="61"/>
      <c r="D672" s="61"/>
      <c r="E672" s="61"/>
    </row>
    <row r="673">
      <c r="B673" s="61"/>
      <c r="C673" s="61"/>
      <c r="D673" s="61"/>
      <c r="E673" s="61"/>
    </row>
    <row r="674">
      <c r="B674" s="61"/>
      <c r="C674" s="61"/>
      <c r="D674" s="61"/>
      <c r="E674" s="61"/>
    </row>
    <row r="675">
      <c r="B675" s="61"/>
      <c r="C675" s="61"/>
      <c r="D675" s="61"/>
      <c r="E675" s="61"/>
    </row>
    <row r="676">
      <c r="B676" s="61"/>
      <c r="C676" s="61"/>
      <c r="D676" s="61"/>
      <c r="E676" s="61"/>
    </row>
    <row r="677">
      <c r="B677" s="61"/>
      <c r="C677" s="61"/>
      <c r="D677" s="61"/>
      <c r="E677" s="61"/>
    </row>
    <row r="678">
      <c r="B678" s="61"/>
      <c r="C678" s="61"/>
      <c r="D678" s="61"/>
      <c r="E678" s="61"/>
    </row>
    <row r="679">
      <c r="B679" s="61"/>
      <c r="C679" s="61"/>
      <c r="D679" s="61"/>
      <c r="E679" s="61"/>
    </row>
    <row r="680">
      <c r="B680" s="61"/>
      <c r="C680" s="61"/>
      <c r="D680" s="61"/>
      <c r="E680" s="61"/>
    </row>
    <row r="681">
      <c r="B681" s="61"/>
      <c r="C681" s="61"/>
      <c r="D681" s="61"/>
      <c r="E681" s="61"/>
    </row>
    <row r="682">
      <c r="B682" s="61"/>
      <c r="C682" s="61"/>
      <c r="D682" s="61"/>
      <c r="E682" s="61"/>
    </row>
    <row r="683">
      <c r="B683" s="61"/>
      <c r="C683" s="61"/>
      <c r="D683" s="61"/>
      <c r="E683" s="61"/>
    </row>
    <row r="684">
      <c r="B684" s="61"/>
      <c r="C684" s="61"/>
      <c r="D684" s="61"/>
      <c r="E684" s="61"/>
    </row>
    <row r="685">
      <c r="B685" s="61"/>
      <c r="C685" s="61"/>
      <c r="D685" s="61"/>
      <c r="E685" s="61"/>
    </row>
    <row r="686">
      <c r="B686" s="61"/>
      <c r="C686" s="61"/>
      <c r="D686" s="61"/>
      <c r="E686" s="61"/>
    </row>
    <row r="687">
      <c r="B687" s="61"/>
      <c r="C687" s="61"/>
      <c r="D687" s="61"/>
      <c r="E687" s="61"/>
    </row>
    <row r="688">
      <c r="B688" s="61"/>
      <c r="C688" s="61"/>
      <c r="D688" s="61"/>
      <c r="E688" s="61"/>
    </row>
    <row r="689">
      <c r="B689" s="61"/>
      <c r="C689" s="61"/>
      <c r="D689" s="61"/>
      <c r="E689" s="61"/>
    </row>
    <row r="690">
      <c r="B690" s="61"/>
      <c r="C690" s="61"/>
      <c r="D690" s="61"/>
      <c r="E690" s="61"/>
    </row>
    <row r="691">
      <c r="B691" s="61"/>
      <c r="C691" s="61"/>
      <c r="D691" s="61"/>
      <c r="E691" s="61"/>
    </row>
    <row r="692">
      <c r="B692" s="61"/>
      <c r="C692" s="61"/>
      <c r="D692" s="61"/>
      <c r="E692" s="61"/>
    </row>
    <row r="693">
      <c r="B693" s="61"/>
      <c r="C693" s="61"/>
      <c r="D693" s="61"/>
      <c r="E693" s="61"/>
    </row>
    <row r="694">
      <c r="B694" s="61"/>
      <c r="C694" s="61"/>
      <c r="D694" s="61"/>
      <c r="E694" s="61"/>
    </row>
    <row r="695">
      <c r="B695" s="61"/>
      <c r="C695" s="61"/>
      <c r="D695" s="61"/>
      <c r="E695" s="61"/>
    </row>
    <row r="696">
      <c r="B696" s="61"/>
      <c r="C696" s="61"/>
      <c r="D696" s="61"/>
      <c r="E696" s="61"/>
    </row>
    <row r="697">
      <c r="B697" s="61"/>
      <c r="C697" s="61"/>
      <c r="D697" s="61"/>
      <c r="E697" s="61"/>
    </row>
    <row r="698">
      <c r="B698" s="61"/>
      <c r="C698" s="61"/>
      <c r="D698" s="61"/>
      <c r="E698" s="61"/>
    </row>
    <row r="699">
      <c r="B699" s="61"/>
      <c r="C699" s="61"/>
      <c r="D699" s="61"/>
      <c r="E699" s="61"/>
    </row>
    <row r="700">
      <c r="B700" s="61"/>
      <c r="C700" s="61"/>
      <c r="D700" s="61"/>
      <c r="E700" s="61"/>
    </row>
    <row r="701">
      <c r="B701" s="61"/>
      <c r="C701" s="61"/>
      <c r="D701" s="61"/>
      <c r="E701" s="61"/>
    </row>
    <row r="702">
      <c r="B702" s="61"/>
      <c r="C702" s="61"/>
      <c r="D702" s="61"/>
      <c r="E702" s="61"/>
    </row>
    <row r="703">
      <c r="B703" s="61"/>
      <c r="C703" s="61"/>
      <c r="D703" s="61"/>
      <c r="E703" s="61"/>
    </row>
    <row r="704">
      <c r="B704" s="61"/>
      <c r="C704" s="61"/>
      <c r="D704" s="61"/>
      <c r="E704" s="61"/>
    </row>
    <row r="705">
      <c r="B705" s="61"/>
      <c r="C705" s="61"/>
      <c r="D705" s="61"/>
      <c r="E705" s="61"/>
    </row>
    <row r="706">
      <c r="B706" s="61"/>
      <c r="C706" s="61"/>
      <c r="D706" s="61"/>
      <c r="E706" s="61"/>
    </row>
    <row r="707">
      <c r="B707" s="61"/>
      <c r="C707" s="61"/>
      <c r="D707" s="61"/>
      <c r="E707" s="61"/>
    </row>
    <row r="708">
      <c r="B708" s="61"/>
      <c r="C708" s="61"/>
      <c r="D708" s="61"/>
      <c r="E708" s="61"/>
    </row>
    <row r="709">
      <c r="B709" s="61"/>
      <c r="C709" s="61"/>
      <c r="D709" s="61"/>
      <c r="E709" s="61"/>
    </row>
    <row r="710">
      <c r="B710" s="61"/>
      <c r="C710" s="61"/>
      <c r="D710" s="61"/>
      <c r="E710" s="61"/>
    </row>
    <row r="711">
      <c r="B711" s="61"/>
      <c r="C711" s="61"/>
      <c r="D711" s="61"/>
      <c r="E711" s="61"/>
    </row>
    <row r="712">
      <c r="B712" s="61"/>
      <c r="C712" s="61"/>
      <c r="D712" s="61"/>
      <c r="E712" s="61"/>
    </row>
    <row r="713">
      <c r="B713" s="61"/>
      <c r="C713" s="61"/>
      <c r="D713" s="61"/>
      <c r="E713" s="61"/>
    </row>
    <row r="714">
      <c r="B714" s="61"/>
      <c r="C714" s="61"/>
      <c r="D714" s="61"/>
      <c r="E714" s="61"/>
    </row>
    <row r="715">
      <c r="B715" s="61"/>
      <c r="C715" s="61"/>
      <c r="D715" s="61"/>
      <c r="E715" s="61"/>
    </row>
    <row r="716">
      <c r="B716" s="61"/>
      <c r="C716" s="61"/>
      <c r="D716" s="61"/>
      <c r="E716" s="61"/>
    </row>
    <row r="717">
      <c r="B717" s="61"/>
      <c r="C717" s="61"/>
      <c r="D717" s="61"/>
      <c r="E717" s="61"/>
    </row>
    <row r="718">
      <c r="B718" s="61"/>
      <c r="C718" s="61"/>
      <c r="D718" s="61"/>
      <c r="E718" s="61"/>
    </row>
    <row r="719">
      <c r="B719" s="61"/>
      <c r="C719" s="61"/>
      <c r="D719" s="61"/>
      <c r="E719" s="61"/>
    </row>
    <row r="720">
      <c r="B720" s="61"/>
      <c r="C720" s="61"/>
      <c r="D720" s="61"/>
      <c r="E720" s="61"/>
    </row>
    <row r="721">
      <c r="B721" s="61"/>
      <c r="C721" s="61"/>
      <c r="D721" s="61"/>
      <c r="E721" s="61"/>
    </row>
    <row r="722">
      <c r="B722" s="61"/>
      <c r="C722" s="61"/>
      <c r="D722" s="61"/>
      <c r="E722" s="61"/>
    </row>
    <row r="723">
      <c r="B723" s="61"/>
      <c r="C723" s="61"/>
      <c r="D723" s="61"/>
      <c r="E723" s="61"/>
    </row>
    <row r="724">
      <c r="B724" s="61"/>
      <c r="C724" s="61"/>
      <c r="D724" s="61"/>
      <c r="E724" s="61"/>
    </row>
    <row r="725">
      <c r="B725" s="61"/>
      <c r="C725" s="61"/>
      <c r="D725" s="61"/>
      <c r="E725" s="61"/>
    </row>
    <row r="726">
      <c r="B726" s="61"/>
      <c r="C726" s="61"/>
      <c r="D726" s="61"/>
      <c r="E726" s="61"/>
    </row>
    <row r="727">
      <c r="B727" s="61"/>
      <c r="C727" s="61"/>
      <c r="D727" s="61"/>
      <c r="E727" s="61"/>
    </row>
    <row r="728">
      <c r="B728" s="61"/>
      <c r="C728" s="61"/>
      <c r="D728" s="61"/>
      <c r="E728" s="61"/>
    </row>
    <row r="729">
      <c r="B729" s="61"/>
      <c r="C729" s="61"/>
      <c r="D729" s="61"/>
      <c r="E729" s="61"/>
    </row>
    <row r="730">
      <c r="B730" s="61"/>
      <c r="C730" s="61"/>
      <c r="D730" s="61"/>
      <c r="E730" s="61"/>
    </row>
    <row r="731">
      <c r="B731" s="61"/>
      <c r="C731" s="61"/>
      <c r="D731" s="61"/>
      <c r="E731" s="61"/>
    </row>
    <row r="732">
      <c r="B732" s="61"/>
      <c r="C732" s="61"/>
      <c r="D732" s="61"/>
      <c r="E732" s="61"/>
    </row>
    <row r="733">
      <c r="B733" s="61"/>
      <c r="C733" s="61"/>
      <c r="D733" s="61"/>
      <c r="E733" s="61"/>
    </row>
    <row r="734">
      <c r="B734" s="61"/>
      <c r="C734" s="61"/>
      <c r="D734" s="61"/>
      <c r="E734" s="61"/>
    </row>
    <row r="735">
      <c r="B735" s="61"/>
      <c r="C735" s="61"/>
      <c r="D735" s="61"/>
      <c r="E735" s="61"/>
    </row>
    <row r="736">
      <c r="B736" s="61"/>
      <c r="C736" s="61"/>
      <c r="D736" s="61"/>
      <c r="E736" s="61"/>
    </row>
    <row r="737">
      <c r="B737" s="61"/>
      <c r="C737" s="61"/>
      <c r="D737" s="61"/>
      <c r="E737" s="61"/>
    </row>
    <row r="738">
      <c r="B738" s="61"/>
      <c r="C738" s="61"/>
      <c r="D738" s="61"/>
      <c r="E738" s="61"/>
    </row>
    <row r="739">
      <c r="B739" s="61"/>
      <c r="C739" s="61"/>
      <c r="D739" s="61"/>
      <c r="E739" s="61"/>
    </row>
    <row r="740">
      <c r="B740" s="61"/>
      <c r="C740" s="61"/>
      <c r="D740" s="61"/>
      <c r="E740" s="61"/>
    </row>
    <row r="741">
      <c r="B741" s="61"/>
      <c r="C741" s="61"/>
      <c r="D741" s="61"/>
      <c r="E741" s="61"/>
    </row>
    <row r="742">
      <c r="B742" s="61"/>
      <c r="C742" s="61"/>
      <c r="D742" s="61"/>
      <c r="E742" s="61"/>
    </row>
    <row r="743">
      <c r="B743" s="61"/>
      <c r="C743" s="61"/>
      <c r="D743" s="61"/>
      <c r="E743" s="61"/>
    </row>
    <row r="744">
      <c r="B744" s="61"/>
      <c r="C744" s="61"/>
      <c r="D744" s="61"/>
      <c r="E744" s="61"/>
    </row>
    <row r="745">
      <c r="B745" s="61"/>
      <c r="C745" s="61"/>
      <c r="D745" s="61"/>
      <c r="E745" s="61"/>
    </row>
    <row r="746">
      <c r="B746" s="61"/>
      <c r="C746" s="61"/>
      <c r="D746" s="61"/>
      <c r="E746" s="61"/>
    </row>
    <row r="747">
      <c r="B747" s="61"/>
      <c r="C747" s="61"/>
      <c r="D747" s="61"/>
      <c r="E747" s="61"/>
    </row>
    <row r="748">
      <c r="B748" s="61"/>
      <c r="C748" s="61"/>
      <c r="D748" s="61"/>
      <c r="E748" s="61"/>
    </row>
    <row r="749">
      <c r="B749" s="61"/>
      <c r="C749" s="61"/>
      <c r="D749" s="61"/>
      <c r="E749" s="61"/>
    </row>
    <row r="750">
      <c r="B750" s="61"/>
      <c r="C750" s="61"/>
      <c r="D750" s="61"/>
      <c r="E750" s="61"/>
    </row>
    <row r="751">
      <c r="B751" s="61"/>
      <c r="C751" s="61"/>
      <c r="D751" s="61"/>
      <c r="E751" s="61"/>
    </row>
    <row r="752">
      <c r="B752" s="61"/>
      <c r="C752" s="61"/>
      <c r="D752" s="61"/>
      <c r="E752" s="61"/>
    </row>
    <row r="753">
      <c r="B753" s="61"/>
      <c r="C753" s="61"/>
      <c r="D753" s="61"/>
      <c r="E753" s="61"/>
    </row>
    <row r="754">
      <c r="B754" s="61"/>
      <c r="C754" s="61"/>
      <c r="D754" s="61"/>
      <c r="E754" s="61"/>
    </row>
    <row r="755">
      <c r="B755" s="61"/>
      <c r="C755" s="61"/>
      <c r="D755" s="61"/>
      <c r="E755" s="61"/>
    </row>
    <row r="756">
      <c r="B756" s="61"/>
      <c r="C756" s="61"/>
      <c r="D756" s="61"/>
      <c r="E756" s="61"/>
    </row>
    <row r="757">
      <c r="B757" s="61"/>
      <c r="C757" s="61"/>
      <c r="D757" s="61"/>
      <c r="E757" s="61"/>
    </row>
    <row r="758">
      <c r="B758" s="61"/>
      <c r="C758" s="61"/>
      <c r="D758" s="61"/>
      <c r="E758" s="61"/>
    </row>
    <row r="759">
      <c r="B759" s="61"/>
      <c r="C759" s="61"/>
      <c r="D759" s="61"/>
      <c r="E759" s="61"/>
    </row>
    <row r="760">
      <c r="B760" s="61"/>
      <c r="C760" s="61"/>
      <c r="D760" s="61"/>
      <c r="E760" s="61"/>
    </row>
    <row r="761">
      <c r="B761" s="61"/>
      <c r="C761" s="61"/>
      <c r="D761" s="61"/>
      <c r="E761" s="61"/>
    </row>
    <row r="762">
      <c r="B762" s="61"/>
      <c r="C762" s="61"/>
      <c r="D762" s="61"/>
      <c r="E762" s="61"/>
    </row>
    <row r="763">
      <c r="B763" s="61"/>
      <c r="C763" s="61"/>
      <c r="D763" s="61"/>
      <c r="E763" s="61"/>
    </row>
    <row r="764">
      <c r="B764" s="61"/>
      <c r="C764" s="61"/>
      <c r="D764" s="61"/>
      <c r="E764" s="61"/>
    </row>
    <row r="765">
      <c r="B765" s="61"/>
      <c r="C765" s="61"/>
      <c r="D765" s="61"/>
      <c r="E765" s="61"/>
    </row>
    <row r="766">
      <c r="B766" s="61"/>
      <c r="C766" s="61"/>
      <c r="D766" s="61"/>
      <c r="E766" s="61"/>
    </row>
    <row r="767">
      <c r="B767" s="61"/>
      <c r="C767" s="61"/>
      <c r="D767" s="61"/>
      <c r="E767" s="61"/>
    </row>
    <row r="768">
      <c r="B768" s="61"/>
      <c r="C768" s="61"/>
      <c r="D768" s="61"/>
      <c r="E768" s="61"/>
    </row>
    <row r="769">
      <c r="B769" s="61"/>
      <c r="C769" s="61"/>
      <c r="D769" s="61"/>
      <c r="E769" s="61"/>
    </row>
    <row r="770">
      <c r="B770" s="61"/>
      <c r="C770" s="61"/>
      <c r="D770" s="61"/>
      <c r="E770" s="61"/>
    </row>
    <row r="771">
      <c r="B771" s="61"/>
      <c r="C771" s="61"/>
      <c r="D771" s="61"/>
      <c r="E771" s="61"/>
    </row>
    <row r="772">
      <c r="B772" s="61"/>
      <c r="C772" s="61"/>
      <c r="D772" s="61"/>
      <c r="E772" s="61"/>
    </row>
    <row r="773">
      <c r="B773" s="61"/>
      <c r="C773" s="61"/>
      <c r="D773" s="61"/>
      <c r="E773" s="61"/>
    </row>
    <row r="774">
      <c r="B774" s="61"/>
      <c r="C774" s="61"/>
      <c r="D774" s="61"/>
      <c r="E774" s="61"/>
    </row>
    <row r="775">
      <c r="B775" s="61"/>
      <c r="C775" s="61"/>
      <c r="D775" s="61"/>
      <c r="E775" s="61"/>
    </row>
    <row r="776">
      <c r="B776" s="61"/>
      <c r="C776" s="61"/>
      <c r="D776" s="61"/>
      <c r="E776" s="61"/>
    </row>
    <row r="777">
      <c r="B777" s="61"/>
      <c r="C777" s="61"/>
      <c r="D777" s="61"/>
      <c r="E777" s="61"/>
    </row>
    <row r="778">
      <c r="B778" s="61"/>
      <c r="C778" s="61"/>
      <c r="D778" s="61"/>
      <c r="E778" s="61"/>
    </row>
    <row r="779">
      <c r="B779" s="61"/>
      <c r="C779" s="61"/>
      <c r="D779" s="61"/>
      <c r="E779" s="61"/>
    </row>
    <row r="780">
      <c r="B780" s="61"/>
      <c r="C780" s="61"/>
      <c r="D780" s="61"/>
      <c r="E780" s="61"/>
    </row>
    <row r="781">
      <c r="B781" s="61"/>
      <c r="C781" s="61"/>
      <c r="D781" s="61"/>
      <c r="E781" s="61"/>
    </row>
    <row r="782">
      <c r="B782" s="61"/>
      <c r="C782" s="61"/>
      <c r="D782" s="61"/>
      <c r="E782" s="61"/>
    </row>
    <row r="783">
      <c r="B783" s="61"/>
      <c r="C783" s="61"/>
      <c r="D783" s="61"/>
      <c r="E783" s="61"/>
    </row>
    <row r="784">
      <c r="B784" s="61"/>
      <c r="C784" s="61"/>
      <c r="D784" s="61"/>
      <c r="E784" s="61"/>
    </row>
    <row r="785">
      <c r="B785" s="61"/>
      <c r="C785" s="61"/>
      <c r="D785" s="61"/>
      <c r="E785" s="61"/>
    </row>
    <row r="786">
      <c r="B786" s="61"/>
      <c r="C786" s="61"/>
      <c r="D786" s="61"/>
      <c r="E786" s="61"/>
    </row>
    <row r="787">
      <c r="B787" s="61"/>
      <c r="C787" s="61"/>
      <c r="D787" s="61"/>
      <c r="E787" s="61"/>
    </row>
    <row r="788">
      <c r="B788" s="61"/>
      <c r="C788" s="61"/>
      <c r="D788" s="61"/>
      <c r="E788" s="61"/>
    </row>
    <row r="789">
      <c r="B789" s="61"/>
      <c r="C789" s="61"/>
      <c r="D789" s="61"/>
      <c r="E789" s="61"/>
    </row>
    <row r="790">
      <c r="B790" s="61"/>
      <c r="C790" s="61"/>
      <c r="D790" s="61"/>
      <c r="E790" s="61"/>
    </row>
    <row r="791">
      <c r="B791" s="61"/>
      <c r="C791" s="61"/>
      <c r="D791" s="61"/>
      <c r="E791" s="61"/>
    </row>
    <row r="792">
      <c r="B792" s="61"/>
      <c r="C792" s="61"/>
      <c r="D792" s="61"/>
      <c r="E792" s="61"/>
    </row>
    <row r="793">
      <c r="B793" s="61"/>
      <c r="C793" s="61"/>
      <c r="D793" s="61"/>
      <c r="E793" s="61"/>
    </row>
    <row r="794">
      <c r="B794" s="61"/>
      <c r="C794" s="61"/>
      <c r="D794" s="61"/>
      <c r="E794" s="61"/>
    </row>
    <row r="795">
      <c r="B795" s="61"/>
      <c r="C795" s="61"/>
      <c r="D795" s="61"/>
      <c r="E795" s="61"/>
    </row>
    <row r="796">
      <c r="B796" s="61"/>
      <c r="C796" s="61"/>
      <c r="D796" s="61"/>
      <c r="E796" s="61"/>
    </row>
    <row r="797">
      <c r="B797" s="61"/>
      <c r="C797" s="61"/>
      <c r="D797" s="61"/>
      <c r="E797" s="61"/>
    </row>
    <row r="798">
      <c r="B798" s="61"/>
      <c r="C798" s="61"/>
      <c r="D798" s="61"/>
      <c r="E798" s="61"/>
    </row>
    <row r="799">
      <c r="B799" s="61"/>
      <c r="C799" s="61"/>
      <c r="D799" s="61"/>
      <c r="E799" s="61"/>
    </row>
    <row r="800">
      <c r="B800" s="61"/>
      <c r="C800" s="61"/>
      <c r="D800" s="61"/>
      <c r="E800" s="61"/>
    </row>
    <row r="801">
      <c r="B801" s="61"/>
      <c r="C801" s="61"/>
      <c r="D801" s="61"/>
      <c r="E801" s="61"/>
    </row>
    <row r="802">
      <c r="B802" s="61"/>
      <c r="C802" s="61"/>
      <c r="D802" s="61"/>
      <c r="E802" s="61"/>
    </row>
    <row r="803">
      <c r="B803" s="61"/>
      <c r="C803" s="61"/>
      <c r="D803" s="61"/>
      <c r="E803" s="61"/>
    </row>
    <row r="804">
      <c r="B804" s="61"/>
      <c r="C804" s="61"/>
      <c r="D804" s="61"/>
      <c r="E804" s="61"/>
    </row>
    <row r="805">
      <c r="B805" s="61"/>
      <c r="C805" s="61"/>
      <c r="D805" s="61"/>
      <c r="E805" s="61"/>
    </row>
    <row r="806">
      <c r="B806" s="61"/>
      <c r="C806" s="61"/>
      <c r="D806" s="61"/>
      <c r="E806" s="61"/>
    </row>
    <row r="807">
      <c r="B807" s="61"/>
      <c r="C807" s="61"/>
      <c r="D807" s="61"/>
      <c r="E807" s="61"/>
    </row>
    <row r="808">
      <c r="B808" s="61"/>
      <c r="C808" s="61"/>
      <c r="D808" s="61"/>
      <c r="E808" s="61"/>
    </row>
    <row r="809">
      <c r="B809" s="61"/>
      <c r="C809" s="61"/>
      <c r="D809" s="61"/>
      <c r="E809" s="61"/>
    </row>
    <row r="810">
      <c r="B810" s="61"/>
      <c r="C810" s="61"/>
      <c r="D810" s="61"/>
      <c r="E810" s="61"/>
    </row>
    <row r="811">
      <c r="B811" s="61"/>
      <c r="C811" s="61"/>
      <c r="D811" s="61"/>
      <c r="E811" s="61"/>
    </row>
    <row r="812">
      <c r="B812" s="61"/>
      <c r="C812" s="61"/>
      <c r="D812" s="61"/>
      <c r="E812" s="61"/>
    </row>
    <row r="813">
      <c r="B813" s="61"/>
      <c r="C813" s="61"/>
      <c r="D813" s="61"/>
      <c r="E813" s="61"/>
    </row>
    <row r="814">
      <c r="B814" s="61"/>
      <c r="C814" s="61"/>
      <c r="D814" s="61"/>
      <c r="E814" s="61"/>
    </row>
    <row r="815">
      <c r="B815" s="61"/>
      <c r="C815" s="61"/>
      <c r="D815" s="61"/>
      <c r="E815" s="61"/>
    </row>
    <row r="816">
      <c r="B816" s="61"/>
      <c r="C816" s="61"/>
      <c r="D816" s="61"/>
      <c r="E816" s="61"/>
    </row>
    <row r="817">
      <c r="B817" s="61"/>
      <c r="C817" s="61"/>
      <c r="D817" s="61"/>
      <c r="E817" s="61"/>
    </row>
    <row r="818">
      <c r="B818" s="61"/>
      <c r="C818" s="61"/>
      <c r="D818" s="61"/>
      <c r="E818" s="61"/>
    </row>
    <row r="819">
      <c r="B819" s="61"/>
      <c r="C819" s="61"/>
      <c r="D819" s="61"/>
      <c r="E819" s="61"/>
    </row>
    <row r="820">
      <c r="B820" s="61"/>
      <c r="C820" s="61"/>
      <c r="D820" s="61"/>
      <c r="E820" s="61"/>
    </row>
    <row r="821">
      <c r="B821" s="61"/>
      <c r="C821" s="61"/>
      <c r="D821" s="61"/>
      <c r="E821" s="61"/>
    </row>
    <row r="822">
      <c r="B822" s="61"/>
      <c r="C822" s="61"/>
      <c r="D822" s="61"/>
      <c r="E822" s="61"/>
    </row>
    <row r="823">
      <c r="B823" s="61"/>
      <c r="C823" s="61"/>
      <c r="D823" s="61"/>
      <c r="E823" s="61"/>
    </row>
    <row r="824">
      <c r="B824" s="61"/>
      <c r="C824" s="61"/>
      <c r="D824" s="61"/>
      <c r="E824" s="61"/>
    </row>
    <row r="825">
      <c r="B825" s="61"/>
      <c r="C825" s="61"/>
      <c r="D825" s="61"/>
      <c r="E825" s="61"/>
    </row>
    <row r="826">
      <c r="B826" s="61"/>
      <c r="C826" s="61"/>
      <c r="D826" s="61"/>
      <c r="E826" s="61"/>
    </row>
    <row r="827">
      <c r="B827" s="61"/>
      <c r="C827" s="61"/>
      <c r="D827" s="61"/>
      <c r="E827" s="61"/>
    </row>
    <row r="828">
      <c r="B828" s="61"/>
      <c r="C828" s="61"/>
      <c r="D828" s="61"/>
      <c r="E828" s="61"/>
    </row>
    <row r="829">
      <c r="B829" s="61"/>
      <c r="C829" s="61"/>
      <c r="D829" s="61"/>
      <c r="E829" s="61"/>
    </row>
    <row r="830">
      <c r="B830" s="61"/>
      <c r="C830" s="61"/>
      <c r="D830" s="61"/>
      <c r="E830" s="61"/>
    </row>
    <row r="831">
      <c r="B831" s="61"/>
      <c r="C831" s="61"/>
      <c r="D831" s="61"/>
      <c r="E831" s="61"/>
    </row>
    <row r="832">
      <c r="B832" s="61"/>
      <c r="C832" s="61"/>
      <c r="D832" s="61"/>
      <c r="E832" s="61"/>
    </row>
    <row r="833">
      <c r="B833" s="61"/>
      <c r="C833" s="61"/>
      <c r="D833" s="61"/>
      <c r="E833" s="61"/>
    </row>
    <row r="834">
      <c r="B834" s="61"/>
      <c r="C834" s="61"/>
      <c r="D834" s="61"/>
      <c r="E834" s="61"/>
    </row>
    <row r="835">
      <c r="B835" s="61"/>
      <c r="C835" s="61"/>
      <c r="D835" s="61"/>
      <c r="E835" s="61"/>
    </row>
    <row r="836">
      <c r="B836" s="61"/>
      <c r="C836" s="61"/>
      <c r="D836" s="61"/>
      <c r="E836" s="61"/>
    </row>
    <row r="837">
      <c r="B837" s="61"/>
      <c r="C837" s="61"/>
      <c r="D837" s="61"/>
      <c r="E837" s="61"/>
    </row>
    <row r="838">
      <c r="B838" s="61"/>
      <c r="C838" s="61"/>
      <c r="D838" s="61"/>
      <c r="E838" s="61"/>
    </row>
    <row r="839">
      <c r="B839" s="61"/>
      <c r="C839" s="61"/>
      <c r="D839" s="61"/>
      <c r="E839" s="61"/>
    </row>
    <row r="840">
      <c r="B840" s="61"/>
      <c r="C840" s="61"/>
      <c r="D840" s="61"/>
      <c r="E840" s="61"/>
    </row>
    <row r="841">
      <c r="B841" s="61"/>
      <c r="C841" s="61"/>
      <c r="D841" s="61"/>
      <c r="E841" s="61"/>
    </row>
    <row r="842">
      <c r="B842" s="61"/>
      <c r="C842" s="61"/>
      <c r="D842" s="61"/>
      <c r="E842" s="61"/>
    </row>
    <row r="843">
      <c r="B843" s="61"/>
      <c r="C843" s="61"/>
      <c r="D843" s="61"/>
      <c r="E843" s="61"/>
    </row>
    <row r="844">
      <c r="B844" s="61"/>
      <c r="C844" s="61"/>
      <c r="D844" s="61"/>
      <c r="E844" s="61"/>
    </row>
    <row r="845">
      <c r="B845" s="61"/>
      <c r="C845" s="61"/>
      <c r="D845" s="61"/>
      <c r="E845" s="61"/>
    </row>
    <row r="846">
      <c r="B846" s="61"/>
      <c r="C846" s="61"/>
      <c r="D846" s="61"/>
      <c r="E846" s="61"/>
    </row>
    <row r="847">
      <c r="B847" s="61"/>
      <c r="C847" s="61"/>
      <c r="D847" s="61"/>
      <c r="E847" s="61"/>
    </row>
    <row r="848">
      <c r="B848" s="61"/>
      <c r="C848" s="61"/>
      <c r="D848" s="61"/>
      <c r="E848" s="61"/>
    </row>
    <row r="849">
      <c r="B849" s="61"/>
      <c r="C849" s="61"/>
      <c r="D849" s="61"/>
      <c r="E849" s="61"/>
    </row>
    <row r="850">
      <c r="B850" s="61"/>
      <c r="C850" s="61"/>
      <c r="D850" s="61"/>
      <c r="E850" s="61"/>
    </row>
    <row r="851">
      <c r="B851" s="61"/>
      <c r="C851" s="61"/>
      <c r="D851" s="61"/>
      <c r="E851" s="61"/>
    </row>
    <row r="852">
      <c r="B852" s="61"/>
      <c r="C852" s="61"/>
      <c r="D852" s="61"/>
      <c r="E852" s="61"/>
    </row>
    <row r="853">
      <c r="B853" s="61"/>
      <c r="C853" s="61"/>
      <c r="D853" s="61"/>
      <c r="E853" s="61"/>
    </row>
    <row r="854">
      <c r="B854" s="61"/>
      <c r="C854" s="61"/>
      <c r="D854" s="61"/>
      <c r="E854" s="61"/>
    </row>
    <row r="855">
      <c r="B855" s="61"/>
      <c r="C855" s="61"/>
      <c r="D855" s="61"/>
      <c r="E855" s="61"/>
    </row>
    <row r="856">
      <c r="B856" s="61"/>
      <c r="C856" s="61"/>
      <c r="D856" s="61"/>
      <c r="E856" s="61"/>
    </row>
    <row r="857">
      <c r="B857" s="61"/>
      <c r="C857" s="61"/>
      <c r="D857" s="61"/>
      <c r="E857" s="61"/>
    </row>
    <row r="858">
      <c r="B858" s="61"/>
      <c r="C858" s="61"/>
      <c r="D858" s="61"/>
      <c r="E858" s="61"/>
    </row>
    <row r="859">
      <c r="B859" s="61"/>
      <c r="C859" s="61"/>
      <c r="D859" s="61"/>
      <c r="E859" s="61"/>
    </row>
    <row r="860">
      <c r="B860" s="61"/>
      <c r="C860" s="61"/>
      <c r="D860" s="61"/>
      <c r="E860" s="61"/>
    </row>
    <row r="861">
      <c r="B861" s="61"/>
      <c r="C861" s="61"/>
      <c r="D861" s="61"/>
      <c r="E861" s="61"/>
    </row>
    <row r="862">
      <c r="B862" s="61"/>
      <c r="C862" s="61"/>
      <c r="D862" s="61"/>
      <c r="E862" s="61"/>
    </row>
    <row r="863">
      <c r="B863" s="61"/>
      <c r="C863" s="61"/>
      <c r="D863" s="61"/>
      <c r="E863" s="61"/>
    </row>
    <row r="864">
      <c r="B864" s="61"/>
      <c r="C864" s="61"/>
      <c r="D864" s="61"/>
      <c r="E864" s="61"/>
    </row>
    <row r="865">
      <c r="B865" s="61"/>
      <c r="C865" s="61"/>
      <c r="D865" s="61"/>
      <c r="E865" s="61"/>
    </row>
    <row r="866">
      <c r="B866" s="61"/>
      <c r="C866" s="61"/>
      <c r="D866" s="61"/>
      <c r="E866" s="61"/>
    </row>
    <row r="867">
      <c r="B867" s="61"/>
      <c r="C867" s="61"/>
      <c r="D867" s="61"/>
      <c r="E867" s="61"/>
    </row>
    <row r="868">
      <c r="B868" s="61"/>
      <c r="C868" s="61"/>
      <c r="D868" s="61"/>
      <c r="E868" s="61"/>
    </row>
    <row r="869">
      <c r="B869" s="61"/>
      <c r="C869" s="61"/>
      <c r="D869" s="61"/>
      <c r="E869" s="61"/>
    </row>
    <row r="870">
      <c r="B870" s="61"/>
      <c r="C870" s="61"/>
      <c r="D870" s="61"/>
      <c r="E870" s="61"/>
    </row>
    <row r="871">
      <c r="B871" s="61"/>
      <c r="C871" s="61"/>
      <c r="D871" s="61"/>
      <c r="E871" s="61"/>
    </row>
    <row r="872">
      <c r="B872" s="61"/>
      <c r="C872" s="61"/>
      <c r="D872" s="61"/>
      <c r="E872" s="61"/>
    </row>
    <row r="873">
      <c r="B873" s="61"/>
      <c r="C873" s="61"/>
      <c r="D873" s="61"/>
      <c r="E873" s="61"/>
    </row>
    <row r="874">
      <c r="B874" s="61"/>
      <c r="C874" s="61"/>
      <c r="D874" s="61"/>
      <c r="E874" s="61"/>
    </row>
    <row r="875">
      <c r="B875" s="61"/>
      <c r="C875" s="61"/>
      <c r="D875" s="61"/>
      <c r="E875" s="61"/>
    </row>
    <row r="876">
      <c r="B876" s="61"/>
      <c r="C876" s="61"/>
      <c r="D876" s="61"/>
      <c r="E876" s="61"/>
    </row>
    <row r="877">
      <c r="B877" s="61"/>
      <c r="C877" s="61"/>
      <c r="D877" s="61"/>
      <c r="E877" s="61"/>
    </row>
    <row r="878">
      <c r="B878" s="61"/>
      <c r="C878" s="61"/>
      <c r="D878" s="61"/>
      <c r="E878" s="61"/>
    </row>
    <row r="879">
      <c r="B879" s="61"/>
      <c r="C879" s="61"/>
      <c r="D879" s="61"/>
      <c r="E879" s="61"/>
    </row>
    <row r="880">
      <c r="B880" s="61"/>
      <c r="C880" s="61"/>
      <c r="D880" s="61"/>
      <c r="E880" s="61"/>
    </row>
    <row r="881">
      <c r="B881" s="61"/>
      <c r="C881" s="61"/>
      <c r="D881" s="61"/>
      <c r="E881" s="61"/>
    </row>
    <row r="882">
      <c r="B882" s="61"/>
      <c r="C882" s="61"/>
      <c r="D882" s="61"/>
      <c r="E882" s="61"/>
    </row>
    <row r="883">
      <c r="B883" s="61"/>
      <c r="C883" s="61"/>
      <c r="D883" s="61"/>
      <c r="E883" s="61"/>
    </row>
    <row r="884">
      <c r="B884" s="61"/>
      <c r="C884" s="61"/>
      <c r="D884" s="61"/>
      <c r="E884" s="61"/>
    </row>
    <row r="885">
      <c r="B885" s="61"/>
      <c r="C885" s="61"/>
      <c r="D885" s="61"/>
      <c r="E885" s="61"/>
    </row>
    <row r="886">
      <c r="B886" s="61"/>
      <c r="C886" s="61"/>
      <c r="D886" s="61"/>
      <c r="E886" s="61"/>
    </row>
    <row r="887">
      <c r="B887" s="61"/>
      <c r="C887" s="61"/>
      <c r="D887" s="61"/>
      <c r="E887" s="61"/>
    </row>
    <row r="888">
      <c r="B888" s="61"/>
      <c r="C888" s="61"/>
      <c r="D888" s="61"/>
      <c r="E888" s="61"/>
    </row>
    <row r="889">
      <c r="B889" s="61"/>
      <c r="C889" s="61"/>
      <c r="D889" s="61"/>
      <c r="E889" s="61"/>
    </row>
    <row r="890">
      <c r="B890" s="61"/>
      <c r="C890" s="61"/>
      <c r="D890" s="61"/>
      <c r="E890" s="61"/>
    </row>
    <row r="891">
      <c r="B891" s="61"/>
      <c r="C891" s="61"/>
      <c r="D891" s="61"/>
      <c r="E891" s="61"/>
    </row>
    <row r="892">
      <c r="B892" s="61"/>
      <c r="C892" s="61"/>
      <c r="D892" s="61"/>
      <c r="E892" s="61"/>
    </row>
    <row r="893">
      <c r="B893" s="61"/>
      <c r="C893" s="61"/>
      <c r="D893" s="61"/>
      <c r="E893" s="61"/>
    </row>
    <row r="894">
      <c r="B894" s="61"/>
      <c r="C894" s="61"/>
      <c r="D894" s="61"/>
      <c r="E894" s="61"/>
    </row>
    <row r="895">
      <c r="B895" s="61"/>
      <c r="C895" s="61"/>
      <c r="D895" s="61"/>
      <c r="E895" s="61"/>
    </row>
    <row r="896">
      <c r="B896" s="61"/>
      <c r="C896" s="61"/>
      <c r="D896" s="61"/>
      <c r="E896" s="61"/>
    </row>
    <row r="897">
      <c r="B897" s="61"/>
      <c r="C897" s="61"/>
      <c r="D897" s="61"/>
      <c r="E897" s="61"/>
    </row>
    <row r="898">
      <c r="B898" s="61"/>
      <c r="C898" s="61"/>
      <c r="D898" s="61"/>
      <c r="E898" s="61"/>
    </row>
    <row r="899">
      <c r="B899" s="61"/>
      <c r="C899" s="61"/>
      <c r="D899" s="61"/>
      <c r="E899" s="61"/>
    </row>
    <row r="900">
      <c r="B900" s="61"/>
      <c r="C900" s="61"/>
      <c r="D900" s="61"/>
      <c r="E900" s="61"/>
    </row>
    <row r="901">
      <c r="B901" s="61"/>
      <c r="C901" s="61"/>
      <c r="D901" s="61"/>
      <c r="E901" s="61"/>
    </row>
    <row r="902">
      <c r="B902" s="61"/>
      <c r="C902" s="61"/>
      <c r="D902" s="61"/>
      <c r="E902" s="61"/>
    </row>
    <row r="903">
      <c r="B903" s="61"/>
      <c r="C903" s="61"/>
      <c r="D903" s="61"/>
      <c r="E903" s="61"/>
    </row>
    <row r="904">
      <c r="B904" s="61"/>
      <c r="C904" s="61"/>
      <c r="D904" s="61"/>
      <c r="E904" s="61"/>
    </row>
    <row r="905">
      <c r="B905" s="61"/>
      <c r="C905" s="61"/>
      <c r="D905" s="61"/>
      <c r="E905" s="61"/>
    </row>
    <row r="906">
      <c r="B906" s="61"/>
      <c r="C906" s="61"/>
      <c r="D906" s="61"/>
      <c r="E906" s="61"/>
    </row>
    <row r="907">
      <c r="B907" s="61"/>
      <c r="C907" s="61"/>
      <c r="D907" s="61"/>
      <c r="E907" s="61"/>
    </row>
    <row r="908">
      <c r="B908" s="61"/>
      <c r="C908" s="61"/>
      <c r="D908" s="61"/>
      <c r="E908" s="61"/>
    </row>
    <row r="909">
      <c r="B909" s="61"/>
      <c r="C909" s="61"/>
      <c r="D909" s="61"/>
      <c r="E909" s="61"/>
    </row>
    <row r="910">
      <c r="B910" s="61"/>
      <c r="C910" s="61"/>
      <c r="D910" s="61"/>
      <c r="E910" s="61"/>
    </row>
    <row r="911">
      <c r="B911" s="61"/>
      <c r="C911" s="61"/>
      <c r="D911" s="61"/>
      <c r="E911" s="61"/>
    </row>
    <row r="912">
      <c r="B912" s="61"/>
      <c r="C912" s="61"/>
      <c r="D912" s="61"/>
      <c r="E912" s="61"/>
    </row>
    <row r="913">
      <c r="B913" s="61"/>
      <c r="C913" s="61"/>
      <c r="D913" s="61"/>
      <c r="E913" s="61"/>
    </row>
    <row r="914">
      <c r="B914" s="61"/>
      <c r="C914" s="61"/>
      <c r="D914" s="61"/>
      <c r="E914" s="61"/>
    </row>
    <row r="915">
      <c r="B915" s="61"/>
      <c r="C915" s="61"/>
      <c r="D915" s="61"/>
      <c r="E915" s="61"/>
    </row>
    <row r="916">
      <c r="B916" s="61"/>
      <c r="C916" s="61"/>
      <c r="D916" s="61"/>
      <c r="E916" s="61"/>
    </row>
    <row r="917">
      <c r="B917" s="61"/>
      <c r="C917" s="61"/>
      <c r="D917" s="61"/>
      <c r="E917" s="61"/>
    </row>
    <row r="918">
      <c r="B918" s="61"/>
      <c r="C918" s="61"/>
      <c r="D918" s="61"/>
      <c r="E918" s="61"/>
    </row>
    <row r="919">
      <c r="B919" s="61"/>
      <c r="C919" s="61"/>
      <c r="D919" s="61"/>
      <c r="E919" s="61"/>
    </row>
    <row r="920">
      <c r="B920" s="61"/>
      <c r="C920" s="61"/>
      <c r="D920" s="61"/>
      <c r="E920" s="61"/>
    </row>
    <row r="921">
      <c r="B921" s="61"/>
      <c r="C921" s="61"/>
      <c r="D921" s="61"/>
      <c r="E921" s="61"/>
    </row>
    <row r="922">
      <c r="B922" s="61"/>
      <c r="C922" s="61"/>
      <c r="D922" s="61"/>
      <c r="E922" s="61"/>
    </row>
    <row r="923">
      <c r="B923" s="61"/>
      <c r="C923" s="61"/>
      <c r="D923" s="61"/>
      <c r="E923" s="61"/>
    </row>
    <row r="924">
      <c r="B924" s="61"/>
      <c r="C924" s="61"/>
      <c r="D924" s="61"/>
      <c r="E924" s="61"/>
    </row>
    <row r="925">
      <c r="B925" s="61"/>
      <c r="C925" s="61"/>
      <c r="D925" s="61"/>
      <c r="E925" s="61"/>
    </row>
    <row r="926">
      <c r="B926" s="61"/>
      <c r="C926" s="61"/>
      <c r="D926" s="61"/>
      <c r="E926" s="61"/>
    </row>
    <row r="927">
      <c r="B927" s="61"/>
      <c r="C927" s="61"/>
      <c r="D927" s="61"/>
      <c r="E927" s="61"/>
    </row>
    <row r="928">
      <c r="B928" s="61"/>
      <c r="C928" s="61"/>
      <c r="D928" s="61"/>
      <c r="E928" s="61"/>
    </row>
    <row r="929">
      <c r="B929" s="61"/>
      <c r="C929" s="61"/>
      <c r="D929" s="61"/>
      <c r="E929" s="61"/>
    </row>
    <row r="930">
      <c r="B930" s="61"/>
      <c r="C930" s="61"/>
      <c r="D930" s="61"/>
      <c r="E930" s="61"/>
    </row>
    <row r="931">
      <c r="B931" s="61"/>
      <c r="C931" s="61"/>
      <c r="D931" s="61"/>
      <c r="E931" s="61"/>
    </row>
    <row r="932">
      <c r="B932" s="61"/>
      <c r="C932" s="61"/>
      <c r="D932" s="61"/>
      <c r="E932" s="61"/>
    </row>
    <row r="933">
      <c r="B933" s="61"/>
      <c r="C933" s="61"/>
      <c r="D933" s="61"/>
      <c r="E933" s="61"/>
    </row>
    <row r="934">
      <c r="B934" s="61"/>
      <c r="C934" s="61"/>
      <c r="D934" s="61"/>
      <c r="E934" s="61"/>
    </row>
    <row r="935">
      <c r="B935" s="61"/>
      <c r="C935" s="61"/>
      <c r="D935" s="61"/>
      <c r="E935" s="61"/>
    </row>
    <row r="936">
      <c r="B936" s="61"/>
      <c r="C936" s="61"/>
      <c r="D936" s="61"/>
      <c r="E936" s="61"/>
    </row>
    <row r="937">
      <c r="B937" s="61"/>
      <c r="C937" s="61"/>
      <c r="D937" s="61"/>
      <c r="E937" s="61"/>
    </row>
    <row r="938">
      <c r="B938" s="61"/>
      <c r="C938" s="61"/>
      <c r="D938" s="61"/>
      <c r="E938" s="61"/>
    </row>
    <row r="939">
      <c r="B939" s="61"/>
      <c r="C939" s="61"/>
      <c r="D939" s="61"/>
      <c r="E939" s="61"/>
    </row>
    <row r="940">
      <c r="B940" s="61"/>
      <c r="C940" s="61"/>
      <c r="D940" s="61"/>
      <c r="E940" s="61"/>
    </row>
    <row r="941">
      <c r="B941" s="61"/>
      <c r="C941" s="61"/>
      <c r="D941" s="61"/>
      <c r="E941" s="61"/>
    </row>
    <row r="942">
      <c r="B942" s="61"/>
      <c r="C942" s="61"/>
      <c r="D942" s="61"/>
      <c r="E942" s="61"/>
    </row>
    <row r="943">
      <c r="B943" s="61"/>
      <c r="C943" s="61"/>
      <c r="D943" s="61"/>
      <c r="E943" s="61"/>
    </row>
    <row r="944">
      <c r="B944" s="61"/>
      <c r="C944" s="61"/>
      <c r="D944" s="61"/>
      <c r="E944" s="61"/>
    </row>
    <row r="945">
      <c r="B945" s="61"/>
      <c r="C945" s="61"/>
      <c r="D945" s="61"/>
      <c r="E945" s="61"/>
    </row>
    <row r="946">
      <c r="B946" s="61"/>
      <c r="C946" s="61"/>
      <c r="D946" s="61"/>
      <c r="E946" s="61"/>
    </row>
    <row r="947">
      <c r="B947" s="61"/>
      <c r="C947" s="61"/>
      <c r="D947" s="61"/>
      <c r="E947" s="61"/>
    </row>
    <row r="948">
      <c r="B948" s="61"/>
      <c r="C948" s="61"/>
      <c r="D948" s="61"/>
      <c r="E948" s="61"/>
    </row>
    <row r="949">
      <c r="B949" s="61"/>
      <c r="C949" s="61"/>
      <c r="D949" s="61"/>
      <c r="E949" s="61"/>
    </row>
    <row r="950">
      <c r="B950" s="61"/>
      <c r="C950" s="61"/>
      <c r="D950" s="61"/>
      <c r="E950" s="61"/>
    </row>
    <row r="951">
      <c r="B951" s="61"/>
      <c r="C951" s="61"/>
      <c r="D951" s="61"/>
      <c r="E951" s="61"/>
    </row>
    <row r="952">
      <c r="B952" s="61"/>
      <c r="C952" s="61"/>
      <c r="D952" s="61"/>
      <c r="E952" s="61"/>
    </row>
    <row r="953">
      <c r="B953" s="61"/>
      <c r="C953" s="61"/>
      <c r="D953" s="61"/>
      <c r="E953" s="61"/>
    </row>
    <row r="954">
      <c r="B954" s="61"/>
      <c r="C954" s="61"/>
      <c r="D954" s="61"/>
      <c r="E954" s="61"/>
    </row>
    <row r="955">
      <c r="B955" s="61"/>
      <c r="C955" s="61"/>
      <c r="D955" s="61"/>
      <c r="E955" s="61"/>
    </row>
    <row r="956">
      <c r="B956" s="61"/>
      <c r="C956" s="61"/>
      <c r="D956" s="61"/>
      <c r="E956" s="61"/>
    </row>
    <row r="957">
      <c r="B957" s="61"/>
      <c r="C957" s="61"/>
      <c r="D957" s="61"/>
      <c r="E957" s="61"/>
    </row>
    <row r="958">
      <c r="B958" s="61"/>
      <c r="C958" s="61"/>
      <c r="D958" s="61"/>
      <c r="E958" s="61"/>
    </row>
    <row r="959">
      <c r="B959" s="61"/>
      <c r="C959" s="61"/>
      <c r="D959" s="61"/>
      <c r="E959" s="61"/>
    </row>
    <row r="960">
      <c r="B960" s="61"/>
      <c r="C960" s="61"/>
      <c r="D960" s="61"/>
      <c r="E960" s="61"/>
    </row>
    <row r="961">
      <c r="B961" s="61"/>
      <c r="C961" s="61"/>
      <c r="D961" s="61"/>
      <c r="E961" s="61"/>
    </row>
    <row r="962">
      <c r="B962" s="61"/>
      <c r="C962" s="61"/>
      <c r="D962" s="61"/>
      <c r="E962" s="61"/>
    </row>
    <row r="963">
      <c r="B963" s="61"/>
      <c r="C963" s="61"/>
      <c r="D963" s="61"/>
      <c r="E963" s="61"/>
    </row>
    <row r="964">
      <c r="B964" s="61"/>
      <c r="C964" s="61"/>
      <c r="D964" s="61"/>
      <c r="E964" s="61"/>
    </row>
    <row r="965">
      <c r="B965" s="61"/>
      <c r="C965" s="61"/>
      <c r="D965" s="61"/>
      <c r="E965" s="61"/>
    </row>
    <row r="966">
      <c r="B966" s="61"/>
      <c r="C966" s="61"/>
      <c r="D966" s="61"/>
      <c r="E966" s="61"/>
    </row>
    <row r="967">
      <c r="B967" s="61"/>
      <c r="C967" s="61"/>
      <c r="D967" s="61"/>
      <c r="E967" s="61"/>
    </row>
    <row r="968">
      <c r="B968" s="61"/>
      <c r="C968" s="61"/>
      <c r="D968" s="61"/>
      <c r="E968" s="61"/>
    </row>
    <row r="969">
      <c r="B969" s="61"/>
      <c r="C969" s="61"/>
      <c r="D969" s="61"/>
      <c r="E969" s="61"/>
    </row>
    <row r="970">
      <c r="B970" s="61"/>
      <c r="C970" s="61"/>
      <c r="D970" s="61"/>
      <c r="E970" s="61"/>
    </row>
    <row r="971">
      <c r="B971" s="61"/>
      <c r="C971" s="61"/>
      <c r="D971" s="61"/>
      <c r="E971" s="61"/>
    </row>
    <row r="972">
      <c r="B972" s="61"/>
      <c r="C972" s="61"/>
      <c r="D972" s="61"/>
      <c r="E972" s="61"/>
    </row>
    <row r="973">
      <c r="B973" s="61"/>
      <c r="C973" s="61"/>
      <c r="D973" s="61"/>
      <c r="E973" s="61"/>
    </row>
    <row r="974">
      <c r="B974" s="61"/>
      <c r="C974" s="61"/>
      <c r="D974" s="61"/>
      <c r="E974" s="61"/>
    </row>
    <row r="975">
      <c r="B975" s="61"/>
      <c r="C975" s="61"/>
      <c r="D975" s="61"/>
      <c r="E975" s="61"/>
    </row>
    <row r="976">
      <c r="B976" s="61"/>
      <c r="C976" s="61"/>
      <c r="D976" s="61"/>
      <c r="E976" s="61"/>
    </row>
    <row r="977">
      <c r="B977" s="61"/>
      <c r="C977" s="61"/>
      <c r="D977" s="61"/>
      <c r="E977" s="61"/>
    </row>
    <row r="978">
      <c r="B978" s="61"/>
      <c r="C978" s="61"/>
      <c r="D978" s="61"/>
      <c r="E978" s="61"/>
    </row>
    <row r="979">
      <c r="B979" s="61"/>
      <c r="C979" s="61"/>
      <c r="D979" s="61"/>
      <c r="E979" s="61"/>
    </row>
    <row r="980">
      <c r="B980" s="61"/>
      <c r="C980" s="61"/>
      <c r="D980" s="61"/>
      <c r="E980" s="61"/>
    </row>
    <row r="981">
      <c r="B981" s="61"/>
      <c r="C981" s="61"/>
      <c r="D981" s="61"/>
      <c r="E981" s="61"/>
    </row>
    <row r="982">
      <c r="B982" s="61"/>
      <c r="C982" s="61"/>
      <c r="D982" s="61"/>
      <c r="E982" s="61"/>
    </row>
    <row r="983">
      <c r="B983" s="61"/>
      <c r="C983" s="61"/>
      <c r="D983" s="61"/>
      <c r="E983" s="61"/>
    </row>
    <row r="984">
      <c r="B984" s="61"/>
      <c r="C984" s="61"/>
      <c r="D984" s="61"/>
      <c r="E984" s="61"/>
    </row>
    <row r="985">
      <c r="B985" s="61"/>
      <c r="C985" s="61"/>
      <c r="D985" s="61"/>
      <c r="E985" s="61"/>
    </row>
    <row r="986">
      <c r="B986" s="61"/>
      <c r="C986" s="61"/>
      <c r="D986" s="61"/>
      <c r="E986" s="61"/>
    </row>
    <row r="987">
      <c r="B987" s="61"/>
      <c r="C987" s="61"/>
      <c r="D987" s="61"/>
      <c r="E987" s="61"/>
    </row>
    <row r="988">
      <c r="B988" s="61"/>
      <c r="C988" s="61"/>
      <c r="D988" s="61"/>
      <c r="E988" s="61"/>
    </row>
    <row r="989">
      <c r="B989" s="61"/>
      <c r="C989" s="61"/>
      <c r="D989" s="61"/>
      <c r="E989" s="61"/>
    </row>
    <row r="990">
      <c r="B990" s="61"/>
      <c r="C990" s="61"/>
      <c r="D990" s="61"/>
      <c r="E990" s="61"/>
    </row>
    <row r="991">
      <c r="B991" s="61"/>
      <c r="C991" s="61"/>
      <c r="D991" s="61"/>
      <c r="E991" s="61"/>
    </row>
    <row r="992">
      <c r="B992" s="61"/>
      <c r="C992" s="61"/>
      <c r="D992" s="61"/>
      <c r="E992" s="61"/>
    </row>
    <row r="993">
      <c r="B993" s="61"/>
      <c r="C993" s="61"/>
      <c r="D993" s="61"/>
      <c r="E993" s="61"/>
    </row>
    <row r="994">
      <c r="B994" s="61"/>
      <c r="C994" s="61"/>
      <c r="D994" s="61"/>
      <c r="E994" s="61"/>
    </row>
    <row r="995">
      <c r="B995" s="61"/>
      <c r="C995" s="61"/>
      <c r="D995" s="61"/>
      <c r="E995" s="61"/>
    </row>
    <row r="996">
      <c r="B996" s="61"/>
      <c r="C996" s="61"/>
      <c r="D996" s="61"/>
      <c r="E996" s="61"/>
    </row>
    <row r="997">
      <c r="B997" s="61"/>
      <c r="C997" s="61"/>
      <c r="D997" s="61"/>
      <c r="E997" s="61"/>
    </row>
    <row r="998">
      <c r="B998" s="61"/>
      <c r="C998" s="61"/>
      <c r="D998" s="61"/>
      <c r="E998" s="61"/>
    </row>
    <row r="999">
      <c r="B999" s="61"/>
      <c r="C999" s="61"/>
      <c r="D999" s="61"/>
      <c r="E999" s="61"/>
    </row>
    <row r="1000">
      <c r="B1000" s="61"/>
      <c r="C1000" s="61"/>
      <c r="D1000" s="61"/>
      <c r="E1000" s="61"/>
    </row>
  </sheetData>
  <mergeCells count="1">
    <mergeCell ref="A1:G1"/>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63"/>
    <col customWidth="1" min="2" max="2" width="55.38"/>
    <col customWidth="1" min="3" max="3" width="35.5"/>
    <col customWidth="1" min="4" max="4" width="18.75"/>
    <col customWidth="1" min="5" max="5" width="40.5"/>
    <col customWidth="1" min="6" max="6" width="40.13"/>
  </cols>
  <sheetData>
    <row r="1" ht="30.75" customHeight="1">
      <c r="A1" s="72" t="s">
        <v>33</v>
      </c>
    </row>
    <row r="2" ht="15.0" customHeight="1">
      <c r="A2" s="73"/>
      <c r="B2" s="73"/>
      <c r="C2" s="73"/>
      <c r="D2" s="73"/>
      <c r="E2" s="73"/>
      <c r="F2" s="73"/>
    </row>
    <row r="3">
      <c r="A3" s="74" t="s">
        <v>27</v>
      </c>
      <c r="B3" s="74" t="s">
        <v>34</v>
      </c>
      <c r="C3" s="74" t="s">
        <v>35</v>
      </c>
      <c r="D3" s="74" t="s">
        <v>36</v>
      </c>
      <c r="E3" s="74" t="s">
        <v>37</v>
      </c>
      <c r="F3" s="74" t="s">
        <v>38</v>
      </c>
    </row>
    <row r="4">
      <c r="A4" s="75" t="s">
        <v>39</v>
      </c>
      <c r="B4" s="8"/>
      <c r="C4" s="8"/>
      <c r="D4" s="8"/>
      <c r="E4" s="8"/>
      <c r="F4" s="6"/>
    </row>
    <row r="5">
      <c r="A5" s="76" t="s">
        <v>40</v>
      </c>
      <c r="B5" s="77" t="s">
        <v>41</v>
      </c>
      <c r="C5" s="77" t="s">
        <v>42</v>
      </c>
      <c r="D5" s="78" t="s">
        <v>43</v>
      </c>
      <c r="E5" s="77" t="s">
        <v>44</v>
      </c>
      <c r="F5" s="77" t="s">
        <v>45</v>
      </c>
    </row>
    <row r="6">
      <c r="A6" s="76" t="s">
        <v>40</v>
      </c>
      <c r="B6" s="77" t="s">
        <v>46</v>
      </c>
      <c r="C6" s="77" t="s">
        <v>47</v>
      </c>
      <c r="D6" s="78" t="s">
        <v>48</v>
      </c>
      <c r="E6" s="77" t="s">
        <v>49</v>
      </c>
      <c r="F6" s="77" t="s">
        <v>50</v>
      </c>
    </row>
    <row r="7">
      <c r="A7" s="75" t="s">
        <v>51</v>
      </c>
      <c r="B7" s="8"/>
      <c r="C7" s="8"/>
      <c r="D7" s="8"/>
      <c r="E7" s="8"/>
      <c r="F7" s="6"/>
    </row>
    <row r="8">
      <c r="A8" s="76" t="s">
        <v>52</v>
      </c>
      <c r="B8" s="77" t="s">
        <v>53</v>
      </c>
      <c r="C8" s="77" t="s">
        <v>54</v>
      </c>
      <c r="D8" s="78" t="s">
        <v>48</v>
      </c>
      <c r="E8" s="77" t="s">
        <v>55</v>
      </c>
      <c r="F8" s="77" t="s">
        <v>56</v>
      </c>
    </row>
    <row r="9">
      <c r="A9" s="76" t="s">
        <v>52</v>
      </c>
      <c r="B9" s="77" t="s">
        <v>57</v>
      </c>
      <c r="C9" s="77" t="s">
        <v>58</v>
      </c>
      <c r="D9" s="78" t="s">
        <v>48</v>
      </c>
      <c r="E9" s="77" t="s">
        <v>59</v>
      </c>
      <c r="F9" s="77" t="s">
        <v>60</v>
      </c>
    </row>
    <row r="10">
      <c r="A10" s="75" t="s">
        <v>61</v>
      </c>
      <c r="B10" s="8"/>
      <c r="C10" s="8"/>
      <c r="D10" s="8"/>
      <c r="E10" s="8"/>
      <c r="F10" s="6"/>
    </row>
    <row r="11">
      <c r="A11" s="76" t="s">
        <v>62</v>
      </c>
      <c r="B11" s="77" t="s">
        <v>63</v>
      </c>
      <c r="C11" s="77" t="s">
        <v>64</v>
      </c>
      <c r="D11" s="78" t="s">
        <v>48</v>
      </c>
      <c r="E11" s="77" t="s">
        <v>65</v>
      </c>
      <c r="F11" s="77" t="s">
        <v>66</v>
      </c>
    </row>
    <row r="12">
      <c r="A12" s="76" t="s">
        <v>62</v>
      </c>
      <c r="B12" s="77" t="s">
        <v>67</v>
      </c>
      <c r="C12" s="77" t="s">
        <v>68</v>
      </c>
      <c r="D12" s="78" t="s">
        <v>43</v>
      </c>
      <c r="E12" s="77" t="s">
        <v>69</v>
      </c>
      <c r="F12" s="77" t="s">
        <v>70</v>
      </c>
    </row>
    <row r="13">
      <c r="A13" s="75" t="s">
        <v>71</v>
      </c>
      <c r="B13" s="8"/>
      <c r="C13" s="8"/>
      <c r="D13" s="8"/>
      <c r="E13" s="8"/>
      <c r="F13" s="6"/>
    </row>
    <row r="14">
      <c r="A14" s="76" t="s">
        <v>72</v>
      </c>
      <c r="B14" s="77" t="s">
        <v>73</v>
      </c>
      <c r="C14" s="77" t="s">
        <v>74</v>
      </c>
      <c r="D14" s="78" t="s">
        <v>48</v>
      </c>
      <c r="E14" s="77" t="s">
        <v>75</v>
      </c>
      <c r="F14" s="77" t="s">
        <v>76</v>
      </c>
    </row>
    <row r="15">
      <c r="A15" s="73"/>
      <c r="B15" s="73"/>
      <c r="C15" s="73"/>
      <c r="D15" s="73"/>
      <c r="E15" s="73"/>
      <c r="F15" s="73"/>
    </row>
    <row r="16">
      <c r="A16" s="73"/>
      <c r="B16" s="73"/>
      <c r="C16" s="73"/>
      <c r="D16" s="73"/>
      <c r="E16" s="73"/>
      <c r="F16" s="73"/>
    </row>
    <row r="17">
      <c r="A17" s="73"/>
      <c r="B17" s="73"/>
      <c r="C17" s="73"/>
      <c r="D17" s="73"/>
      <c r="E17" s="73"/>
      <c r="F17" s="73"/>
    </row>
    <row r="18">
      <c r="A18" s="73"/>
      <c r="B18" s="73"/>
      <c r="C18" s="73"/>
      <c r="D18" s="73"/>
      <c r="E18" s="73"/>
      <c r="F18" s="73"/>
    </row>
    <row r="19">
      <c r="A19" s="73"/>
      <c r="B19" s="73"/>
      <c r="C19" s="73"/>
      <c r="D19" s="73"/>
      <c r="E19" s="73"/>
      <c r="F19" s="73"/>
    </row>
    <row r="20">
      <c r="A20" s="73"/>
      <c r="B20" s="73"/>
      <c r="C20" s="73"/>
      <c r="D20" s="73"/>
      <c r="E20" s="73"/>
      <c r="F20" s="73"/>
    </row>
    <row r="21">
      <c r="A21" s="73"/>
      <c r="B21" s="73"/>
      <c r="C21" s="73"/>
      <c r="D21" s="73"/>
      <c r="E21" s="73"/>
      <c r="F21" s="73"/>
    </row>
    <row r="22">
      <c r="A22" s="73"/>
      <c r="B22" s="73"/>
      <c r="C22" s="73"/>
      <c r="D22" s="73"/>
      <c r="E22" s="73"/>
      <c r="F22" s="73"/>
    </row>
    <row r="23">
      <c r="A23" s="73"/>
      <c r="B23" s="73"/>
      <c r="C23" s="73"/>
      <c r="D23" s="73"/>
      <c r="E23" s="73"/>
      <c r="F23" s="73"/>
    </row>
    <row r="24">
      <c r="A24" s="73"/>
      <c r="B24" s="73"/>
      <c r="C24" s="73"/>
      <c r="D24" s="73"/>
      <c r="E24" s="73"/>
      <c r="F24" s="73"/>
    </row>
    <row r="25">
      <c r="A25" s="73"/>
      <c r="B25" s="73"/>
      <c r="C25" s="73"/>
      <c r="D25" s="73"/>
      <c r="E25" s="73"/>
      <c r="F25" s="73"/>
    </row>
    <row r="26">
      <c r="A26" s="73"/>
      <c r="B26" s="73"/>
      <c r="C26" s="73"/>
      <c r="D26" s="73"/>
      <c r="E26" s="73"/>
      <c r="F26" s="73"/>
    </row>
    <row r="27">
      <c r="A27" s="73"/>
      <c r="B27" s="73"/>
      <c r="C27" s="73"/>
      <c r="D27" s="73"/>
      <c r="E27" s="73"/>
      <c r="F27" s="73"/>
    </row>
    <row r="28">
      <c r="A28" s="73"/>
      <c r="B28" s="73"/>
      <c r="C28" s="73"/>
      <c r="D28" s="73"/>
      <c r="E28" s="73"/>
      <c r="F28" s="73"/>
    </row>
    <row r="29">
      <c r="A29" s="73"/>
      <c r="B29" s="73"/>
      <c r="C29" s="73"/>
      <c r="D29" s="73"/>
      <c r="E29" s="73"/>
      <c r="F29" s="73"/>
    </row>
    <row r="30">
      <c r="A30" s="73"/>
      <c r="B30" s="73"/>
      <c r="C30" s="73"/>
      <c r="D30" s="73"/>
      <c r="E30" s="73"/>
      <c r="F30" s="73"/>
    </row>
    <row r="31">
      <c r="A31" s="73"/>
      <c r="B31" s="73"/>
      <c r="C31" s="73"/>
      <c r="D31" s="73"/>
      <c r="E31" s="73"/>
      <c r="F31" s="73"/>
    </row>
    <row r="32">
      <c r="A32" s="73"/>
      <c r="B32" s="73"/>
      <c r="C32" s="73"/>
      <c r="D32" s="73"/>
      <c r="E32" s="73"/>
      <c r="F32" s="73"/>
    </row>
    <row r="33">
      <c r="A33" s="73"/>
      <c r="B33" s="73"/>
      <c r="C33" s="73"/>
      <c r="D33" s="73"/>
      <c r="E33" s="73"/>
      <c r="F33" s="73"/>
    </row>
    <row r="34">
      <c r="A34" s="73"/>
      <c r="B34" s="73"/>
      <c r="C34" s="73"/>
      <c r="D34" s="73"/>
      <c r="E34" s="73"/>
      <c r="F34" s="73"/>
    </row>
    <row r="35">
      <c r="A35" s="73"/>
      <c r="B35" s="73"/>
      <c r="C35" s="73"/>
      <c r="D35" s="73"/>
      <c r="E35" s="73"/>
      <c r="F35" s="73"/>
    </row>
    <row r="36">
      <c r="A36" s="73"/>
      <c r="B36" s="73"/>
      <c r="C36" s="73"/>
      <c r="D36" s="73"/>
      <c r="E36" s="73"/>
      <c r="F36" s="73"/>
    </row>
    <row r="37">
      <c r="A37" s="73"/>
      <c r="B37" s="73"/>
      <c r="C37" s="73"/>
      <c r="D37" s="73"/>
      <c r="E37" s="73"/>
      <c r="F37" s="73"/>
    </row>
    <row r="38">
      <c r="A38" s="73"/>
      <c r="B38" s="73"/>
      <c r="C38" s="73"/>
      <c r="D38" s="73"/>
      <c r="E38" s="73"/>
      <c r="F38" s="73"/>
    </row>
    <row r="39">
      <c r="A39" s="73"/>
      <c r="B39" s="73"/>
      <c r="C39" s="73"/>
      <c r="D39" s="73"/>
      <c r="E39" s="73"/>
      <c r="F39" s="73"/>
    </row>
    <row r="40">
      <c r="A40" s="73"/>
      <c r="B40" s="73"/>
      <c r="C40" s="73"/>
      <c r="D40" s="73"/>
      <c r="E40" s="73"/>
      <c r="F40" s="73"/>
    </row>
    <row r="41">
      <c r="A41" s="73"/>
      <c r="B41" s="73"/>
      <c r="C41" s="73"/>
      <c r="D41" s="73"/>
      <c r="E41" s="73"/>
      <c r="F41" s="73"/>
    </row>
    <row r="42">
      <c r="A42" s="73"/>
      <c r="B42" s="73"/>
      <c r="C42" s="73"/>
      <c r="D42" s="73"/>
      <c r="E42" s="73"/>
      <c r="F42" s="73"/>
    </row>
    <row r="43">
      <c r="A43" s="73"/>
      <c r="B43" s="73"/>
      <c r="C43" s="73"/>
      <c r="D43" s="73"/>
      <c r="E43" s="73"/>
      <c r="F43" s="73"/>
    </row>
    <row r="44">
      <c r="A44" s="73"/>
      <c r="B44" s="73"/>
      <c r="C44" s="73"/>
      <c r="D44" s="73"/>
      <c r="E44" s="73"/>
      <c r="F44" s="73"/>
    </row>
    <row r="45">
      <c r="A45" s="73"/>
      <c r="B45" s="73"/>
      <c r="C45" s="73"/>
      <c r="D45" s="73"/>
      <c r="E45" s="73"/>
      <c r="F45" s="73"/>
    </row>
    <row r="46">
      <c r="A46" s="73"/>
      <c r="B46" s="73"/>
      <c r="C46" s="73"/>
      <c r="D46" s="73"/>
      <c r="E46" s="73"/>
      <c r="F46" s="73"/>
    </row>
    <row r="47">
      <c r="A47" s="73"/>
      <c r="B47" s="73"/>
      <c r="C47" s="73"/>
      <c r="D47" s="73"/>
      <c r="E47" s="73"/>
      <c r="F47" s="73"/>
    </row>
    <row r="48">
      <c r="A48" s="73"/>
      <c r="B48" s="73"/>
      <c r="C48" s="73"/>
      <c r="D48" s="73"/>
      <c r="E48" s="73"/>
      <c r="F48" s="73"/>
    </row>
    <row r="49">
      <c r="A49" s="73"/>
      <c r="B49" s="73"/>
      <c r="C49" s="73"/>
      <c r="D49" s="73"/>
      <c r="E49" s="73"/>
      <c r="F49" s="73"/>
    </row>
    <row r="50">
      <c r="A50" s="73"/>
      <c r="B50" s="73"/>
      <c r="C50" s="73"/>
      <c r="D50" s="73"/>
      <c r="E50" s="73"/>
      <c r="F50" s="73"/>
    </row>
    <row r="51">
      <c r="A51" s="73"/>
      <c r="B51" s="73"/>
      <c r="C51" s="73"/>
      <c r="D51" s="73"/>
      <c r="E51" s="73"/>
      <c r="F51" s="73"/>
    </row>
    <row r="52">
      <c r="A52" s="73"/>
      <c r="B52" s="73"/>
      <c r="C52" s="73"/>
      <c r="D52" s="73"/>
      <c r="E52" s="73"/>
      <c r="F52" s="73"/>
    </row>
    <row r="53">
      <c r="A53" s="73"/>
      <c r="B53" s="73"/>
      <c r="C53" s="73"/>
      <c r="D53" s="73"/>
      <c r="E53" s="73"/>
      <c r="F53" s="73"/>
    </row>
    <row r="54">
      <c r="A54" s="73"/>
      <c r="B54" s="73"/>
      <c r="C54" s="73"/>
      <c r="D54" s="73"/>
      <c r="E54" s="73"/>
      <c r="F54" s="73"/>
    </row>
    <row r="55">
      <c r="A55" s="73"/>
      <c r="B55" s="73"/>
      <c r="C55" s="73"/>
      <c r="D55" s="73"/>
      <c r="E55" s="73"/>
      <c r="F55" s="73"/>
    </row>
    <row r="56">
      <c r="A56" s="73"/>
      <c r="B56" s="73"/>
      <c r="C56" s="73"/>
      <c r="D56" s="73"/>
      <c r="E56" s="73"/>
      <c r="F56" s="73"/>
    </row>
    <row r="57">
      <c r="A57" s="73"/>
      <c r="B57" s="73"/>
      <c r="C57" s="73"/>
      <c r="D57" s="73"/>
      <c r="E57" s="73"/>
      <c r="F57" s="73"/>
    </row>
    <row r="58">
      <c r="A58" s="73"/>
      <c r="B58" s="73"/>
      <c r="C58" s="73"/>
      <c r="D58" s="73"/>
      <c r="E58" s="73"/>
      <c r="F58" s="73"/>
    </row>
    <row r="59">
      <c r="A59" s="73"/>
      <c r="B59" s="73"/>
      <c r="C59" s="73"/>
      <c r="D59" s="73"/>
      <c r="E59" s="73"/>
      <c r="F59" s="73"/>
    </row>
    <row r="60">
      <c r="A60" s="73"/>
      <c r="B60" s="73"/>
      <c r="C60" s="73"/>
      <c r="D60" s="73"/>
      <c r="E60" s="73"/>
      <c r="F60" s="73"/>
    </row>
    <row r="61">
      <c r="A61" s="73"/>
      <c r="B61" s="73"/>
      <c r="C61" s="73"/>
      <c r="D61" s="73"/>
      <c r="E61" s="73"/>
      <c r="F61" s="73"/>
    </row>
    <row r="62">
      <c r="A62" s="73"/>
      <c r="B62" s="73"/>
      <c r="C62" s="73"/>
      <c r="D62" s="73"/>
      <c r="E62" s="73"/>
      <c r="F62" s="73"/>
    </row>
    <row r="63">
      <c r="A63" s="73"/>
      <c r="B63" s="73"/>
      <c r="C63" s="73"/>
      <c r="D63" s="73"/>
      <c r="E63" s="73"/>
      <c r="F63" s="73"/>
    </row>
    <row r="64">
      <c r="A64" s="73"/>
      <c r="B64" s="73"/>
      <c r="C64" s="73"/>
      <c r="D64" s="73"/>
      <c r="E64" s="73"/>
      <c r="F64" s="73"/>
    </row>
    <row r="65">
      <c r="A65" s="73"/>
      <c r="B65" s="73"/>
      <c r="C65" s="73"/>
      <c r="D65" s="73"/>
      <c r="E65" s="73"/>
      <c r="F65" s="73"/>
    </row>
    <row r="66">
      <c r="A66" s="73"/>
      <c r="B66" s="73"/>
      <c r="C66" s="73"/>
      <c r="D66" s="73"/>
      <c r="E66" s="73"/>
      <c r="F66" s="73"/>
    </row>
    <row r="67">
      <c r="A67" s="73"/>
      <c r="B67" s="73"/>
      <c r="C67" s="73"/>
      <c r="D67" s="73"/>
      <c r="E67" s="73"/>
      <c r="F67" s="73"/>
    </row>
    <row r="68">
      <c r="A68" s="73"/>
      <c r="B68" s="73"/>
      <c r="C68" s="73"/>
      <c r="D68" s="73"/>
      <c r="E68" s="73"/>
      <c r="F68" s="73"/>
    </row>
    <row r="69">
      <c r="A69" s="73"/>
      <c r="B69" s="73"/>
      <c r="C69" s="73"/>
      <c r="D69" s="73"/>
      <c r="E69" s="73"/>
      <c r="F69" s="73"/>
    </row>
    <row r="70">
      <c r="A70" s="73"/>
      <c r="B70" s="73"/>
      <c r="C70" s="73"/>
      <c r="D70" s="73"/>
      <c r="E70" s="73"/>
      <c r="F70" s="73"/>
    </row>
    <row r="71">
      <c r="A71" s="73"/>
      <c r="B71" s="73"/>
      <c r="C71" s="73"/>
      <c r="D71" s="73"/>
      <c r="E71" s="73"/>
      <c r="F71" s="73"/>
    </row>
    <row r="72">
      <c r="A72" s="73"/>
      <c r="B72" s="73"/>
      <c r="C72" s="73"/>
      <c r="D72" s="73"/>
      <c r="E72" s="73"/>
      <c r="F72" s="73"/>
    </row>
    <row r="73">
      <c r="A73" s="73"/>
      <c r="B73" s="73"/>
      <c r="C73" s="73"/>
      <c r="D73" s="73"/>
      <c r="E73" s="73"/>
      <c r="F73" s="73"/>
    </row>
    <row r="74">
      <c r="A74" s="73"/>
      <c r="B74" s="73"/>
      <c r="C74" s="73"/>
      <c r="D74" s="73"/>
      <c r="E74" s="73"/>
      <c r="F74" s="73"/>
    </row>
    <row r="75">
      <c r="A75" s="73"/>
      <c r="B75" s="73"/>
      <c r="C75" s="73"/>
      <c r="D75" s="73"/>
      <c r="E75" s="73"/>
      <c r="F75" s="73"/>
    </row>
    <row r="76">
      <c r="A76" s="73"/>
      <c r="B76" s="73"/>
      <c r="C76" s="73"/>
      <c r="D76" s="73"/>
      <c r="E76" s="73"/>
      <c r="F76" s="73"/>
    </row>
    <row r="77">
      <c r="A77" s="73"/>
      <c r="B77" s="73"/>
      <c r="C77" s="73"/>
      <c r="D77" s="73"/>
      <c r="E77" s="73"/>
      <c r="F77" s="73"/>
    </row>
    <row r="78">
      <c r="A78" s="73"/>
      <c r="B78" s="73"/>
      <c r="C78" s="73"/>
      <c r="D78" s="73"/>
      <c r="E78" s="73"/>
      <c r="F78" s="73"/>
    </row>
    <row r="79">
      <c r="A79" s="73"/>
      <c r="B79" s="73"/>
      <c r="C79" s="73"/>
      <c r="D79" s="73"/>
      <c r="E79" s="73"/>
      <c r="F79" s="73"/>
    </row>
    <row r="80">
      <c r="A80" s="73"/>
      <c r="B80" s="73"/>
      <c r="C80" s="73"/>
      <c r="D80" s="73"/>
      <c r="E80" s="73"/>
      <c r="F80" s="73"/>
    </row>
    <row r="81">
      <c r="A81" s="73"/>
      <c r="B81" s="73"/>
      <c r="C81" s="73"/>
      <c r="D81" s="73"/>
      <c r="E81" s="73"/>
      <c r="F81" s="73"/>
    </row>
    <row r="82">
      <c r="A82" s="73"/>
      <c r="B82" s="73"/>
      <c r="C82" s="73"/>
      <c r="D82" s="73"/>
      <c r="E82" s="73"/>
      <c r="F82" s="73"/>
    </row>
    <row r="83">
      <c r="A83" s="73"/>
      <c r="B83" s="73"/>
      <c r="C83" s="73"/>
      <c r="D83" s="73"/>
      <c r="E83" s="73"/>
      <c r="F83" s="73"/>
    </row>
    <row r="84">
      <c r="A84" s="73"/>
      <c r="B84" s="73"/>
      <c r="C84" s="73"/>
      <c r="D84" s="73"/>
      <c r="E84" s="73"/>
      <c r="F84" s="73"/>
    </row>
    <row r="85">
      <c r="A85" s="73"/>
      <c r="B85" s="73"/>
      <c r="C85" s="73"/>
      <c r="D85" s="73"/>
      <c r="E85" s="73"/>
      <c r="F85" s="73"/>
    </row>
    <row r="86">
      <c r="A86" s="73"/>
      <c r="B86" s="73"/>
      <c r="C86" s="73"/>
      <c r="D86" s="73"/>
      <c r="E86" s="73"/>
      <c r="F86" s="73"/>
    </row>
    <row r="87">
      <c r="A87" s="73"/>
      <c r="B87" s="73"/>
      <c r="C87" s="73"/>
      <c r="D87" s="73"/>
      <c r="E87" s="73"/>
      <c r="F87" s="73"/>
    </row>
    <row r="88">
      <c r="A88" s="73"/>
      <c r="B88" s="73"/>
      <c r="C88" s="73"/>
      <c r="D88" s="73"/>
      <c r="E88" s="73"/>
      <c r="F88" s="73"/>
    </row>
    <row r="89">
      <c r="A89" s="73"/>
      <c r="B89" s="73"/>
      <c r="C89" s="73"/>
      <c r="D89" s="73"/>
      <c r="E89" s="73"/>
      <c r="F89" s="73"/>
    </row>
    <row r="90">
      <c r="A90" s="73"/>
      <c r="B90" s="73"/>
      <c r="C90" s="73"/>
      <c r="D90" s="73"/>
      <c r="E90" s="73"/>
      <c r="F90" s="73"/>
    </row>
    <row r="91">
      <c r="A91" s="73"/>
      <c r="B91" s="73"/>
      <c r="C91" s="73"/>
      <c r="D91" s="73"/>
      <c r="E91" s="73"/>
      <c r="F91" s="73"/>
    </row>
    <row r="92">
      <c r="A92" s="73"/>
      <c r="B92" s="73"/>
      <c r="C92" s="73"/>
      <c r="D92" s="73"/>
      <c r="E92" s="73"/>
      <c r="F92" s="73"/>
    </row>
    <row r="93">
      <c r="A93" s="73"/>
      <c r="B93" s="73"/>
      <c r="C93" s="73"/>
      <c r="D93" s="73"/>
      <c r="E93" s="73"/>
      <c r="F93" s="73"/>
    </row>
    <row r="94">
      <c r="A94" s="73"/>
      <c r="B94" s="73"/>
      <c r="C94" s="73"/>
      <c r="D94" s="73"/>
      <c r="E94" s="73"/>
      <c r="F94" s="73"/>
    </row>
    <row r="95">
      <c r="A95" s="73"/>
      <c r="B95" s="73"/>
      <c r="C95" s="73"/>
      <c r="D95" s="73"/>
      <c r="E95" s="73"/>
      <c r="F95" s="73"/>
    </row>
    <row r="96">
      <c r="A96" s="73"/>
      <c r="B96" s="73"/>
      <c r="C96" s="73"/>
      <c r="D96" s="73"/>
      <c r="E96" s="73"/>
      <c r="F96" s="73"/>
    </row>
    <row r="97">
      <c r="A97" s="73"/>
      <c r="B97" s="73"/>
      <c r="C97" s="73"/>
      <c r="D97" s="73"/>
      <c r="E97" s="73"/>
      <c r="F97" s="73"/>
    </row>
    <row r="98">
      <c r="A98" s="73"/>
      <c r="B98" s="73"/>
      <c r="C98" s="73"/>
      <c r="D98" s="73"/>
      <c r="E98" s="73"/>
      <c r="F98" s="73"/>
    </row>
    <row r="99">
      <c r="A99" s="73"/>
      <c r="B99" s="73"/>
      <c r="C99" s="73"/>
      <c r="D99" s="73"/>
      <c r="E99" s="73"/>
      <c r="F99" s="73"/>
    </row>
    <row r="100">
      <c r="A100" s="73"/>
      <c r="B100" s="73"/>
      <c r="C100" s="73"/>
      <c r="D100" s="73"/>
      <c r="E100" s="73"/>
      <c r="F100" s="73"/>
    </row>
    <row r="101">
      <c r="A101" s="73"/>
      <c r="B101" s="73"/>
      <c r="C101" s="73"/>
      <c r="D101" s="73"/>
      <c r="E101" s="73"/>
      <c r="F101" s="73"/>
    </row>
    <row r="102">
      <c r="A102" s="73"/>
      <c r="B102" s="73"/>
      <c r="C102" s="73"/>
      <c r="D102" s="73"/>
      <c r="E102" s="73"/>
      <c r="F102" s="73"/>
    </row>
    <row r="103">
      <c r="A103" s="73"/>
      <c r="B103" s="73"/>
      <c r="C103" s="73"/>
      <c r="D103" s="73"/>
      <c r="E103" s="73"/>
      <c r="F103" s="73"/>
    </row>
    <row r="104">
      <c r="A104" s="73"/>
      <c r="B104" s="73"/>
      <c r="C104" s="73"/>
      <c r="D104" s="73"/>
      <c r="E104" s="73"/>
      <c r="F104" s="73"/>
    </row>
    <row r="105">
      <c r="A105" s="73"/>
      <c r="B105" s="73"/>
      <c r="C105" s="73"/>
      <c r="D105" s="73"/>
      <c r="E105" s="73"/>
      <c r="F105" s="73"/>
    </row>
    <row r="106">
      <c r="A106" s="73"/>
      <c r="B106" s="73"/>
      <c r="C106" s="73"/>
      <c r="D106" s="73"/>
      <c r="E106" s="73"/>
      <c r="F106" s="73"/>
    </row>
    <row r="107">
      <c r="A107" s="73"/>
      <c r="B107" s="73"/>
      <c r="C107" s="73"/>
      <c r="D107" s="73"/>
      <c r="E107" s="73"/>
      <c r="F107" s="73"/>
    </row>
    <row r="108">
      <c r="A108" s="73"/>
      <c r="B108" s="73"/>
      <c r="C108" s="73"/>
      <c r="D108" s="73"/>
      <c r="E108" s="73"/>
      <c r="F108" s="73"/>
    </row>
    <row r="109">
      <c r="A109" s="73"/>
      <c r="B109" s="73"/>
      <c r="C109" s="73"/>
      <c r="D109" s="73"/>
      <c r="E109" s="73"/>
      <c r="F109" s="73"/>
    </row>
    <row r="110">
      <c r="A110" s="73"/>
      <c r="B110" s="73"/>
      <c r="C110" s="73"/>
      <c r="D110" s="73"/>
      <c r="E110" s="73"/>
      <c r="F110" s="73"/>
    </row>
    <row r="111">
      <c r="A111" s="73"/>
      <c r="B111" s="73"/>
      <c r="C111" s="73"/>
      <c r="D111" s="73"/>
      <c r="E111" s="73"/>
      <c r="F111" s="73"/>
    </row>
    <row r="112">
      <c r="A112" s="73"/>
      <c r="B112" s="73"/>
      <c r="C112" s="73"/>
      <c r="D112" s="73"/>
      <c r="E112" s="73"/>
      <c r="F112" s="73"/>
    </row>
    <row r="113">
      <c r="A113" s="73"/>
      <c r="B113" s="73"/>
      <c r="C113" s="73"/>
      <c r="D113" s="73"/>
      <c r="E113" s="73"/>
      <c r="F113" s="73"/>
    </row>
    <row r="114">
      <c r="A114" s="73"/>
      <c r="B114" s="73"/>
      <c r="C114" s="73"/>
      <c r="D114" s="73"/>
      <c r="E114" s="73"/>
      <c r="F114" s="73"/>
    </row>
    <row r="115">
      <c r="A115" s="73"/>
      <c r="B115" s="73"/>
      <c r="C115" s="73"/>
      <c r="D115" s="73"/>
      <c r="E115" s="73"/>
      <c r="F115" s="73"/>
    </row>
    <row r="116">
      <c r="A116" s="73"/>
      <c r="B116" s="73"/>
      <c r="C116" s="73"/>
      <c r="D116" s="73"/>
      <c r="E116" s="73"/>
      <c r="F116" s="73"/>
    </row>
    <row r="117">
      <c r="A117" s="73"/>
      <c r="B117" s="73"/>
      <c r="C117" s="73"/>
      <c r="D117" s="73"/>
      <c r="E117" s="73"/>
      <c r="F117" s="73"/>
    </row>
    <row r="118">
      <c r="A118" s="73"/>
      <c r="B118" s="73"/>
      <c r="C118" s="73"/>
      <c r="D118" s="73"/>
      <c r="E118" s="73"/>
      <c r="F118" s="73"/>
    </row>
    <row r="119">
      <c r="A119" s="73"/>
      <c r="B119" s="73"/>
      <c r="C119" s="73"/>
      <c r="D119" s="73"/>
      <c r="E119" s="73"/>
      <c r="F119" s="73"/>
    </row>
    <row r="120">
      <c r="A120" s="73"/>
      <c r="B120" s="73"/>
      <c r="C120" s="73"/>
      <c r="D120" s="73"/>
      <c r="E120" s="73"/>
      <c r="F120" s="73"/>
    </row>
    <row r="121">
      <c r="A121" s="73"/>
      <c r="B121" s="73"/>
      <c r="C121" s="73"/>
      <c r="D121" s="73"/>
      <c r="E121" s="73"/>
      <c r="F121" s="73"/>
    </row>
    <row r="122">
      <c r="A122" s="73"/>
      <c r="B122" s="73"/>
      <c r="C122" s="73"/>
      <c r="D122" s="73"/>
      <c r="E122" s="73"/>
      <c r="F122" s="73"/>
    </row>
    <row r="123">
      <c r="A123" s="73"/>
      <c r="B123" s="73"/>
      <c r="C123" s="73"/>
      <c r="D123" s="73"/>
      <c r="E123" s="73"/>
      <c r="F123" s="73"/>
    </row>
    <row r="124">
      <c r="A124" s="73"/>
      <c r="B124" s="73"/>
      <c r="C124" s="73"/>
      <c r="D124" s="73"/>
      <c r="E124" s="73"/>
      <c r="F124" s="73"/>
    </row>
    <row r="125">
      <c r="A125" s="73"/>
      <c r="B125" s="73"/>
      <c r="C125" s="73"/>
      <c r="D125" s="73"/>
      <c r="E125" s="73"/>
      <c r="F125" s="73"/>
    </row>
    <row r="126">
      <c r="A126" s="73"/>
      <c r="B126" s="73"/>
      <c r="C126" s="73"/>
      <c r="D126" s="73"/>
      <c r="E126" s="73"/>
      <c r="F126" s="73"/>
    </row>
    <row r="127">
      <c r="A127" s="73"/>
      <c r="B127" s="73"/>
      <c r="C127" s="73"/>
      <c r="D127" s="73"/>
      <c r="E127" s="73"/>
      <c r="F127" s="73"/>
    </row>
    <row r="128">
      <c r="A128" s="73"/>
      <c r="B128" s="73"/>
      <c r="C128" s="73"/>
      <c r="D128" s="73"/>
      <c r="E128" s="73"/>
      <c r="F128" s="73"/>
    </row>
    <row r="129">
      <c r="A129" s="73"/>
      <c r="B129" s="73"/>
      <c r="C129" s="73"/>
      <c r="D129" s="73"/>
      <c r="E129" s="73"/>
      <c r="F129" s="73"/>
    </row>
    <row r="130">
      <c r="A130" s="73"/>
      <c r="B130" s="73"/>
      <c r="C130" s="73"/>
      <c r="D130" s="73"/>
      <c r="E130" s="73"/>
      <c r="F130" s="73"/>
    </row>
    <row r="131">
      <c r="A131" s="73"/>
      <c r="B131" s="73"/>
      <c r="C131" s="73"/>
      <c r="D131" s="73"/>
      <c r="E131" s="73"/>
      <c r="F131" s="73"/>
    </row>
    <row r="132">
      <c r="A132" s="73"/>
      <c r="B132" s="73"/>
      <c r="C132" s="73"/>
      <c r="D132" s="73"/>
      <c r="E132" s="73"/>
      <c r="F132" s="73"/>
    </row>
    <row r="133">
      <c r="A133" s="73"/>
      <c r="B133" s="73"/>
      <c r="C133" s="73"/>
      <c r="D133" s="73"/>
      <c r="E133" s="73"/>
      <c r="F133" s="73"/>
    </row>
    <row r="134">
      <c r="A134" s="73"/>
      <c r="B134" s="73"/>
      <c r="C134" s="73"/>
      <c r="D134" s="73"/>
      <c r="E134" s="73"/>
      <c r="F134" s="73"/>
    </row>
    <row r="135">
      <c r="A135" s="73"/>
      <c r="B135" s="73"/>
      <c r="C135" s="73"/>
      <c r="D135" s="73"/>
      <c r="E135" s="73"/>
      <c r="F135" s="73"/>
    </row>
    <row r="136">
      <c r="A136" s="73"/>
      <c r="B136" s="73"/>
      <c r="C136" s="73"/>
      <c r="D136" s="73"/>
      <c r="E136" s="73"/>
      <c r="F136" s="73"/>
    </row>
    <row r="137">
      <c r="A137" s="73"/>
      <c r="B137" s="73"/>
      <c r="C137" s="73"/>
      <c r="D137" s="73"/>
      <c r="E137" s="73"/>
      <c r="F137" s="73"/>
    </row>
    <row r="138">
      <c r="A138" s="73"/>
      <c r="B138" s="73"/>
      <c r="C138" s="73"/>
      <c r="D138" s="73"/>
      <c r="E138" s="73"/>
      <c r="F138" s="73"/>
    </row>
    <row r="139">
      <c r="A139" s="73"/>
      <c r="B139" s="73"/>
      <c r="C139" s="73"/>
      <c r="D139" s="73"/>
      <c r="E139" s="73"/>
      <c r="F139" s="73"/>
    </row>
    <row r="140">
      <c r="A140" s="73"/>
      <c r="B140" s="73"/>
      <c r="C140" s="73"/>
      <c r="D140" s="73"/>
      <c r="E140" s="73"/>
      <c r="F140" s="73"/>
    </row>
    <row r="141">
      <c r="A141" s="73"/>
      <c r="B141" s="73"/>
      <c r="C141" s="73"/>
      <c r="D141" s="73"/>
      <c r="E141" s="73"/>
      <c r="F141" s="73"/>
    </row>
    <row r="142">
      <c r="A142" s="73"/>
      <c r="B142" s="73"/>
      <c r="C142" s="73"/>
      <c r="D142" s="73"/>
      <c r="E142" s="73"/>
      <c r="F142" s="73"/>
    </row>
    <row r="143">
      <c r="A143" s="73"/>
      <c r="B143" s="73"/>
      <c r="C143" s="73"/>
      <c r="D143" s="73"/>
      <c r="E143" s="73"/>
      <c r="F143" s="73"/>
    </row>
    <row r="144">
      <c r="A144" s="73"/>
      <c r="B144" s="73"/>
      <c r="C144" s="73"/>
      <c r="D144" s="73"/>
      <c r="E144" s="73"/>
      <c r="F144" s="73"/>
    </row>
    <row r="145">
      <c r="A145" s="73"/>
      <c r="B145" s="73"/>
      <c r="C145" s="73"/>
      <c r="D145" s="73"/>
      <c r="E145" s="73"/>
      <c r="F145" s="73"/>
    </row>
    <row r="146">
      <c r="A146" s="73"/>
      <c r="B146" s="73"/>
      <c r="C146" s="73"/>
      <c r="D146" s="73"/>
      <c r="E146" s="73"/>
      <c r="F146" s="73"/>
    </row>
    <row r="147">
      <c r="A147" s="73"/>
      <c r="B147" s="73"/>
      <c r="C147" s="73"/>
      <c r="D147" s="73"/>
      <c r="E147" s="73"/>
      <c r="F147" s="73"/>
    </row>
    <row r="148">
      <c r="A148" s="73"/>
      <c r="B148" s="73"/>
      <c r="C148" s="73"/>
      <c r="D148" s="73"/>
      <c r="E148" s="73"/>
      <c r="F148" s="73"/>
    </row>
    <row r="149">
      <c r="A149" s="73"/>
      <c r="B149" s="73"/>
      <c r="C149" s="73"/>
      <c r="D149" s="73"/>
      <c r="E149" s="73"/>
      <c r="F149" s="73"/>
    </row>
    <row r="150">
      <c r="A150" s="73"/>
      <c r="B150" s="73"/>
      <c r="C150" s="73"/>
      <c r="D150" s="73"/>
      <c r="E150" s="73"/>
      <c r="F150" s="73"/>
    </row>
    <row r="151">
      <c r="A151" s="73"/>
      <c r="B151" s="73"/>
      <c r="C151" s="73"/>
      <c r="D151" s="73"/>
      <c r="E151" s="73"/>
      <c r="F151" s="73"/>
    </row>
    <row r="152">
      <c r="A152" s="73"/>
      <c r="B152" s="73"/>
      <c r="C152" s="73"/>
      <c r="D152" s="73"/>
      <c r="E152" s="73"/>
      <c r="F152" s="73"/>
    </row>
    <row r="153">
      <c r="A153" s="73"/>
      <c r="B153" s="73"/>
      <c r="C153" s="73"/>
      <c r="D153" s="73"/>
      <c r="E153" s="73"/>
      <c r="F153" s="73"/>
    </row>
    <row r="154">
      <c r="A154" s="73"/>
      <c r="B154" s="73"/>
      <c r="C154" s="73"/>
      <c r="D154" s="73"/>
      <c r="E154" s="73"/>
      <c r="F154" s="73"/>
    </row>
    <row r="155">
      <c r="A155" s="73"/>
      <c r="B155" s="73"/>
      <c r="C155" s="73"/>
      <c r="D155" s="73"/>
      <c r="E155" s="73"/>
      <c r="F155" s="73"/>
    </row>
    <row r="156">
      <c r="A156" s="73"/>
      <c r="B156" s="73"/>
      <c r="C156" s="73"/>
      <c r="D156" s="73"/>
      <c r="E156" s="73"/>
      <c r="F156" s="73"/>
    </row>
    <row r="157">
      <c r="A157" s="73"/>
      <c r="B157" s="73"/>
      <c r="C157" s="73"/>
      <c r="D157" s="73"/>
      <c r="E157" s="73"/>
      <c r="F157" s="73"/>
    </row>
    <row r="158">
      <c r="A158" s="73"/>
      <c r="B158" s="73"/>
      <c r="C158" s="73"/>
      <c r="D158" s="73"/>
      <c r="E158" s="73"/>
      <c r="F158" s="73"/>
    </row>
    <row r="159">
      <c r="A159" s="73"/>
      <c r="B159" s="73"/>
      <c r="C159" s="73"/>
      <c r="D159" s="73"/>
      <c r="E159" s="73"/>
      <c r="F159" s="73"/>
    </row>
    <row r="160">
      <c r="A160" s="73"/>
      <c r="B160" s="73"/>
      <c r="C160" s="73"/>
      <c r="D160" s="73"/>
      <c r="E160" s="73"/>
      <c r="F160" s="73"/>
    </row>
    <row r="161">
      <c r="A161" s="73"/>
      <c r="B161" s="73"/>
      <c r="C161" s="73"/>
      <c r="D161" s="73"/>
      <c r="E161" s="73"/>
      <c r="F161" s="73"/>
    </row>
    <row r="162">
      <c r="A162" s="73"/>
      <c r="B162" s="73"/>
      <c r="C162" s="73"/>
      <c r="D162" s="73"/>
      <c r="E162" s="73"/>
      <c r="F162" s="73"/>
    </row>
    <row r="163">
      <c r="A163" s="73"/>
      <c r="B163" s="73"/>
      <c r="C163" s="73"/>
      <c r="D163" s="73"/>
      <c r="E163" s="73"/>
      <c r="F163" s="73"/>
    </row>
    <row r="164">
      <c r="A164" s="73"/>
      <c r="B164" s="73"/>
      <c r="C164" s="73"/>
      <c r="D164" s="73"/>
      <c r="E164" s="73"/>
      <c r="F164" s="73"/>
    </row>
    <row r="165">
      <c r="A165" s="73"/>
      <c r="B165" s="73"/>
      <c r="C165" s="73"/>
      <c r="D165" s="73"/>
      <c r="E165" s="73"/>
      <c r="F165" s="73"/>
    </row>
    <row r="166">
      <c r="A166" s="73"/>
      <c r="B166" s="73"/>
      <c r="C166" s="73"/>
      <c r="D166" s="73"/>
      <c r="E166" s="73"/>
      <c r="F166" s="73"/>
    </row>
    <row r="167">
      <c r="A167" s="73"/>
      <c r="B167" s="73"/>
      <c r="C167" s="73"/>
      <c r="D167" s="73"/>
      <c r="E167" s="73"/>
      <c r="F167" s="73"/>
    </row>
    <row r="168">
      <c r="A168" s="73"/>
      <c r="B168" s="73"/>
      <c r="C168" s="73"/>
      <c r="D168" s="73"/>
      <c r="E168" s="73"/>
      <c r="F168" s="73"/>
    </row>
    <row r="169">
      <c r="A169" s="73"/>
      <c r="B169" s="73"/>
      <c r="C169" s="73"/>
      <c r="D169" s="73"/>
      <c r="E169" s="73"/>
      <c r="F169" s="73"/>
    </row>
    <row r="170">
      <c r="A170" s="73"/>
      <c r="B170" s="73"/>
      <c r="C170" s="73"/>
      <c r="D170" s="73"/>
      <c r="E170" s="73"/>
      <c r="F170" s="73"/>
    </row>
    <row r="171">
      <c r="A171" s="73"/>
      <c r="B171" s="73"/>
      <c r="C171" s="73"/>
      <c r="D171" s="73"/>
      <c r="E171" s="73"/>
      <c r="F171" s="73"/>
    </row>
    <row r="172">
      <c r="A172" s="73"/>
      <c r="B172" s="73"/>
      <c r="C172" s="73"/>
      <c r="D172" s="73"/>
      <c r="E172" s="73"/>
      <c r="F172" s="73"/>
    </row>
    <row r="173">
      <c r="A173" s="73"/>
      <c r="B173" s="73"/>
      <c r="C173" s="73"/>
      <c r="D173" s="73"/>
      <c r="E173" s="73"/>
      <c r="F173" s="73"/>
    </row>
    <row r="174">
      <c r="A174" s="73"/>
      <c r="B174" s="73"/>
      <c r="C174" s="73"/>
      <c r="D174" s="73"/>
      <c r="E174" s="73"/>
      <c r="F174" s="73"/>
    </row>
    <row r="175">
      <c r="A175" s="73"/>
      <c r="B175" s="73"/>
      <c r="C175" s="73"/>
      <c r="D175" s="73"/>
      <c r="E175" s="73"/>
      <c r="F175" s="73"/>
    </row>
    <row r="176">
      <c r="A176" s="73"/>
      <c r="B176" s="73"/>
      <c r="C176" s="73"/>
      <c r="D176" s="73"/>
      <c r="E176" s="73"/>
      <c r="F176" s="73"/>
    </row>
    <row r="177">
      <c r="A177" s="73"/>
      <c r="B177" s="73"/>
      <c r="C177" s="73"/>
      <c r="D177" s="73"/>
      <c r="E177" s="73"/>
      <c r="F177" s="73"/>
    </row>
    <row r="178">
      <c r="A178" s="73"/>
      <c r="B178" s="73"/>
      <c r="C178" s="73"/>
      <c r="D178" s="73"/>
      <c r="E178" s="73"/>
      <c r="F178" s="73"/>
    </row>
    <row r="179">
      <c r="A179" s="73"/>
      <c r="B179" s="73"/>
      <c r="C179" s="73"/>
      <c r="D179" s="73"/>
      <c r="E179" s="73"/>
      <c r="F179" s="73"/>
    </row>
    <row r="180">
      <c r="A180" s="73"/>
      <c r="B180" s="73"/>
      <c r="C180" s="73"/>
      <c r="D180" s="73"/>
      <c r="E180" s="73"/>
      <c r="F180" s="73"/>
    </row>
    <row r="181">
      <c r="A181" s="73"/>
      <c r="B181" s="73"/>
      <c r="C181" s="73"/>
      <c r="D181" s="73"/>
      <c r="E181" s="73"/>
      <c r="F181" s="73"/>
    </row>
    <row r="182">
      <c r="A182" s="73"/>
      <c r="B182" s="73"/>
      <c r="C182" s="73"/>
      <c r="D182" s="73"/>
      <c r="E182" s="73"/>
      <c r="F182" s="73"/>
    </row>
    <row r="183">
      <c r="A183" s="73"/>
      <c r="B183" s="73"/>
      <c r="C183" s="73"/>
      <c r="D183" s="73"/>
      <c r="E183" s="73"/>
      <c r="F183" s="73"/>
    </row>
    <row r="184">
      <c r="A184" s="73"/>
      <c r="B184" s="73"/>
      <c r="C184" s="73"/>
      <c r="D184" s="73"/>
      <c r="E184" s="73"/>
      <c r="F184" s="73"/>
    </row>
    <row r="185">
      <c r="A185" s="73"/>
      <c r="B185" s="73"/>
      <c r="C185" s="73"/>
      <c r="D185" s="73"/>
      <c r="E185" s="73"/>
      <c r="F185" s="73"/>
    </row>
    <row r="186">
      <c r="A186" s="73"/>
      <c r="B186" s="73"/>
      <c r="C186" s="73"/>
      <c r="D186" s="73"/>
      <c r="E186" s="73"/>
      <c r="F186" s="73"/>
    </row>
    <row r="187">
      <c r="A187" s="73"/>
      <c r="B187" s="73"/>
      <c r="C187" s="73"/>
      <c r="D187" s="73"/>
      <c r="E187" s="73"/>
      <c r="F187" s="73"/>
    </row>
    <row r="188">
      <c r="A188" s="73"/>
      <c r="B188" s="73"/>
      <c r="C188" s="73"/>
      <c r="D188" s="73"/>
      <c r="E188" s="73"/>
      <c r="F188" s="73"/>
    </row>
    <row r="189">
      <c r="A189" s="73"/>
      <c r="B189" s="73"/>
      <c r="C189" s="73"/>
      <c r="D189" s="73"/>
      <c r="E189" s="73"/>
      <c r="F189" s="73"/>
    </row>
    <row r="190">
      <c r="A190" s="73"/>
      <c r="B190" s="73"/>
      <c r="C190" s="73"/>
      <c r="D190" s="73"/>
      <c r="E190" s="73"/>
      <c r="F190" s="73"/>
    </row>
    <row r="191">
      <c r="A191" s="73"/>
      <c r="B191" s="73"/>
      <c r="C191" s="73"/>
      <c r="D191" s="73"/>
      <c r="E191" s="73"/>
      <c r="F191" s="73"/>
    </row>
    <row r="192">
      <c r="A192" s="73"/>
      <c r="B192" s="73"/>
      <c r="C192" s="73"/>
      <c r="D192" s="73"/>
      <c r="E192" s="73"/>
      <c r="F192" s="73"/>
    </row>
    <row r="193">
      <c r="A193" s="73"/>
      <c r="B193" s="73"/>
      <c r="C193" s="73"/>
      <c r="D193" s="73"/>
      <c r="E193" s="73"/>
      <c r="F193" s="73"/>
    </row>
    <row r="194">
      <c r="A194" s="73"/>
      <c r="B194" s="73"/>
      <c r="C194" s="73"/>
      <c r="D194" s="73"/>
      <c r="E194" s="73"/>
      <c r="F194" s="73"/>
    </row>
    <row r="195">
      <c r="A195" s="73"/>
      <c r="B195" s="73"/>
      <c r="C195" s="73"/>
      <c r="D195" s="73"/>
      <c r="E195" s="73"/>
      <c r="F195" s="73"/>
    </row>
    <row r="196">
      <c r="A196" s="73"/>
      <c r="B196" s="73"/>
      <c r="C196" s="73"/>
      <c r="D196" s="73"/>
      <c r="E196" s="73"/>
      <c r="F196" s="73"/>
    </row>
    <row r="197">
      <c r="A197" s="73"/>
      <c r="B197" s="73"/>
      <c r="C197" s="73"/>
      <c r="D197" s="73"/>
      <c r="E197" s="73"/>
      <c r="F197" s="73"/>
    </row>
    <row r="198">
      <c r="A198" s="73"/>
      <c r="B198" s="73"/>
      <c r="C198" s="73"/>
      <c r="D198" s="73"/>
      <c r="E198" s="73"/>
      <c r="F198" s="73"/>
    </row>
    <row r="199">
      <c r="A199" s="73"/>
      <c r="B199" s="73"/>
      <c r="C199" s="73"/>
      <c r="D199" s="73"/>
      <c r="E199" s="73"/>
      <c r="F199" s="73"/>
    </row>
    <row r="200">
      <c r="A200" s="73"/>
      <c r="B200" s="73"/>
      <c r="C200" s="73"/>
      <c r="D200" s="73"/>
      <c r="E200" s="73"/>
      <c r="F200" s="73"/>
    </row>
    <row r="201">
      <c r="A201" s="73"/>
      <c r="B201" s="73"/>
      <c r="C201" s="73"/>
      <c r="D201" s="73"/>
      <c r="E201" s="73"/>
      <c r="F201" s="73"/>
    </row>
    <row r="202">
      <c r="A202" s="73"/>
      <c r="B202" s="73"/>
      <c r="C202" s="73"/>
      <c r="D202" s="73"/>
      <c r="E202" s="73"/>
      <c r="F202" s="73"/>
    </row>
    <row r="203">
      <c r="A203" s="73"/>
      <c r="B203" s="73"/>
      <c r="C203" s="73"/>
      <c r="D203" s="73"/>
      <c r="E203" s="73"/>
      <c r="F203" s="73"/>
    </row>
    <row r="204">
      <c r="A204" s="73"/>
      <c r="B204" s="73"/>
      <c r="C204" s="73"/>
      <c r="D204" s="73"/>
      <c r="E204" s="73"/>
      <c r="F204" s="73"/>
    </row>
    <row r="205">
      <c r="A205" s="73"/>
      <c r="B205" s="73"/>
      <c r="C205" s="73"/>
      <c r="D205" s="73"/>
      <c r="E205" s="73"/>
      <c r="F205" s="73"/>
    </row>
    <row r="206">
      <c r="A206" s="73"/>
      <c r="B206" s="73"/>
      <c r="C206" s="73"/>
      <c r="D206" s="73"/>
      <c r="E206" s="73"/>
      <c r="F206" s="73"/>
    </row>
    <row r="207">
      <c r="A207" s="73"/>
      <c r="B207" s="73"/>
      <c r="C207" s="73"/>
      <c r="D207" s="73"/>
      <c r="E207" s="73"/>
      <c r="F207" s="73"/>
    </row>
    <row r="208">
      <c r="A208" s="73"/>
      <c r="B208" s="73"/>
      <c r="C208" s="73"/>
      <c r="D208" s="73"/>
      <c r="E208" s="73"/>
      <c r="F208" s="73"/>
    </row>
    <row r="209">
      <c r="A209" s="73"/>
      <c r="B209" s="73"/>
      <c r="C209" s="73"/>
      <c r="D209" s="73"/>
      <c r="E209" s="73"/>
      <c r="F209" s="73"/>
    </row>
    <row r="210">
      <c r="A210" s="73"/>
      <c r="B210" s="73"/>
      <c r="C210" s="73"/>
      <c r="D210" s="73"/>
      <c r="E210" s="73"/>
      <c r="F210" s="73"/>
    </row>
    <row r="211">
      <c r="A211" s="73"/>
      <c r="B211" s="73"/>
      <c r="C211" s="73"/>
      <c r="D211" s="73"/>
      <c r="E211" s="73"/>
      <c r="F211" s="73"/>
    </row>
    <row r="212">
      <c r="A212" s="73"/>
      <c r="B212" s="73"/>
      <c r="C212" s="73"/>
      <c r="D212" s="73"/>
      <c r="E212" s="73"/>
      <c r="F212" s="73"/>
    </row>
    <row r="213">
      <c r="A213" s="73"/>
      <c r="B213" s="73"/>
      <c r="C213" s="73"/>
      <c r="D213" s="73"/>
      <c r="E213" s="73"/>
      <c r="F213" s="73"/>
    </row>
    <row r="214">
      <c r="A214" s="73"/>
      <c r="B214" s="73"/>
      <c r="C214" s="73"/>
      <c r="D214" s="73"/>
      <c r="E214" s="73"/>
      <c r="F214" s="73"/>
    </row>
    <row r="215">
      <c r="A215" s="73"/>
      <c r="B215" s="73"/>
      <c r="C215" s="73"/>
      <c r="D215" s="73"/>
      <c r="E215" s="73"/>
      <c r="F215" s="73"/>
    </row>
    <row r="216">
      <c r="A216" s="73"/>
      <c r="B216" s="73"/>
      <c r="C216" s="73"/>
      <c r="D216" s="73"/>
      <c r="E216" s="73"/>
      <c r="F216" s="73"/>
    </row>
    <row r="217">
      <c r="A217" s="73"/>
      <c r="B217" s="73"/>
      <c r="C217" s="73"/>
      <c r="D217" s="73"/>
      <c r="E217" s="73"/>
      <c r="F217" s="73"/>
    </row>
    <row r="218">
      <c r="A218" s="73"/>
      <c r="B218" s="73"/>
      <c r="C218" s="73"/>
      <c r="D218" s="73"/>
      <c r="E218" s="73"/>
      <c r="F218" s="73"/>
    </row>
    <row r="219">
      <c r="A219" s="73"/>
      <c r="B219" s="73"/>
      <c r="C219" s="73"/>
      <c r="D219" s="73"/>
      <c r="E219" s="73"/>
      <c r="F219" s="73"/>
    </row>
    <row r="220">
      <c r="A220" s="73"/>
      <c r="B220" s="73"/>
      <c r="C220" s="73"/>
      <c r="D220" s="73"/>
      <c r="E220" s="73"/>
      <c r="F220" s="73"/>
    </row>
    <row r="221">
      <c r="A221" s="73"/>
      <c r="B221" s="73"/>
      <c r="C221" s="73"/>
      <c r="D221" s="73"/>
      <c r="E221" s="73"/>
      <c r="F221" s="73"/>
    </row>
    <row r="222">
      <c r="A222" s="73"/>
      <c r="B222" s="73"/>
      <c r="C222" s="73"/>
      <c r="D222" s="73"/>
      <c r="E222" s="73"/>
      <c r="F222" s="73"/>
    </row>
    <row r="223">
      <c r="A223" s="73"/>
      <c r="B223" s="73"/>
      <c r="C223" s="73"/>
      <c r="D223" s="73"/>
      <c r="E223" s="73"/>
      <c r="F223" s="73"/>
    </row>
    <row r="224">
      <c r="A224" s="73"/>
      <c r="B224" s="73"/>
      <c r="C224" s="73"/>
      <c r="D224" s="73"/>
      <c r="E224" s="73"/>
      <c r="F224" s="73"/>
    </row>
    <row r="225">
      <c r="A225" s="73"/>
      <c r="B225" s="73"/>
      <c r="C225" s="73"/>
      <c r="D225" s="73"/>
      <c r="E225" s="73"/>
      <c r="F225" s="73"/>
    </row>
    <row r="226">
      <c r="A226" s="73"/>
      <c r="B226" s="73"/>
      <c r="C226" s="73"/>
      <c r="D226" s="73"/>
      <c r="E226" s="73"/>
      <c r="F226" s="73"/>
    </row>
    <row r="227">
      <c r="A227" s="73"/>
      <c r="B227" s="73"/>
      <c r="C227" s="73"/>
      <c r="D227" s="73"/>
      <c r="E227" s="73"/>
      <c r="F227" s="73"/>
    </row>
    <row r="228">
      <c r="A228" s="73"/>
      <c r="B228" s="73"/>
      <c r="C228" s="73"/>
      <c r="D228" s="73"/>
      <c r="E228" s="73"/>
      <c r="F228" s="73"/>
    </row>
    <row r="229">
      <c r="A229" s="73"/>
      <c r="B229" s="73"/>
      <c r="C229" s="73"/>
      <c r="D229" s="73"/>
      <c r="E229" s="73"/>
      <c r="F229" s="73"/>
    </row>
    <row r="230">
      <c r="A230" s="73"/>
      <c r="B230" s="73"/>
      <c r="C230" s="73"/>
      <c r="D230" s="73"/>
      <c r="E230" s="73"/>
      <c r="F230" s="73"/>
    </row>
    <row r="231">
      <c r="A231" s="73"/>
      <c r="B231" s="73"/>
      <c r="C231" s="73"/>
      <c r="D231" s="73"/>
      <c r="E231" s="73"/>
      <c r="F231" s="73"/>
    </row>
    <row r="232">
      <c r="A232" s="73"/>
      <c r="B232" s="73"/>
      <c r="C232" s="73"/>
      <c r="D232" s="73"/>
      <c r="E232" s="73"/>
      <c r="F232" s="73"/>
    </row>
    <row r="233">
      <c r="A233" s="73"/>
      <c r="B233" s="73"/>
      <c r="C233" s="73"/>
      <c r="D233" s="73"/>
      <c r="E233" s="73"/>
      <c r="F233" s="73"/>
    </row>
    <row r="234">
      <c r="A234" s="73"/>
      <c r="B234" s="73"/>
      <c r="C234" s="73"/>
      <c r="D234" s="73"/>
      <c r="E234" s="73"/>
      <c r="F234" s="73"/>
    </row>
    <row r="235">
      <c r="A235" s="73"/>
      <c r="B235" s="73"/>
      <c r="C235" s="73"/>
      <c r="D235" s="73"/>
      <c r="E235" s="73"/>
      <c r="F235" s="73"/>
    </row>
    <row r="236">
      <c r="A236" s="73"/>
      <c r="B236" s="73"/>
      <c r="C236" s="73"/>
      <c r="D236" s="73"/>
      <c r="E236" s="73"/>
      <c r="F236" s="73"/>
    </row>
    <row r="237">
      <c r="A237" s="73"/>
      <c r="B237" s="73"/>
      <c r="C237" s="73"/>
      <c r="D237" s="73"/>
      <c r="E237" s="73"/>
      <c r="F237" s="73"/>
    </row>
    <row r="238">
      <c r="A238" s="73"/>
      <c r="B238" s="73"/>
      <c r="C238" s="73"/>
      <c r="D238" s="73"/>
      <c r="E238" s="73"/>
      <c r="F238" s="73"/>
    </row>
    <row r="239">
      <c r="A239" s="73"/>
      <c r="B239" s="73"/>
      <c r="C239" s="73"/>
      <c r="D239" s="73"/>
      <c r="E239" s="73"/>
      <c r="F239" s="73"/>
    </row>
    <row r="240">
      <c r="A240" s="73"/>
      <c r="B240" s="73"/>
      <c r="C240" s="73"/>
      <c r="D240" s="73"/>
      <c r="E240" s="73"/>
      <c r="F240" s="73"/>
    </row>
    <row r="241">
      <c r="A241" s="73"/>
      <c r="B241" s="73"/>
      <c r="C241" s="73"/>
      <c r="D241" s="73"/>
      <c r="E241" s="73"/>
      <c r="F241" s="73"/>
    </row>
    <row r="242">
      <c r="A242" s="73"/>
      <c r="B242" s="73"/>
      <c r="C242" s="73"/>
      <c r="D242" s="73"/>
      <c r="E242" s="73"/>
      <c r="F242" s="73"/>
    </row>
    <row r="243">
      <c r="A243" s="73"/>
      <c r="B243" s="73"/>
      <c r="C243" s="73"/>
      <c r="D243" s="73"/>
      <c r="E243" s="73"/>
      <c r="F243" s="73"/>
    </row>
    <row r="244">
      <c r="A244" s="73"/>
      <c r="B244" s="73"/>
      <c r="C244" s="73"/>
      <c r="D244" s="73"/>
      <c r="E244" s="73"/>
      <c r="F244" s="73"/>
    </row>
    <row r="245">
      <c r="A245" s="73"/>
      <c r="B245" s="73"/>
      <c r="C245" s="73"/>
      <c r="D245" s="73"/>
      <c r="E245" s="73"/>
      <c r="F245" s="73"/>
    </row>
    <row r="246">
      <c r="A246" s="73"/>
      <c r="B246" s="73"/>
      <c r="C246" s="73"/>
      <c r="D246" s="73"/>
      <c r="E246" s="73"/>
      <c r="F246" s="73"/>
    </row>
    <row r="247">
      <c r="A247" s="73"/>
      <c r="B247" s="73"/>
      <c r="C247" s="73"/>
      <c r="D247" s="73"/>
      <c r="E247" s="73"/>
      <c r="F247" s="73"/>
    </row>
    <row r="248">
      <c r="A248" s="73"/>
      <c r="B248" s="73"/>
      <c r="C248" s="73"/>
      <c r="D248" s="73"/>
      <c r="E248" s="73"/>
      <c r="F248" s="73"/>
    </row>
    <row r="249">
      <c r="A249" s="73"/>
      <c r="B249" s="73"/>
      <c r="C249" s="73"/>
      <c r="D249" s="73"/>
      <c r="E249" s="73"/>
      <c r="F249" s="73"/>
    </row>
    <row r="250">
      <c r="A250" s="73"/>
      <c r="B250" s="73"/>
      <c r="C250" s="73"/>
      <c r="D250" s="73"/>
      <c r="E250" s="73"/>
      <c r="F250" s="73"/>
    </row>
    <row r="251">
      <c r="A251" s="73"/>
      <c r="B251" s="73"/>
      <c r="C251" s="73"/>
      <c r="D251" s="73"/>
      <c r="E251" s="73"/>
      <c r="F251" s="73"/>
    </row>
    <row r="252">
      <c r="A252" s="73"/>
      <c r="B252" s="73"/>
      <c r="C252" s="73"/>
      <c r="D252" s="73"/>
      <c r="E252" s="73"/>
      <c r="F252" s="73"/>
    </row>
    <row r="253">
      <c r="A253" s="73"/>
      <c r="B253" s="73"/>
      <c r="C253" s="73"/>
      <c r="D253" s="73"/>
      <c r="E253" s="73"/>
      <c r="F253" s="73"/>
    </row>
    <row r="254">
      <c r="A254" s="73"/>
      <c r="B254" s="73"/>
      <c r="C254" s="73"/>
      <c r="D254" s="73"/>
      <c r="E254" s="73"/>
      <c r="F254" s="73"/>
    </row>
    <row r="255">
      <c r="A255" s="73"/>
      <c r="B255" s="73"/>
      <c r="C255" s="73"/>
      <c r="D255" s="73"/>
      <c r="E255" s="73"/>
      <c r="F255" s="73"/>
    </row>
    <row r="256">
      <c r="A256" s="73"/>
      <c r="B256" s="73"/>
      <c r="C256" s="73"/>
      <c r="D256" s="73"/>
      <c r="E256" s="73"/>
      <c r="F256" s="73"/>
    </row>
    <row r="257">
      <c r="A257" s="73"/>
      <c r="B257" s="73"/>
      <c r="C257" s="73"/>
      <c r="D257" s="73"/>
      <c r="E257" s="73"/>
      <c r="F257" s="73"/>
    </row>
    <row r="258">
      <c r="A258" s="73"/>
      <c r="B258" s="73"/>
      <c r="C258" s="73"/>
      <c r="D258" s="73"/>
      <c r="E258" s="73"/>
      <c r="F258" s="73"/>
    </row>
    <row r="259">
      <c r="A259" s="73"/>
      <c r="B259" s="73"/>
      <c r="C259" s="73"/>
      <c r="D259" s="73"/>
      <c r="E259" s="73"/>
      <c r="F259" s="73"/>
    </row>
    <row r="260">
      <c r="A260" s="73"/>
      <c r="B260" s="73"/>
      <c r="C260" s="73"/>
      <c r="D260" s="73"/>
      <c r="E260" s="73"/>
      <c r="F260" s="73"/>
    </row>
    <row r="261">
      <c r="A261" s="73"/>
      <c r="B261" s="73"/>
      <c r="C261" s="73"/>
      <c r="D261" s="73"/>
      <c r="E261" s="73"/>
      <c r="F261" s="73"/>
    </row>
    <row r="262">
      <c r="A262" s="73"/>
      <c r="B262" s="73"/>
      <c r="C262" s="73"/>
      <c r="D262" s="73"/>
      <c r="E262" s="73"/>
      <c r="F262" s="73"/>
    </row>
    <row r="263">
      <c r="A263" s="73"/>
      <c r="B263" s="73"/>
      <c r="C263" s="73"/>
      <c r="D263" s="73"/>
      <c r="E263" s="73"/>
      <c r="F263" s="73"/>
    </row>
    <row r="264">
      <c r="A264" s="73"/>
      <c r="B264" s="73"/>
      <c r="C264" s="73"/>
      <c r="D264" s="73"/>
      <c r="E264" s="73"/>
      <c r="F264" s="73"/>
    </row>
    <row r="265">
      <c r="A265" s="73"/>
      <c r="B265" s="73"/>
      <c r="C265" s="73"/>
      <c r="D265" s="73"/>
      <c r="E265" s="73"/>
      <c r="F265" s="73"/>
    </row>
    <row r="266">
      <c r="A266" s="73"/>
      <c r="B266" s="73"/>
      <c r="C266" s="73"/>
      <c r="D266" s="73"/>
      <c r="E266" s="73"/>
      <c r="F266" s="73"/>
    </row>
    <row r="267">
      <c r="A267" s="73"/>
      <c r="B267" s="73"/>
      <c r="C267" s="73"/>
      <c r="D267" s="73"/>
      <c r="E267" s="73"/>
      <c r="F267" s="73"/>
    </row>
    <row r="268">
      <c r="A268" s="73"/>
      <c r="B268" s="73"/>
      <c r="C268" s="73"/>
      <c r="D268" s="73"/>
      <c r="E268" s="73"/>
      <c r="F268" s="73"/>
    </row>
    <row r="269">
      <c r="A269" s="73"/>
      <c r="B269" s="73"/>
      <c r="C269" s="73"/>
      <c r="D269" s="73"/>
      <c r="E269" s="73"/>
      <c r="F269" s="73"/>
    </row>
    <row r="270">
      <c r="A270" s="73"/>
      <c r="B270" s="73"/>
      <c r="C270" s="73"/>
      <c r="D270" s="73"/>
      <c r="E270" s="73"/>
      <c r="F270" s="73"/>
    </row>
    <row r="271">
      <c r="A271" s="73"/>
      <c r="B271" s="73"/>
      <c r="C271" s="73"/>
      <c r="D271" s="73"/>
      <c r="E271" s="73"/>
      <c r="F271" s="73"/>
    </row>
    <row r="272">
      <c r="A272" s="73"/>
      <c r="B272" s="73"/>
      <c r="C272" s="73"/>
      <c r="D272" s="73"/>
      <c r="E272" s="73"/>
      <c r="F272" s="73"/>
    </row>
    <row r="273">
      <c r="A273" s="73"/>
      <c r="B273" s="73"/>
      <c r="C273" s="73"/>
      <c r="D273" s="73"/>
      <c r="E273" s="73"/>
      <c r="F273" s="73"/>
    </row>
    <row r="274">
      <c r="A274" s="73"/>
      <c r="B274" s="73"/>
      <c r="C274" s="73"/>
      <c r="D274" s="73"/>
      <c r="E274" s="73"/>
      <c r="F274" s="73"/>
    </row>
    <row r="275">
      <c r="A275" s="73"/>
      <c r="B275" s="73"/>
      <c r="C275" s="73"/>
      <c r="D275" s="73"/>
      <c r="E275" s="73"/>
      <c r="F275" s="73"/>
    </row>
    <row r="276">
      <c r="A276" s="73"/>
      <c r="B276" s="73"/>
      <c r="C276" s="73"/>
      <c r="D276" s="73"/>
      <c r="E276" s="73"/>
      <c r="F276" s="73"/>
    </row>
    <row r="277">
      <c r="A277" s="73"/>
      <c r="B277" s="73"/>
      <c r="C277" s="73"/>
      <c r="D277" s="73"/>
      <c r="E277" s="73"/>
      <c r="F277" s="73"/>
    </row>
    <row r="278">
      <c r="A278" s="73"/>
      <c r="B278" s="73"/>
      <c r="C278" s="73"/>
      <c r="D278" s="73"/>
      <c r="E278" s="73"/>
      <c r="F278" s="73"/>
    </row>
    <row r="279">
      <c r="A279" s="73"/>
      <c r="B279" s="73"/>
      <c r="C279" s="73"/>
      <c r="D279" s="73"/>
      <c r="E279" s="73"/>
      <c r="F279" s="73"/>
    </row>
    <row r="280">
      <c r="A280" s="73"/>
      <c r="B280" s="73"/>
      <c r="C280" s="73"/>
      <c r="D280" s="73"/>
      <c r="E280" s="73"/>
      <c r="F280" s="73"/>
    </row>
    <row r="281">
      <c r="A281" s="73"/>
      <c r="B281" s="73"/>
      <c r="C281" s="73"/>
      <c r="D281" s="73"/>
      <c r="E281" s="73"/>
      <c r="F281" s="73"/>
    </row>
    <row r="282">
      <c r="A282" s="73"/>
      <c r="B282" s="73"/>
      <c r="C282" s="73"/>
      <c r="D282" s="73"/>
      <c r="E282" s="73"/>
      <c r="F282" s="73"/>
    </row>
    <row r="283">
      <c r="A283" s="73"/>
      <c r="B283" s="73"/>
      <c r="C283" s="73"/>
      <c r="D283" s="73"/>
      <c r="E283" s="73"/>
      <c r="F283" s="73"/>
    </row>
    <row r="284">
      <c r="A284" s="73"/>
      <c r="B284" s="73"/>
      <c r="C284" s="73"/>
      <c r="D284" s="73"/>
      <c r="E284" s="73"/>
      <c r="F284" s="73"/>
    </row>
    <row r="285">
      <c r="A285" s="73"/>
      <c r="B285" s="73"/>
      <c r="C285" s="73"/>
      <c r="D285" s="73"/>
      <c r="E285" s="73"/>
      <c r="F285" s="73"/>
    </row>
    <row r="286">
      <c r="A286" s="73"/>
      <c r="B286" s="73"/>
      <c r="C286" s="73"/>
      <c r="D286" s="73"/>
      <c r="E286" s="73"/>
      <c r="F286" s="73"/>
    </row>
    <row r="287">
      <c r="A287" s="73"/>
      <c r="B287" s="73"/>
      <c r="C287" s="73"/>
      <c r="D287" s="73"/>
      <c r="E287" s="73"/>
      <c r="F287" s="73"/>
    </row>
    <row r="288">
      <c r="A288" s="73"/>
      <c r="B288" s="73"/>
      <c r="C288" s="73"/>
      <c r="D288" s="73"/>
      <c r="E288" s="73"/>
      <c r="F288" s="73"/>
    </row>
    <row r="289">
      <c r="A289" s="73"/>
      <c r="B289" s="73"/>
      <c r="C289" s="73"/>
      <c r="D289" s="73"/>
      <c r="E289" s="73"/>
      <c r="F289" s="73"/>
    </row>
    <row r="290">
      <c r="A290" s="73"/>
      <c r="B290" s="73"/>
      <c r="C290" s="73"/>
      <c r="D290" s="73"/>
      <c r="E290" s="73"/>
      <c r="F290" s="73"/>
    </row>
    <row r="291">
      <c r="A291" s="73"/>
      <c r="B291" s="73"/>
      <c r="C291" s="73"/>
      <c r="D291" s="73"/>
      <c r="E291" s="73"/>
      <c r="F291" s="73"/>
    </row>
    <row r="292">
      <c r="A292" s="73"/>
      <c r="B292" s="73"/>
      <c r="C292" s="73"/>
      <c r="D292" s="73"/>
      <c r="E292" s="73"/>
      <c r="F292" s="73"/>
    </row>
    <row r="293">
      <c r="A293" s="73"/>
      <c r="B293" s="73"/>
      <c r="C293" s="73"/>
      <c r="D293" s="73"/>
      <c r="E293" s="73"/>
      <c r="F293" s="73"/>
    </row>
    <row r="294">
      <c r="A294" s="73"/>
      <c r="B294" s="73"/>
      <c r="C294" s="73"/>
      <c r="D294" s="73"/>
      <c r="E294" s="73"/>
      <c r="F294" s="73"/>
    </row>
    <row r="295">
      <c r="A295" s="73"/>
      <c r="B295" s="73"/>
      <c r="C295" s="73"/>
      <c r="D295" s="73"/>
      <c r="E295" s="73"/>
      <c r="F295" s="73"/>
    </row>
    <row r="296">
      <c r="A296" s="73"/>
      <c r="B296" s="73"/>
      <c r="C296" s="73"/>
      <c r="D296" s="73"/>
      <c r="E296" s="73"/>
      <c r="F296" s="73"/>
    </row>
    <row r="297">
      <c r="A297" s="73"/>
      <c r="B297" s="73"/>
      <c r="C297" s="73"/>
      <c r="D297" s="73"/>
      <c r="E297" s="73"/>
      <c r="F297" s="73"/>
    </row>
    <row r="298">
      <c r="A298" s="73"/>
      <c r="B298" s="73"/>
      <c r="C298" s="73"/>
      <c r="D298" s="73"/>
      <c r="E298" s="73"/>
      <c r="F298" s="73"/>
    </row>
    <row r="299">
      <c r="A299" s="73"/>
      <c r="B299" s="73"/>
      <c r="C299" s="73"/>
      <c r="D299" s="73"/>
      <c r="E299" s="73"/>
      <c r="F299" s="73"/>
    </row>
    <row r="300">
      <c r="A300" s="73"/>
      <c r="B300" s="73"/>
      <c r="C300" s="73"/>
      <c r="D300" s="73"/>
      <c r="E300" s="73"/>
      <c r="F300" s="73"/>
    </row>
    <row r="301">
      <c r="A301" s="73"/>
      <c r="B301" s="73"/>
      <c r="C301" s="73"/>
      <c r="D301" s="73"/>
      <c r="E301" s="73"/>
      <c r="F301" s="73"/>
    </row>
    <row r="302">
      <c r="A302" s="73"/>
      <c r="B302" s="73"/>
      <c r="C302" s="73"/>
      <c r="D302" s="73"/>
      <c r="E302" s="73"/>
      <c r="F302" s="73"/>
    </row>
    <row r="303">
      <c r="A303" s="73"/>
      <c r="B303" s="73"/>
      <c r="C303" s="73"/>
      <c r="D303" s="73"/>
      <c r="E303" s="73"/>
      <c r="F303" s="73"/>
    </row>
    <row r="304">
      <c r="A304" s="73"/>
      <c r="B304" s="73"/>
      <c r="C304" s="73"/>
      <c r="D304" s="73"/>
      <c r="E304" s="73"/>
      <c r="F304" s="73"/>
    </row>
    <row r="305">
      <c r="A305" s="73"/>
      <c r="B305" s="73"/>
      <c r="C305" s="73"/>
      <c r="D305" s="73"/>
      <c r="E305" s="73"/>
      <c r="F305" s="73"/>
    </row>
    <row r="306">
      <c r="A306" s="73"/>
      <c r="B306" s="73"/>
      <c r="C306" s="73"/>
      <c r="D306" s="73"/>
      <c r="E306" s="73"/>
      <c r="F306" s="73"/>
    </row>
    <row r="307">
      <c r="A307" s="73"/>
      <c r="B307" s="73"/>
      <c r="C307" s="73"/>
      <c r="D307" s="73"/>
      <c r="E307" s="73"/>
      <c r="F307" s="73"/>
    </row>
    <row r="308">
      <c r="A308" s="73"/>
      <c r="B308" s="73"/>
      <c r="C308" s="73"/>
      <c r="D308" s="73"/>
      <c r="E308" s="73"/>
      <c r="F308" s="73"/>
    </row>
    <row r="309">
      <c r="A309" s="73"/>
      <c r="B309" s="73"/>
      <c r="C309" s="73"/>
      <c r="D309" s="73"/>
      <c r="E309" s="73"/>
      <c r="F309" s="73"/>
    </row>
    <row r="310">
      <c r="A310" s="73"/>
      <c r="B310" s="73"/>
      <c r="C310" s="73"/>
      <c r="D310" s="73"/>
      <c r="E310" s="73"/>
      <c r="F310" s="73"/>
    </row>
    <row r="311">
      <c r="A311" s="73"/>
      <c r="B311" s="73"/>
      <c r="C311" s="73"/>
      <c r="D311" s="73"/>
      <c r="E311" s="73"/>
      <c r="F311" s="73"/>
    </row>
    <row r="312">
      <c r="A312" s="73"/>
      <c r="B312" s="73"/>
      <c r="C312" s="73"/>
      <c r="D312" s="73"/>
      <c r="E312" s="73"/>
      <c r="F312" s="73"/>
    </row>
    <row r="313">
      <c r="A313" s="73"/>
      <c r="B313" s="73"/>
      <c r="C313" s="73"/>
      <c r="D313" s="73"/>
      <c r="E313" s="73"/>
      <c r="F313" s="73"/>
    </row>
    <row r="314">
      <c r="A314" s="73"/>
      <c r="B314" s="73"/>
      <c r="C314" s="73"/>
      <c r="D314" s="73"/>
      <c r="E314" s="73"/>
      <c r="F314" s="73"/>
    </row>
    <row r="315">
      <c r="A315" s="73"/>
      <c r="B315" s="73"/>
      <c r="C315" s="73"/>
      <c r="D315" s="73"/>
      <c r="E315" s="73"/>
      <c r="F315" s="73"/>
    </row>
    <row r="316">
      <c r="A316" s="73"/>
      <c r="B316" s="73"/>
      <c r="C316" s="73"/>
      <c r="D316" s="73"/>
      <c r="E316" s="73"/>
      <c r="F316" s="73"/>
    </row>
    <row r="317">
      <c r="A317" s="73"/>
      <c r="B317" s="73"/>
      <c r="C317" s="73"/>
      <c r="D317" s="73"/>
      <c r="E317" s="73"/>
      <c r="F317" s="73"/>
    </row>
    <row r="318">
      <c r="A318" s="73"/>
      <c r="B318" s="73"/>
      <c r="C318" s="73"/>
      <c r="D318" s="73"/>
      <c r="E318" s="73"/>
      <c r="F318" s="73"/>
    </row>
    <row r="319">
      <c r="A319" s="73"/>
      <c r="B319" s="73"/>
      <c r="C319" s="73"/>
      <c r="D319" s="73"/>
      <c r="E319" s="73"/>
      <c r="F319" s="73"/>
    </row>
    <row r="320">
      <c r="A320" s="73"/>
      <c r="B320" s="73"/>
      <c r="C320" s="73"/>
      <c r="D320" s="73"/>
      <c r="E320" s="73"/>
      <c r="F320" s="73"/>
    </row>
    <row r="321">
      <c r="A321" s="73"/>
      <c r="B321" s="73"/>
      <c r="C321" s="73"/>
      <c r="D321" s="73"/>
      <c r="E321" s="73"/>
      <c r="F321" s="73"/>
    </row>
    <row r="322">
      <c r="A322" s="73"/>
      <c r="B322" s="73"/>
      <c r="C322" s="73"/>
      <c r="D322" s="73"/>
      <c r="E322" s="73"/>
      <c r="F322" s="73"/>
    </row>
    <row r="323">
      <c r="A323" s="73"/>
      <c r="B323" s="73"/>
      <c r="C323" s="73"/>
      <c r="D323" s="73"/>
      <c r="E323" s="73"/>
      <c r="F323" s="73"/>
    </row>
    <row r="324">
      <c r="A324" s="73"/>
      <c r="B324" s="73"/>
      <c r="C324" s="73"/>
      <c r="D324" s="73"/>
      <c r="E324" s="73"/>
      <c r="F324" s="73"/>
    </row>
    <row r="325">
      <c r="A325" s="73"/>
      <c r="B325" s="73"/>
      <c r="C325" s="73"/>
      <c r="D325" s="73"/>
      <c r="E325" s="73"/>
      <c r="F325" s="73"/>
    </row>
    <row r="326">
      <c r="A326" s="73"/>
      <c r="B326" s="73"/>
      <c r="C326" s="73"/>
      <c r="D326" s="73"/>
      <c r="E326" s="73"/>
      <c r="F326" s="73"/>
    </row>
    <row r="327">
      <c r="A327" s="73"/>
      <c r="B327" s="73"/>
      <c r="C327" s="73"/>
      <c r="D327" s="73"/>
      <c r="E327" s="73"/>
      <c r="F327" s="73"/>
    </row>
    <row r="328">
      <c r="A328" s="73"/>
      <c r="B328" s="73"/>
      <c r="C328" s="73"/>
      <c r="D328" s="73"/>
      <c r="E328" s="73"/>
      <c r="F328" s="73"/>
    </row>
    <row r="329">
      <c r="A329" s="73"/>
      <c r="B329" s="73"/>
      <c r="C329" s="73"/>
      <c r="D329" s="73"/>
      <c r="E329" s="73"/>
      <c r="F329" s="73"/>
    </row>
    <row r="330">
      <c r="A330" s="73"/>
      <c r="B330" s="73"/>
      <c r="C330" s="73"/>
      <c r="D330" s="73"/>
      <c r="E330" s="73"/>
      <c r="F330" s="73"/>
    </row>
    <row r="331">
      <c r="A331" s="73"/>
      <c r="B331" s="73"/>
      <c r="C331" s="73"/>
      <c r="D331" s="73"/>
      <c r="E331" s="73"/>
      <c r="F331" s="73"/>
    </row>
    <row r="332">
      <c r="A332" s="73"/>
      <c r="B332" s="73"/>
      <c r="C332" s="73"/>
      <c r="D332" s="73"/>
      <c r="E332" s="73"/>
      <c r="F332" s="73"/>
    </row>
    <row r="333">
      <c r="A333" s="73"/>
      <c r="B333" s="73"/>
      <c r="C333" s="73"/>
      <c r="D333" s="73"/>
      <c r="E333" s="73"/>
      <c r="F333" s="73"/>
    </row>
    <row r="334">
      <c r="A334" s="73"/>
      <c r="B334" s="73"/>
      <c r="C334" s="73"/>
      <c r="D334" s="73"/>
      <c r="E334" s="73"/>
      <c r="F334" s="73"/>
    </row>
    <row r="335">
      <c r="A335" s="73"/>
      <c r="B335" s="73"/>
      <c r="C335" s="73"/>
      <c r="D335" s="73"/>
      <c r="E335" s="73"/>
      <c r="F335" s="73"/>
    </row>
    <row r="336">
      <c r="A336" s="73"/>
      <c r="B336" s="73"/>
      <c r="C336" s="73"/>
      <c r="D336" s="73"/>
      <c r="E336" s="73"/>
      <c r="F336" s="73"/>
    </row>
    <row r="337">
      <c r="A337" s="73"/>
      <c r="B337" s="73"/>
      <c r="C337" s="73"/>
      <c r="D337" s="73"/>
      <c r="E337" s="73"/>
      <c r="F337" s="73"/>
    </row>
    <row r="338">
      <c r="A338" s="73"/>
      <c r="B338" s="73"/>
      <c r="C338" s="73"/>
      <c r="D338" s="73"/>
      <c r="E338" s="73"/>
      <c r="F338" s="73"/>
    </row>
    <row r="339">
      <c r="A339" s="73"/>
      <c r="B339" s="73"/>
      <c r="C339" s="73"/>
      <c r="D339" s="73"/>
      <c r="E339" s="73"/>
      <c r="F339" s="73"/>
    </row>
    <row r="340">
      <c r="A340" s="73"/>
      <c r="B340" s="73"/>
      <c r="C340" s="73"/>
      <c r="D340" s="73"/>
      <c r="E340" s="73"/>
      <c r="F340" s="73"/>
    </row>
    <row r="341">
      <c r="A341" s="73"/>
      <c r="B341" s="73"/>
      <c r="C341" s="73"/>
      <c r="D341" s="73"/>
      <c r="E341" s="73"/>
      <c r="F341" s="73"/>
    </row>
    <row r="342">
      <c r="A342" s="73"/>
      <c r="B342" s="73"/>
      <c r="C342" s="73"/>
      <c r="D342" s="73"/>
      <c r="E342" s="73"/>
      <c r="F342" s="73"/>
    </row>
    <row r="343">
      <c r="A343" s="73"/>
      <c r="B343" s="73"/>
      <c r="C343" s="73"/>
      <c r="D343" s="73"/>
      <c r="E343" s="73"/>
      <c r="F343" s="73"/>
    </row>
    <row r="344">
      <c r="A344" s="73"/>
      <c r="B344" s="73"/>
      <c r="C344" s="73"/>
      <c r="D344" s="73"/>
      <c r="E344" s="73"/>
      <c r="F344" s="73"/>
    </row>
    <row r="345">
      <c r="A345" s="73"/>
      <c r="B345" s="73"/>
      <c r="C345" s="73"/>
      <c r="D345" s="73"/>
      <c r="E345" s="73"/>
      <c r="F345" s="73"/>
    </row>
    <row r="346">
      <c r="A346" s="73"/>
      <c r="B346" s="73"/>
      <c r="C346" s="73"/>
      <c r="D346" s="73"/>
      <c r="E346" s="73"/>
      <c r="F346" s="73"/>
    </row>
    <row r="347">
      <c r="A347" s="73"/>
      <c r="B347" s="73"/>
      <c r="C347" s="73"/>
      <c r="D347" s="73"/>
      <c r="E347" s="73"/>
      <c r="F347" s="73"/>
    </row>
    <row r="348">
      <c r="A348" s="73"/>
      <c r="B348" s="73"/>
      <c r="C348" s="73"/>
      <c r="D348" s="73"/>
      <c r="E348" s="73"/>
      <c r="F348" s="73"/>
    </row>
    <row r="349">
      <c r="A349" s="73"/>
      <c r="B349" s="73"/>
      <c r="C349" s="73"/>
      <c r="D349" s="73"/>
      <c r="E349" s="73"/>
      <c r="F349" s="73"/>
    </row>
    <row r="350">
      <c r="A350" s="73"/>
      <c r="B350" s="73"/>
      <c r="C350" s="73"/>
      <c r="D350" s="73"/>
      <c r="E350" s="73"/>
      <c r="F350" s="73"/>
    </row>
    <row r="351">
      <c r="A351" s="73"/>
      <c r="B351" s="73"/>
      <c r="C351" s="73"/>
      <c r="D351" s="73"/>
      <c r="E351" s="73"/>
      <c r="F351" s="73"/>
    </row>
    <row r="352">
      <c r="A352" s="73"/>
      <c r="B352" s="73"/>
      <c r="C352" s="73"/>
      <c r="D352" s="73"/>
      <c r="E352" s="73"/>
      <c r="F352" s="73"/>
    </row>
    <row r="353">
      <c r="A353" s="73"/>
      <c r="B353" s="73"/>
      <c r="C353" s="73"/>
      <c r="D353" s="73"/>
      <c r="E353" s="73"/>
      <c r="F353" s="73"/>
    </row>
    <row r="354">
      <c r="A354" s="73"/>
      <c r="B354" s="73"/>
      <c r="C354" s="73"/>
      <c r="D354" s="73"/>
      <c r="E354" s="73"/>
      <c r="F354" s="73"/>
    </row>
    <row r="355">
      <c r="A355" s="73"/>
      <c r="B355" s="73"/>
      <c r="C355" s="73"/>
      <c r="D355" s="73"/>
      <c r="E355" s="73"/>
      <c r="F355" s="73"/>
    </row>
    <row r="356">
      <c r="A356" s="73"/>
      <c r="B356" s="73"/>
      <c r="C356" s="73"/>
      <c r="D356" s="73"/>
      <c r="E356" s="73"/>
      <c r="F356" s="73"/>
    </row>
    <row r="357">
      <c r="A357" s="73"/>
      <c r="B357" s="73"/>
      <c r="C357" s="73"/>
      <c r="D357" s="73"/>
      <c r="E357" s="73"/>
      <c r="F357" s="73"/>
    </row>
    <row r="358">
      <c r="A358" s="73"/>
      <c r="B358" s="73"/>
      <c r="C358" s="73"/>
      <c r="D358" s="73"/>
      <c r="E358" s="73"/>
      <c r="F358" s="73"/>
    </row>
    <row r="359">
      <c r="A359" s="73"/>
      <c r="B359" s="73"/>
      <c r="C359" s="73"/>
      <c r="D359" s="73"/>
      <c r="E359" s="73"/>
      <c r="F359" s="73"/>
    </row>
    <row r="360">
      <c r="A360" s="73"/>
      <c r="B360" s="73"/>
      <c r="C360" s="73"/>
      <c r="D360" s="73"/>
      <c r="E360" s="73"/>
      <c r="F360" s="73"/>
    </row>
    <row r="361">
      <c r="A361" s="73"/>
      <c r="B361" s="73"/>
      <c r="C361" s="73"/>
      <c r="D361" s="73"/>
      <c r="E361" s="73"/>
      <c r="F361" s="73"/>
    </row>
    <row r="362">
      <c r="A362" s="73"/>
      <c r="B362" s="73"/>
      <c r="C362" s="73"/>
      <c r="D362" s="73"/>
      <c r="E362" s="73"/>
      <c r="F362" s="73"/>
    </row>
    <row r="363">
      <c r="A363" s="73"/>
      <c r="B363" s="73"/>
      <c r="C363" s="73"/>
      <c r="D363" s="73"/>
      <c r="E363" s="73"/>
      <c r="F363" s="73"/>
    </row>
    <row r="364">
      <c r="A364" s="73"/>
      <c r="B364" s="73"/>
      <c r="C364" s="73"/>
      <c r="D364" s="73"/>
      <c r="E364" s="73"/>
      <c r="F364" s="73"/>
    </row>
    <row r="365">
      <c r="A365" s="73"/>
      <c r="B365" s="73"/>
      <c r="C365" s="73"/>
      <c r="D365" s="73"/>
      <c r="E365" s="73"/>
      <c r="F365" s="73"/>
    </row>
    <row r="366">
      <c r="A366" s="73"/>
      <c r="B366" s="73"/>
      <c r="C366" s="73"/>
      <c r="D366" s="73"/>
      <c r="E366" s="73"/>
      <c r="F366" s="73"/>
    </row>
    <row r="367">
      <c r="A367" s="73"/>
      <c r="B367" s="73"/>
      <c r="C367" s="73"/>
      <c r="D367" s="73"/>
      <c r="E367" s="73"/>
      <c r="F367" s="73"/>
    </row>
    <row r="368">
      <c r="A368" s="73"/>
      <c r="B368" s="73"/>
      <c r="C368" s="73"/>
      <c r="D368" s="73"/>
      <c r="E368" s="73"/>
      <c r="F368" s="73"/>
    </row>
    <row r="369">
      <c r="A369" s="73"/>
      <c r="B369" s="73"/>
      <c r="C369" s="73"/>
      <c r="D369" s="73"/>
      <c r="E369" s="73"/>
      <c r="F369" s="73"/>
    </row>
    <row r="370">
      <c r="A370" s="73"/>
      <c r="B370" s="73"/>
      <c r="C370" s="73"/>
      <c r="D370" s="73"/>
      <c r="E370" s="73"/>
      <c r="F370" s="73"/>
    </row>
    <row r="371">
      <c r="A371" s="73"/>
      <c r="B371" s="73"/>
      <c r="C371" s="73"/>
      <c r="D371" s="73"/>
      <c r="E371" s="73"/>
      <c r="F371" s="73"/>
    </row>
    <row r="372">
      <c r="A372" s="73"/>
      <c r="B372" s="73"/>
      <c r="C372" s="73"/>
      <c r="D372" s="73"/>
      <c r="E372" s="73"/>
      <c r="F372" s="73"/>
    </row>
    <row r="373">
      <c r="A373" s="73"/>
      <c r="B373" s="73"/>
      <c r="C373" s="73"/>
      <c r="D373" s="73"/>
      <c r="E373" s="73"/>
      <c r="F373" s="73"/>
    </row>
    <row r="374">
      <c r="A374" s="73"/>
      <c r="B374" s="73"/>
      <c r="C374" s="73"/>
      <c r="D374" s="73"/>
      <c r="E374" s="73"/>
      <c r="F374" s="73"/>
    </row>
    <row r="375">
      <c r="A375" s="73"/>
      <c r="B375" s="73"/>
      <c r="C375" s="73"/>
      <c r="D375" s="73"/>
      <c r="E375" s="73"/>
      <c r="F375" s="73"/>
    </row>
    <row r="376">
      <c r="A376" s="73"/>
      <c r="B376" s="73"/>
      <c r="C376" s="73"/>
      <c r="D376" s="73"/>
      <c r="E376" s="73"/>
      <c r="F376" s="73"/>
    </row>
    <row r="377">
      <c r="A377" s="73"/>
      <c r="B377" s="73"/>
      <c r="C377" s="73"/>
      <c r="D377" s="73"/>
      <c r="E377" s="73"/>
      <c r="F377" s="73"/>
    </row>
    <row r="378">
      <c r="A378" s="73"/>
      <c r="B378" s="73"/>
      <c r="C378" s="73"/>
      <c r="D378" s="73"/>
      <c r="E378" s="73"/>
      <c r="F378" s="73"/>
    </row>
    <row r="379">
      <c r="A379" s="73"/>
      <c r="B379" s="73"/>
      <c r="C379" s="73"/>
      <c r="D379" s="73"/>
      <c r="E379" s="73"/>
      <c r="F379" s="73"/>
    </row>
    <row r="380">
      <c r="A380" s="73"/>
      <c r="B380" s="73"/>
      <c r="C380" s="73"/>
      <c r="D380" s="73"/>
      <c r="E380" s="73"/>
      <c r="F380" s="73"/>
    </row>
    <row r="381">
      <c r="A381" s="73"/>
      <c r="B381" s="73"/>
      <c r="C381" s="73"/>
      <c r="D381" s="73"/>
      <c r="E381" s="73"/>
      <c r="F381" s="73"/>
    </row>
    <row r="382">
      <c r="A382" s="73"/>
      <c r="B382" s="73"/>
      <c r="C382" s="73"/>
      <c r="D382" s="73"/>
      <c r="E382" s="73"/>
      <c r="F382" s="73"/>
    </row>
    <row r="383">
      <c r="A383" s="73"/>
      <c r="B383" s="73"/>
      <c r="C383" s="73"/>
      <c r="D383" s="73"/>
      <c r="E383" s="73"/>
      <c r="F383" s="73"/>
    </row>
    <row r="384">
      <c r="A384" s="73"/>
      <c r="B384" s="73"/>
      <c r="C384" s="73"/>
      <c r="D384" s="73"/>
      <c r="E384" s="73"/>
      <c r="F384" s="73"/>
    </row>
    <row r="385">
      <c r="A385" s="73"/>
      <c r="B385" s="73"/>
      <c r="C385" s="73"/>
      <c r="D385" s="73"/>
      <c r="E385" s="73"/>
      <c r="F385" s="73"/>
    </row>
    <row r="386">
      <c r="A386" s="73"/>
      <c r="B386" s="73"/>
      <c r="C386" s="73"/>
      <c r="D386" s="73"/>
      <c r="E386" s="73"/>
      <c r="F386" s="73"/>
    </row>
    <row r="387">
      <c r="A387" s="73"/>
      <c r="B387" s="73"/>
      <c r="C387" s="73"/>
      <c r="D387" s="73"/>
      <c r="E387" s="73"/>
      <c r="F387" s="73"/>
    </row>
    <row r="388">
      <c r="A388" s="73"/>
      <c r="B388" s="73"/>
      <c r="C388" s="73"/>
      <c r="D388" s="73"/>
      <c r="E388" s="73"/>
      <c r="F388" s="73"/>
    </row>
    <row r="389">
      <c r="A389" s="73"/>
      <c r="B389" s="73"/>
      <c r="C389" s="73"/>
      <c r="D389" s="73"/>
      <c r="E389" s="73"/>
      <c r="F389" s="73"/>
    </row>
    <row r="390">
      <c r="A390" s="73"/>
      <c r="B390" s="73"/>
      <c r="C390" s="73"/>
      <c r="D390" s="73"/>
      <c r="E390" s="73"/>
      <c r="F390" s="73"/>
    </row>
    <row r="391">
      <c r="A391" s="73"/>
      <c r="B391" s="73"/>
      <c r="C391" s="73"/>
      <c r="D391" s="73"/>
      <c r="E391" s="73"/>
      <c r="F391" s="73"/>
    </row>
    <row r="392">
      <c r="A392" s="73"/>
      <c r="B392" s="73"/>
      <c r="C392" s="73"/>
      <c r="D392" s="73"/>
      <c r="E392" s="73"/>
      <c r="F392" s="73"/>
    </row>
    <row r="393">
      <c r="A393" s="73"/>
      <c r="B393" s="73"/>
      <c r="C393" s="73"/>
      <c r="D393" s="73"/>
      <c r="E393" s="73"/>
      <c r="F393" s="73"/>
    </row>
    <row r="394">
      <c r="A394" s="73"/>
      <c r="B394" s="73"/>
      <c r="C394" s="73"/>
      <c r="D394" s="73"/>
      <c r="E394" s="73"/>
      <c r="F394" s="73"/>
    </row>
    <row r="395">
      <c r="A395" s="73"/>
      <c r="B395" s="73"/>
      <c r="C395" s="73"/>
      <c r="D395" s="73"/>
      <c r="E395" s="73"/>
      <c r="F395" s="73"/>
    </row>
    <row r="396">
      <c r="A396" s="73"/>
      <c r="B396" s="73"/>
      <c r="C396" s="73"/>
      <c r="D396" s="73"/>
      <c r="E396" s="73"/>
      <c r="F396" s="73"/>
    </row>
    <row r="397">
      <c r="A397" s="73"/>
      <c r="B397" s="73"/>
      <c r="C397" s="73"/>
      <c r="D397" s="73"/>
      <c r="E397" s="73"/>
      <c r="F397" s="73"/>
    </row>
    <row r="398">
      <c r="A398" s="73"/>
      <c r="B398" s="73"/>
      <c r="C398" s="73"/>
      <c r="D398" s="73"/>
      <c r="E398" s="73"/>
      <c r="F398" s="73"/>
    </row>
    <row r="399">
      <c r="A399" s="73"/>
      <c r="B399" s="73"/>
      <c r="C399" s="73"/>
      <c r="D399" s="73"/>
      <c r="E399" s="73"/>
      <c r="F399" s="73"/>
    </row>
    <row r="400">
      <c r="A400" s="73"/>
      <c r="B400" s="73"/>
      <c r="C400" s="73"/>
      <c r="D400" s="73"/>
      <c r="E400" s="73"/>
      <c r="F400" s="73"/>
    </row>
    <row r="401">
      <c r="A401" s="73"/>
      <c r="B401" s="73"/>
      <c r="C401" s="73"/>
      <c r="D401" s="73"/>
      <c r="E401" s="73"/>
      <c r="F401" s="73"/>
    </row>
    <row r="402">
      <c r="A402" s="73"/>
      <c r="B402" s="73"/>
      <c r="C402" s="73"/>
      <c r="D402" s="73"/>
      <c r="E402" s="73"/>
      <c r="F402" s="73"/>
    </row>
    <row r="403">
      <c r="A403" s="73"/>
      <c r="B403" s="73"/>
      <c r="C403" s="73"/>
      <c r="D403" s="73"/>
      <c r="E403" s="73"/>
      <c r="F403" s="73"/>
    </row>
    <row r="404">
      <c r="A404" s="73"/>
      <c r="B404" s="73"/>
      <c r="C404" s="73"/>
      <c r="D404" s="73"/>
      <c r="E404" s="73"/>
      <c r="F404" s="73"/>
    </row>
    <row r="405">
      <c r="A405" s="73"/>
      <c r="B405" s="73"/>
      <c r="C405" s="73"/>
      <c r="D405" s="73"/>
      <c r="E405" s="73"/>
      <c r="F405" s="73"/>
    </row>
    <row r="406">
      <c r="A406" s="73"/>
      <c r="B406" s="73"/>
      <c r="C406" s="73"/>
      <c r="D406" s="73"/>
      <c r="E406" s="73"/>
      <c r="F406" s="73"/>
    </row>
    <row r="407">
      <c r="A407" s="73"/>
      <c r="B407" s="73"/>
      <c r="C407" s="73"/>
      <c r="D407" s="73"/>
      <c r="E407" s="73"/>
      <c r="F407" s="73"/>
    </row>
    <row r="408">
      <c r="A408" s="73"/>
      <c r="B408" s="73"/>
      <c r="C408" s="73"/>
      <c r="D408" s="73"/>
      <c r="E408" s="73"/>
      <c r="F408" s="73"/>
    </row>
    <row r="409">
      <c r="A409" s="73"/>
      <c r="B409" s="73"/>
      <c r="C409" s="73"/>
      <c r="D409" s="73"/>
      <c r="E409" s="73"/>
      <c r="F409" s="73"/>
    </row>
    <row r="410">
      <c r="A410" s="73"/>
      <c r="B410" s="73"/>
      <c r="C410" s="73"/>
      <c r="D410" s="73"/>
      <c r="E410" s="73"/>
      <c r="F410" s="73"/>
    </row>
    <row r="411">
      <c r="A411" s="73"/>
      <c r="B411" s="73"/>
      <c r="C411" s="73"/>
      <c r="D411" s="73"/>
      <c r="E411" s="73"/>
      <c r="F411" s="73"/>
    </row>
    <row r="412">
      <c r="A412" s="73"/>
      <c r="B412" s="73"/>
      <c r="C412" s="73"/>
      <c r="D412" s="73"/>
      <c r="E412" s="73"/>
      <c r="F412" s="73"/>
    </row>
    <row r="413">
      <c r="A413" s="73"/>
      <c r="B413" s="73"/>
      <c r="C413" s="73"/>
      <c r="D413" s="73"/>
      <c r="E413" s="73"/>
      <c r="F413" s="73"/>
    </row>
    <row r="414">
      <c r="A414" s="73"/>
      <c r="B414" s="73"/>
      <c r="C414" s="73"/>
      <c r="D414" s="73"/>
      <c r="E414" s="73"/>
      <c r="F414" s="73"/>
    </row>
    <row r="415">
      <c r="A415" s="73"/>
      <c r="B415" s="73"/>
      <c r="C415" s="73"/>
      <c r="D415" s="73"/>
      <c r="E415" s="73"/>
      <c r="F415" s="73"/>
    </row>
    <row r="416">
      <c r="A416" s="73"/>
      <c r="B416" s="73"/>
      <c r="C416" s="73"/>
      <c r="D416" s="73"/>
      <c r="E416" s="73"/>
      <c r="F416" s="73"/>
    </row>
    <row r="417">
      <c r="A417" s="73"/>
      <c r="B417" s="73"/>
      <c r="C417" s="73"/>
      <c r="D417" s="73"/>
      <c r="E417" s="73"/>
      <c r="F417" s="73"/>
    </row>
    <row r="418">
      <c r="A418" s="73"/>
      <c r="B418" s="73"/>
      <c r="C418" s="73"/>
      <c r="D418" s="73"/>
      <c r="E418" s="73"/>
      <c r="F418" s="73"/>
    </row>
    <row r="419">
      <c r="A419" s="73"/>
      <c r="B419" s="73"/>
      <c r="C419" s="73"/>
      <c r="D419" s="73"/>
      <c r="E419" s="73"/>
      <c r="F419" s="73"/>
    </row>
    <row r="420">
      <c r="A420" s="73"/>
      <c r="B420" s="73"/>
      <c r="C420" s="73"/>
      <c r="D420" s="73"/>
      <c r="E420" s="73"/>
      <c r="F420" s="73"/>
    </row>
    <row r="421">
      <c r="A421" s="73"/>
      <c r="B421" s="73"/>
      <c r="C421" s="73"/>
      <c r="D421" s="73"/>
      <c r="E421" s="73"/>
      <c r="F421" s="73"/>
    </row>
    <row r="422">
      <c r="A422" s="73"/>
      <c r="B422" s="73"/>
      <c r="C422" s="73"/>
      <c r="D422" s="73"/>
      <c r="E422" s="73"/>
      <c r="F422" s="73"/>
    </row>
    <row r="423">
      <c r="A423" s="73"/>
      <c r="B423" s="73"/>
      <c r="C423" s="73"/>
      <c r="D423" s="73"/>
      <c r="E423" s="73"/>
      <c r="F423" s="73"/>
    </row>
    <row r="424">
      <c r="A424" s="73"/>
      <c r="B424" s="73"/>
      <c r="C424" s="73"/>
      <c r="D424" s="73"/>
      <c r="E424" s="73"/>
      <c r="F424" s="73"/>
    </row>
    <row r="425">
      <c r="A425" s="73"/>
      <c r="B425" s="73"/>
      <c r="C425" s="73"/>
      <c r="D425" s="73"/>
      <c r="E425" s="73"/>
      <c r="F425" s="73"/>
    </row>
    <row r="426">
      <c r="A426" s="73"/>
      <c r="B426" s="73"/>
      <c r="C426" s="73"/>
      <c r="D426" s="73"/>
      <c r="E426" s="73"/>
      <c r="F426" s="73"/>
    </row>
    <row r="427">
      <c r="A427" s="73"/>
      <c r="B427" s="73"/>
      <c r="C427" s="73"/>
      <c r="D427" s="73"/>
      <c r="E427" s="73"/>
      <c r="F427" s="73"/>
    </row>
    <row r="428">
      <c r="A428" s="73"/>
      <c r="B428" s="73"/>
      <c r="C428" s="73"/>
      <c r="D428" s="73"/>
      <c r="E428" s="73"/>
      <c r="F428" s="73"/>
    </row>
    <row r="429">
      <c r="A429" s="73"/>
      <c r="B429" s="73"/>
      <c r="C429" s="73"/>
      <c r="D429" s="73"/>
      <c r="E429" s="73"/>
      <c r="F429" s="73"/>
    </row>
    <row r="430">
      <c r="A430" s="73"/>
      <c r="B430" s="73"/>
      <c r="C430" s="73"/>
      <c r="D430" s="73"/>
      <c r="E430" s="73"/>
      <c r="F430" s="73"/>
    </row>
    <row r="431">
      <c r="A431" s="73"/>
      <c r="B431" s="73"/>
      <c r="C431" s="73"/>
      <c r="D431" s="73"/>
      <c r="E431" s="73"/>
      <c r="F431" s="73"/>
    </row>
    <row r="432">
      <c r="A432" s="73"/>
      <c r="B432" s="73"/>
      <c r="C432" s="73"/>
      <c r="D432" s="73"/>
      <c r="E432" s="73"/>
      <c r="F432" s="73"/>
    </row>
    <row r="433">
      <c r="A433" s="73"/>
      <c r="B433" s="73"/>
      <c r="C433" s="73"/>
      <c r="D433" s="73"/>
      <c r="E433" s="73"/>
      <c r="F433" s="73"/>
    </row>
    <row r="434">
      <c r="A434" s="73"/>
      <c r="B434" s="73"/>
      <c r="C434" s="73"/>
      <c r="D434" s="73"/>
      <c r="E434" s="73"/>
      <c r="F434" s="73"/>
    </row>
    <row r="435">
      <c r="A435" s="73"/>
      <c r="B435" s="73"/>
      <c r="C435" s="73"/>
      <c r="D435" s="73"/>
      <c r="E435" s="73"/>
      <c r="F435" s="73"/>
    </row>
    <row r="436">
      <c r="A436" s="73"/>
      <c r="B436" s="73"/>
      <c r="C436" s="73"/>
      <c r="D436" s="73"/>
      <c r="E436" s="73"/>
      <c r="F436" s="73"/>
    </row>
    <row r="437">
      <c r="A437" s="73"/>
      <c r="B437" s="73"/>
      <c r="C437" s="73"/>
      <c r="D437" s="73"/>
      <c r="E437" s="73"/>
      <c r="F437" s="73"/>
    </row>
    <row r="438">
      <c r="A438" s="73"/>
      <c r="B438" s="73"/>
      <c r="C438" s="73"/>
      <c r="D438" s="73"/>
      <c r="E438" s="73"/>
      <c r="F438" s="73"/>
    </row>
    <row r="439">
      <c r="A439" s="73"/>
      <c r="B439" s="73"/>
      <c r="C439" s="73"/>
      <c r="D439" s="73"/>
      <c r="E439" s="73"/>
      <c r="F439" s="73"/>
    </row>
    <row r="440">
      <c r="A440" s="73"/>
      <c r="B440" s="73"/>
      <c r="C440" s="73"/>
      <c r="D440" s="73"/>
      <c r="E440" s="73"/>
      <c r="F440" s="73"/>
    </row>
    <row r="441">
      <c r="A441" s="73"/>
      <c r="B441" s="73"/>
      <c r="C441" s="73"/>
      <c r="D441" s="73"/>
      <c r="E441" s="73"/>
      <c r="F441" s="73"/>
    </row>
    <row r="442">
      <c r="A442" s="73"/>
      <c r="B442" s="73"/>
      <c r="C442" s="73"/>
      <c r="D442" s="73"/>
      <c r="E442" s="73"/>
      <c r="F442" s="73"/>
    </row>
    <row r="443">
      <c r="A443" s="73"/>
      <c r="B443" s="73"/>
      <c r="C443" s="73"/>
      <c r="D443" s="73"/>
      <c r="E443" s="73"/>
      <c r="F443" s="73"/>
    </row>
    <row r="444">
      <c r="A444" s="73"/>
      <c r="B444" s="73"/>
      <c r="C444" s="73"/>
      <c r="D444" s="73"/>
      <c r="E444" s="73"/>
      <c r="F444" s="73"/>
    </row>
    <row r="445">
      <c r="A445" s="73"/>
      <c r="B445" s="73"/>
      <c r="C445" s="73"/>
      <c r="D445" s="73"/>
      <c r="E445" s="73"/>
      <c r="F445" s="73"/>
    </row>
    <row r="446">
      <c r="A446" s="73"/>
      <c r="B446" s="73"/>
      <c r="C446" s="73"/>
      <c r="D446" s="73"/>
      <c r="E446" s="73"/>
      <c r="F446" s="73"/>
    </row>
    <row r="447">
      <c r="A447" s="73"/>
      <c r="B447" s="73"/>
      <c r="C447" s="73"/>
      <c r="D447" s="73"/>
      <c r="E447" s="73"/>
      <c r="F447" s="73"/>
    </row>
    <row r="448">
      <c r="A448" s="73"/>
      <c r="B448" s="73"/>
      <c r="C448" s="73"/>
      <c r="D448" s="73"/>
      <c r="E448" s="73"/>
      <c r="F448" s="73"/>
    </row>
    <row r="449">
      <c r="A449" s="73"/>
      <c r="B449" s="73"/>
      <c r="C449" s="73"/>
      <c r="D449" s="73"/>
      <c r="E449" s="73"/>
      <c r="F449" s="73"/>
    </row>
    <row r="450">
      <c r="A450" s="73"/>
      <c r="B450" s="73"/>
      <c r="C450" s="73"/>
      <c r="D450" s="73"/>
      <c r="E450" s="73"/>
      <c r="F450" s="73"/>
    </row>
    <row r="451">
      <c r="A451" s="73"/>
      <c r="B451" s="73"/>
      <c r="C451" s="73"/>
      <c r="D451" s="73"/>
      <c r="E451" s="73"/>
      <c r="F451" s="73"/>
    </row>
    <row r="452">
      <c r="A452" s="73"/>
      <c r="B452" s="73"/>
      <c r="C452" s="73"/>
      <c r="D452" s="73"/>
      <c r="E452" s="73"/>
      <c r="F452" s="73"/>
    </row>
    <row r="453">
      <c r="A453" s="73"/>
      <c r="B453" s="73"/>
      <c r="C453" s="73"/>
      <c r="D453" s="73"/>
      <c r="E453" s="73"/>
      <c r="F453" s="73"/>
    </row>
    <row r="454">
      <c r="A454" s="73"/>
      <c r="B454" s="73"/>
      <c r="C454" s="73"/>
      <c r="D454" s="73"/>
      <c r="E454" s="73"/>
      <c r="F454" s="73"/>
    </row>
    <row r="455">
      <c r="A455" s="73"/>
      <c r="B455" s="73"/>
      <c r="C455" s="73"/>
      <c r="D455" s="73"/>
      <c r="E455" s="73"/>
      <c r="F455" s="73"/>
    </row>
    <row r="456">
      <c r="A456" s="73"/>
      <c r="B456" s="73"/>
      <c r="C456" s="73"/>
      <c r="D456" s="73"/>
      <c r="E456" s="73"/>
      <c r="F456" s="73"/>
    </row>
    <row r="457">
      <c r="A457" s="73"/>
      <c r="B457" s="73"/>
      <c r="C457" s="73"/>
      <c r="D457" s="73"/>
      <c r="E457" s="73"/>
      <c r="F457" s="73"/>
    </row>
    <row r="458">
      <c r="A458" s="73"/>
      <c r="B458" s="73"/>
      <c r="C458" s="73"/>
      <c r="D458" s="73"/>
      <c r="E458" s="73"/>
      <c r="F458" s="73"/>
    </row>
    <row r="459">
      <c r="A459" s="73"/>
      <c r="B459" s="73"/>
      <c r="C459" s="73"/>
      <c r="D459" s="73"/>
      <c r="E459" s="73"/>
      <c r="F459" s="73"/>
    </row>
    <row r="460">
      <c r="A460" s="73"/>
      <c r="B460" s="73"/>
      <c r="C460" s="73"/>
      <c r="D460" s="73"/>
      <c r="E460" s="73"/>
      <c r="F460" s="73"/>
    </row>
    <row r="461">
      <c r="A461" s="73"/>
      <c r="B461" s="73"/>
      <c r="C461" s="73"/>
      <c r="D461" s="73"/>
      <c r="E461" s="73"/>
      <c r="F461" s="73"/>
    </row>
    <row r="462">
      <c r="A462" s="73"/>
      <c r="B462" s="73"/>
      <c r="C462" s="73"/>
      <c r="D462" s="73"/>
      <c r="E462" s="73"/>
      <c r="F462" s="73"/>
    </row>
    <row r="463">
      <c r="A463" s="73"/>
      <c r="B463" s="73"/>
      <c r="C463" s="73"/>
      <c r="D463" s="73"/>
      <c r="E463" s="73"/>
      <c r="F463" s="73"/>
    </row>
    <row r="464">
      <c r="A464" s="73"/>
      <c r="B464" s="73"/>
      <c r="C464" s="73"/>
      <c r="D464" s="73"/>
      <c r="E464" s="73"/>
      <c r="F464" s="73"/>
    </row>
    <row r="465">
      <c r="A465" s="73"/>
      <c r="B465" s="73"/>
      <c r="C465" s="73"/>
      <c r="D465" s="73"/>
      <c r="E465" s="73"/>
      <c r="F465" s="73"/>
    </row>
    <row r="466">
      <c r="A466" s="73"/>
      <c r="B466" s="73"/>
      <c r="C466" s="73"/>
      <c r="D466" s="73"/>
      <c r="E466" s="73"/>
      <c r="F466" s="73"/>
    </row>
    <row r="467">
      <c r="A467" s="73"/>
      <c r="B467" s="73"/>
      <c r="C467" s="73"/>
      <c r="D467" s="73"/>
      <c r="E467" s="73"/>
      <c r="F467" s="73"/>
    </row>
    <row r="468">
      <c r="A468" s="73"/>
      <c r="B468" s="73"/>
      <c r="C468" s="73"/>
      <c r="D468" s="73"/>
      <c r="E468" s="73"/>
      <c r="F468" s="73"/>
    </row>
    <row r="469">
      <c r="A469" s="73"/>
      <c r="B469" s="73"/>
      <c r="C469" s="73"/>
      <c r="D469" s="73"/>
      <c r="E469" s="73"/>
      <c r="F469" s="73"/>
    </row>
    <row r="470">
      <c r="A470" s="73"/>
      <c r="B470" s="73"/>
      <c r="C470" s="73"/>
      <c r="D470" s="73"/>
      <c r="E470" s="73"/>
      <c r="F470" s="73"/>
    </row>
    <row r="471">
      <c r="A471" s="73"/>
      <c r="B471" s="73"/>
      <c r="C471" s="73"/>
      <c r="D471" s="73"/>
      <c r="E471" s="73"/>
      <c r="F471" s="73"/>
    </row>
    <row r="472">
      <c r="A472" s="73"/>
      <c r="B472" s="73"/>
      <c r="C472" s="73"/>
      <c r="D472" s="73"/>
      <c r="E472" s="73"/>
      <c r="F472" s="73"/>
    </row>
    <row r="473">
      <c r="A473" s="73"/>
      <c r="B473" s="73"/>
      <c r="C473" s="73"/>
      <c r="D473" s="73"/>
      <c r="E473" s="73"/>
      <c r="F473" s="73"/>
    </row>
    <row r="474">
      <c r="A474" s="73"/>
      <c r="B474" s="73"/>
      <c r="C474" s="73"/>
      <c r="D474" s="73"/>
      <c r="E474" s="73"/>
      <c r="F474" s="73"/>
    </row>
    <row r="475">
      <c r="A475" s="73"/>
      <c r="B475" s="73"/>
      <c r="C475" s="73"/>
      <c r="D475" s="73"/>
      <c r="E475" s="73"/>
      <c r="F475" s="73"/>
    </row>
    <row r="476">
      <c r="A476" s="73"/>
      <c r="B476" s="73"/>
      <c r="C476" s="73"/>
      <c r="D476" s="73"/>
      <c r="E476" s="73"/>
      <c r="F476" s="73"/>
    </row>
    <row r="477">
      <c r="A477" s="73"/>
      <c r="B477" s="73"/>
      <c r="C477" s="73"/>
      <c r="D477" s="73"/>
      <c r="E477" s="73"/>
      <c r="F477" s="73"/>
    </row>
    <row r="478">
      <c r="A478" s="73"/>
      <c r="B478" s="73"/>
      <c r="C478" s="73"/>
      <c r="D478" s="73"/>
      <c r="E478" s="73"/>
      <c r="F478" s="73"/>
    </row>
    <row r="479">
      <c r="A479" s="73"/>
      <c r="B479" s="73"/>
      <c r="C479" s="73"/>
      <c r="D479" s="73"/>
      <c r="E479" s="73"/>
      <c r="F479" s="73"/>
    </row>
    <row r="480">
      <c r="A480" s="73"/>
      <c r="B480" s="73"/>
      <c r="C480" s="73"/>
      <c r="D480" s="73"/>
      <c r="E480" s="73"/>
      <c r="F480" s="73"/>
    </row>
    <row r="481">
      <c r="A481" s="73"/>
      <c r="B481" s="73"/>
      <c r="C481" s="73"/>
      <c r="D481" s="73"/>
      <c r="E481" s="73"/>
      <c r="F481" s="73"/>
    </row>
    <row r="482">
      <c r="A482" s="73"/>
      <c r="B482" s="73"/>
      <c r="C482" s="73"/>
      <c r="D482" s="73"/>
      <c r="E482" s="73"/>
      <c r="F482" s="73"/>
    </row>
    <row r="483">
      <c r="A483" s="73"/>
      <c r="B483" s="73"/>
      <c r="C483" s="73"/>
      <c r="D483" s="73"/>
      <c r="E483" s="73"/>
      <c r="F483" s="73"/>
    </row>
    <row r="484">
      <c r="A484" s="73"/>
      <c r="B484" s="73"/>
      <c r="C484" s="73"/>
      <c r="D484" s="73"/>
      <c r="E484" s="73"/>
      <c r="F484" s="73"/>
    </row>
    <row r="485">
      <c r="A485" s="73"/>
      <c r="B485" s="73"/>
      <c r="C485" s="73"/>
      <c r="D485" s="73"/>
      <c r="E485" s="73"/>
      <c r="F485" s="73"/>
    </row>
    <row r="486">
      <c r="A486" s="73"/>
      <c r="B486" s="73"/>
      <c r="C486" s="73"/>
      <c r="D486" s="73"/>
      <c r="E486" s="73"/>
      <c r="F486" s="73"/>
    </row>
    <row r="487">
      <c r="A487" s="73"/>
      <c r="B487" s="73"/>
      <c r="C487" s="73"/>
      <c r="D487" s="73"/>
      <c r="E487" s="73"/>
      <c r="F487" s="73"/>
    </row>
    <row r="488">
      <c r="A488" s="73"/>
      <c r="B488" s="73"/>
      <c r="C488" s="73"/>
      <c r="D488" s="73"/>
      <c r="E488" s="73"/>
      <c r="F488" s="73"/>
    </row>
    <row r="489">
      <c r="A489" s="73"/>
      <c r="B489" s="73"/>
      <c r="C489" s="73"/>
      <c r="D489" s="73"/>
      <c r="E489" s="73"/>
      <c r="F489" s="73"/>
    </row>
    <row r="490">
      <c r="A490" s="73"/>
      <c r="B490" s="73"/>
      <c r="C490" s="73"/>
      <c r="D490" s="73"/>
      <c r="E490" s="73"/>
      <c r="F490" s="73"/>
    </row>
    <row r="491">
      <c r="A491" s="73"/>
      <c r="B491" s="73"/>
      <c r="C491" s="73"/>
      <c r="D491" s="73"/>
      <c r="E491" s="73"/>
      <c r="F491" s="73"/>
    </row>
    <row r="492">
      <c r="A492" s="73"/>
      <c r="B492" s="73"/>
      <c r="C492" s="73"/>
      <c r="D492" s="73"/>
      <c r="E492" s="73"/>
      <c r="F492" s="73"/>
    </row>
    <row r="493">
      <c r="A493" s="73"/>
      <c r="B493" s="73"/>
      <c r="C493" s="73"/>
      <c r="D493" s="73"/>
      <c r="E493" s="73"/>
      <c r="F493" s="73"/>
    </row>
    <row r="494">
      <c r="A494" s="73"/>
      <c r="B494" s="73"/>
      <c r="C494" s="73"/>
      <c r="D494" s="73"/>
      <c r="E494" s="73"/>
      <c r="F494" s="73"/>
    </row>
    <row r="495">
      <c r="A495" s="73"/>
      <c r="B495" s="73"/>
      <c r="C495" s="73"/>
      <c r="D495" s="73"/>
      <c r="E495" s="73"/>
      <c r="F495" s="73"/>
    </row>
    <row r="496">
      <c r="A496" s="73"/>
      <c r="B496" s="73"/>
      <c r="C496" s="73"/>
      <c r="D496" s="73"/>
      <c r="E496" s="73"/>
      <c r="F496" s="73"/>
    </row>
    <row r="497">
      <c r="A497" s="73"/>
      <c r="B497" s="73"/>
      <c r="C497" s="73"/>
      <c r="D497" s="73"/>
      <c r="E497" s="73"/>
      <c r="F497" s="73"/>
    </row>
    <row r="498">
      <c r="A498" s="73"/>
      <c r="B498" s="73"/>
      <c r="C498" s="73"/>
      <c r="D498" s="73"/>
      <c r="E498" s="73"/>
      <c r="F498" s="73"/>
    </row>
    <row r="499">
      <c r="A499" s="73"/>
      <c r="B499" s="73"/>
      <c r="C499" s="73"/>
      <c r="D499" s="73"/>
      <c r="E499" s="73"/>
      <c r="F499" s="73"/>
    </row>
    <row r="500">
      <c r="A500" s="73"/>
      <c r="B500" s="73"/>
      <c r="C500" s="73"/>
      <c r="D500" s="73"/>
      <c r="E500" s="73"/>
      <c r="F500" s="73"/>
    </row>
    <row r="501">
      <c r="A501" s="73"/>
      <c r="B501" s="73"/>
      <c r="C501" s="73"/>
      <c r="D501" s="73"/>
      <c r="E501" s="73"/>
      <c r="F501" s="73"/>
    </row>
    <row r="502">
      <c r="A502" s="73"/>
      <c r="B502" s="73"/>
      <c r="C502" s="73"/>
      <c r="D502" s="73"/>
      <c r="E502" s="73"/>
      <c r="F502" s="73"/>
    </row>
    <row r="503">
      <c r="A503" s="73"/>
      <c r="B503" s="73"/>
      <c r="C503" s="73"/>
      <c r="D503" s="73"/>
      <c r="E503" s="73"/>
      <c r="F503" s="73"/>
    </row>
    <row r="504">
      <c r="A504" s="73"/>
      <c r="B504" s="73"/>
      <c r="C504" s="73"/>
      <c r="D504" s="73"/>
      <c r="E504" s="73"/>
      <c r="F504" s="73"/>
    </row>
    <row r="505">
      <c r="A505" s="73"/>
      <c r="B505" s="73"/>
      <c r="C505" s="73"/>
      <c r="D505" s="73"/>
      <c r="E505" s="73"/>
      <c r="F505" s="73"/>
    </row>
    <row r="506">
      <c r="A506" s="73"/>
      <c r="B506" s="73"/>
      <c r="C506" s="73"/>
      <c r="D506" s="73"/>
      <c r="E506" s="73"/>
      <c r="F506" s="73"/>
    </row>
    <row r="507">
      <c r="A507" s="73"/>
      <c r="B507" s="73"/>
      <c r="C507" s="73"/>
      <c r="D507" s="73"/>
      <c r="E507" s="73"/>
      <c r="F507" s="73"/>
    </row>
    <row r="508">
      <c r="A508" s="73"/>
      <c r="B508" s="73"/>
      <c r="C508" s="73"/>
      <c r="D508" s="73"/>
      <c r="E508" s="73"/>
      <c r="F508" s="73"/>
    </row>
    <row r="509">
      <c r="A509" s="73"/>
      <c r="B509" s="73"/>
      <c r="C509" s="73"/>
      <c r="D509" s="73"/>
      <c r="E509" s="73"/>
      <c r="F509" s="73"/>
    </row>
    <row r="510">
      <c r="A510" s="73"/>
      <c r="B510" s="73"/>
      <c r="C510" s="73"/>
      <c r="D510" s="73"/>
      <c r="E510" s="73"/>
      <c r="F510" s="73"/>
    </row>
    <row r="511">
      <c r="A511" s="73"/>
      <c r="B511" s="73"/>
      <c r="C511" s="73"/>
      <c r="D511" s="73"/>
      <c r="E511" s="73"/>
      <c r="F511" s="73"/>
    </row>
    <row r="512">
      <c r="A512" s="73"/>
      <c r="B512" s="73"/>
      <c r="C512" s="73"/>
      <c r="D512" s="73"/>
      <c r="E512" s="73"/>
      <c r="F512" s="73"/>
    </row>
    <row r="513">
      <c r="A513" s="73"/>
      <c r="B513" s="73"/>
      <c r="C513" s="73"/>
      <c r="D513" s="73"/>
      <c r="E513" s="73"/>
      <c r="F513" s="73"/>
    </row>
    <row r="514">
      <c r="A514" s="73"/>
      <c r="B514" s="73"/>
      <c r="C514" s="73"/>
      <c r="D514" s="73"/>
      <c r="E514" s="73"/>
      <c r="F514" s="73"/>
    </row>
    <row r="515">
      <c r="A515" s="73"/>
      <c r="B515" s="73"/>
      <c r="C515" s="73"/>
      <c r="D515" s="73"/>
      <c r="E515" s="73"/>
      <c r="F515" s="73"/>
    </row>
    <row r="516">
      <c r="A516" s="73"/>
      <c r="B516" s="73"/>
      <c r="C516" s="73"/>
      <c r="D516" s="73"/>
      <c r="E516" s="73"/>
      <c r="F516" s="73"/>
    </row>
    <row r="517">
      <c r="A517" s="73"/>
      <c r="B517" s="73"/>
      <c r="C517" s="73"/>
      <c r="D517" s="73"/>
      <c r="E517" s="73"/>
      <c r="F517" s="73"/>
    </row>
    <row r="518">
      <c r="A518" s="73"/>
      <c r="B518" s="73"/>
      <c r="C518" s="73"/>
      <c r="D518" s="73"/>
      <c r="E518" s="73"/>
      <c r="F518" s="73"/>
    </row>
    <row r="519">
      <c r="A519" s="73"/>
      <c r="B519" s="73"/>
      <c r="C519" s="73"/>
      <c r="D519" s="73"/>
      <c r="E519" s="73"/>
      <c r="F519" s="73"/>
    </row>
    <row r="520">
      <c r="A520" s="73"/>
      <c r="B520" s="73"/>
      <c r="C520" s="73"/>
      <c r="D520" s="73"/>
      <c r="E520" s="73"/>
      <c r="F520" s="73"/>
    </row>
    <row r="521">
      <c r="A521" s="73"/>
      <c r="B521" s="73"/>
      <c r="C521" s="73"/>
      <c r="D521" s="73"/>
      <c r="E521" s="73"/>
      <c r="F521" s="73"/>
    </row>
    <row r="522">
      <c r="A522" s="73"/>
      <c r="B522" s="73"/>
      <c r="C522" s="73"/>
      <c r="D522" s="73"/>
      <c r="E522" s="73"/>
      <c r="F522" s="73"/>
    </row>
    <row r="523">
      <c r="A523" s="73"/>
      <c r="B523" s="73"/>
      <c r="C523" s="73"/>
      <c r="D523" s="73"/>
      <c r="E523" s="73"/>
      <c r="F523" s="73"/>
    </row>
    <row r="524">
      <c r="A524" s="73"/>
      <c r="B524" s="73"/>
      <c r="C524" s="73"/>
      <c r="D524" s="73"/>
      <c r="E524" s="73"/>
      <c r="F524" s="73"/>
    </row>
    <row r="525">
      <c r="A525" s="73"/>
      <c r="B525" s="73"/>
      <c r="C525" s="73"/>
      <c r="D525" s="73"/>
      <c r="E525" s="73"/>
      <c r="F525" s="73"/>
    </row>
    <row r="526">
      <c r="A526" s="73"/>
      <c r="B526" s="73"/>
      <c r="C526" s="73"/>
      <c r="D526" s="73"/>
      <c r="E526" s="73"/>
      <c r="F526" s="73"/>
    </row>
    <row r="527">
      <c r="A527" s="73"/>
      <c r="B527" s="73"/>
      <c r="C527" s="73"/>
      <c r="D527" s="73"/>
      <c r="E527" s="73"/>
      <c r="F527" s="73"/>
    </row>
    <row r="528">
      <c r="A528" s="73"/>
      <c r="B528" s="73"/>
      <c r="C528" s="73"/>
      <c r="D528" s="73"/>
      <c r="E528" s="73"/>
      <c r="F528" s="73"/>
    </row>
    <row r="529">
      <c r="A529" s="73"/>
      <c r="B529" s="73"/>
      <c r="C529" s="73"/>
      <c r="D529" s="73"/>
      <c r="E529" s="73"/>
      <c r="F529" s="73"/>
    </row>
    <row r="530">
      <c r="A530" s="73"/>
      <c r="B530" s="73"/>
      <c r="C530" s="73"/>
      <c r="D530" s="73"/>
      <c r="E530" s="73"/>
      <c r="F530" s="73"/>
    </row>
    <row r="531">
      <c r="A531" s="73"/>
      <c r="B531" s="73"/>
      <c r="C531" s="73"/>
      <c r="D531" s="73"/>
      <c r="E531" s="73"/>
      <c r="F531" s="73"/>
    </row>
    <row r="532">
      <c r="A532" s="73"/>
      <c r="B532" s="73"/>
      <c r="C532" s="73"/>
      <c r="D532" s="73"/>
      <c r="E532" s="73"/>
      <c r="F532" s="73"/>
    </row>
    <row r="533">
      <c r="A533" s="73"/>
      <c r="B533" s="73"/>
      <c r="C533" s="73"/>
      <c r="D533" s="73"/>
      <c r="E533" s="73"/>
      <c r="F533" s="73"/>
    </row>
    <row r="534">
      <c r="A534" s="73"/>
      <c r="B534" s="73"/>
      <c r="C534" s="73"/>
      <c r="D534" s="73"/>
      <c r="E534" s="73"/>
      <c r="F534" s="73"/>
    </row>
    <row r="535">
      <c r="A535" s="73"/>
      <c r="B535" s="73"/>
      <c r="C535" s="73"/>
      <c r="D535" s="73"/>
      <c r="E535" s="73"/>
      <c r="F535" s="73"/>
    </row>
    <row r="536">
      <c r="A536" s="73"/>
      <c r="B536" s="73"/>
      <c r="C536" s="73"/>
      <c r="D536" s="73"/>
      <c r="E536" s="73"/>
      <c r="F536" s="73"/>
    </row>
    <row r="537">
      <c r="A537" s="73"/>
      <c r="B537" s="73"/>
      <c r="C537" s="73"/>
      <c r="D537" s="73"/>
      <c r="E537" s="73"/>
      <c r="F537" s="73"/>
    </row>
    <row r="538">
      <c r="A538" s="73"/>
      <c r="B538" s="73"/>
      <c r="C538" s="73"/>
      <c r="D538" s="73"/>
      <c r="E538" s="73"/>
      <c r="F538" s="73"/>
    </row>
    <row r="539">
      <c r="A539" s="73"/>
      <c r="B539" s="73"/>
      <c r="C539" s="73"/>
      <c r="D539" s="73"/>
      <c r="E539" s="73"/>
      <c r="F539" s="73"/>
    </row>
    <row r="540">
      <c r="A540" s="73"/>
      <c r="B540" s="73"/>
      <c r="C540" s="73"/>
      <c r="D540" s="73"/>
      <c r="E540" s="73"/>
      <c r="F540" s="73"/>
    </row>
    <row r="541">
      <c r="A541" s="73"/>
      <c r="B541" s="73"/>
      <c r="C541" s="73"/>
      <c r="D541" s="73"/>
      <c r="E541" s="73"/>
      <c r="F541" s="73"/>
    </row>
    <row r="542">
      <c r="A542" s="73"/>
      <c r="B542" s="73"/>
      <c r="C542" s="73"/>
      <c r="D542" s="73"/>
      <c r="E542" s="73"/>
      <c r="F542" s="73"/>
    </row>
    <row r="543">
      <c r="A543" s="73"/>
      <c r="B543" s="73"/>
      <c r="C543" s="73"/>
      <c r="D543" s="73"/>
      <c r="E543" s="73"/>
      <c r="F543" s="73"/>
    </row>
    <row r="544">
      <c r="A544" s="73"/>
      <c r="B544" s="73"/>
      <c r="C544" s="73"/>
      <c r="D544" s="73"/>
      <c r="E544" s="73"/>
      <c r="F544" s="73"/>
    </row>
    <row r="545">
      <c r="A545" s="73"/>
      <c r="B545" s="73"/>
      <c r="C545" s="73"/>
      <c r="D545" s="73"/>
      <c r="E545" s="73"/>
      <c r="F545" s="73"/>
    </row>
    <row r="546">
      <c r="A546" s="73"/>
      <c r="B546" s="73"/>
      <c r="C546" s="73"/>
      <c r="D546" s="73"/>
      <c r="E546" s="73"/>
      <c r="F546" s="73"/>
    </row>
    <row r="547">
      <c r="A547" s="73"/>
      <c r="B547" s="73"/>
      <c r="C547" s="73"/>
      <c r="D547" s="73"/>
      <c r="E547" s="73"/>
      <c r="F547" s="73"/>
    </row>
    <row r="548">
      <c r="A548" s="73"/>
      <c r="B548" s="73"/>
      <c r="C548" s="73"/>
      <c r="D548" s="73"/>
      <c r="E548" s="73"/>
      <c r="F548" s="73"/>
    </row>
    <row r="549">
      <c r="A549" s="73"/>
      <c r="B549" s="73"/>
      <c r="C549" s="73"/>
      <c r="D549" s="73"/>
      <c r="E549" s="73"/>
      <c r="F549" s="73"/>
    </row>
    <row r="550">
      <c r="A550" s="73"/>
      <c r="B550" s="73"/>
      <c r="C550" s="73"/>
      <c r="D550" s="73"/>
      <c r="E550" s="73"/>
      <c r="F550" s="73"/>
    </row>
    <row r="551">
      <c r="A551" s="73"/>
      <c r="B551" s="73"/>
      <c r="C551" s="73"/>
      <c r="D551" s="73"/>
      <c r="E551" s="73"/>
      <c r="F551" s="73"/>
    </row>
    <row r="552">
      <c r="A552" s="73"/>
      <c r="B552" s="73"/>
      <c r="C552" s="73"/>
      <c r="D552" s="73"/>
      <c r="E552" s="73"/>
      <c r="F552" s="73"/>
    </row>
    <row r="553">
      <c r="A553" s="73"/>
      <c r="B553" s="73"/>
      <c r="C553" s="73"/>
      <c r="D553" s="73"/>
      <c r="E553" s="73"/>
      <c r="F553" s="73"/>
    </row>
    <row r="554">
      <c r="A554" s="73"/>
      <c r="B554" s="73"/>
      <c r="C554" s="73"/>
      <c r="D554" s="73"/>
      <c r="E554" s="73"/>
      <c r="F554" s="73"/>
    </row>
    <row r="555">
      <c r="A555" s="73"/>
      <c r="B555" s="73"/>
      <c r="C555" s="73"/>
      <c r="D555" s="73"/>
      <c r="E555" s="73"/>
      <c r="F555" s="73"/>
    </row>
    <row r="556">
      <c r="A556" s="73"/>
      <c r="B556" s="73"/>
      <c r="C556" s="73"/>
      <c r="D556" s="73"/>
      <c r="E556" s="73"/>
      <c r="F556" s="73"/>
    </row>
    <row r="557">
      <c r="A557" s="73"/>
      <c r="B557" s="73"/>
      <c r="C557" s="73"/>
      <c r="D557" s="73"/>
      <c r="E557" s="73"/>
      <c r="F557" s="73"/>
    </row>
    <row r="558">
      <c r="A558" s="73"/>
      <c r="B558" s="73"/>
      <c r="C558" s="73"/>
      <c r="D558" s="73"/>
      <c r="E558" s="73"/>
      <c r="F558" s="73"/>
    </row>
    <row r="559">
      <c r="A559" s="73"/>
      <c r="B559" s="73"/>
      <c r="C559" s="73"/>
      <c r="D559" s="73"/>
      <c r="E559" s="73"/>
      <c r="F559" s="73"/>
    </row>
    <row r="560">
      <c r="A560" s="73"/>
      <c r="B560" s="73"/>
      <c r="C560" s="73"/>
      <c r="D560" s="73"/>
      <c r="E560" s="73"/>
      <c r="F560" s="73"/>
    </row>
    <row r="561">
      <c r="A561" s="73"/>
      <c r="B561" s="73"/>
      <c r="C561" s="73"/>
      <c r="D561" s="73"/>
      <c r="E561" s="73"/>
      <c r="F561" s="73"/>
    </row>
    <row r="562">
      <c r="A562" s="73"/>
      <c r="B562" s="73"/>
      <c r="C562" s="73"/>
      <c r="D562" s="73"/>
      <c r="E562" s="73"/>
      <c r="F562" s="73"/>
    </row>
    <row r="563">
      <c r="A563" s="73"/>
      <c r="B563" s="73"/>
      <c r="C563" s="73"/>
      <c r="D563" s="73"/>
      <c r="E563" s="73"/>
      <c r="F563" s="73"/>
    </row>
    <row r="564">
      <c r="A564" s="73"/>
      <c r="B564" s="73"/>
      <c r="C564" s="73"/>
      <c r="D564" s="73"/>
      <c r="E564" s="73"/>
      <c r="F564" s="73"/>
    </row>
    <row r="565">
      <c r="A565" s="73"/>
      <c r="B565" s="73"/>
      <c r="C565" s="73"/>
      <c r="D565" s="73"/>
      <c r="E565" s="73"/>
      <c r="F565" s="73"/>
    </row>
    <row r="566">
      <c r="A566" s="73"/>
      <c r="B566" s="73"/>
      <c r="C566" s="73"/>
      <c r="D566" s="73"/>
      <c r="E566" s="73"/>
      <c r="F566" s="73"/>
    </row>
    <row r="567">
      <c r="A567" s="73"/>
      <c r="B567" s="73"/>
      <c r="C567" s="73"/>
      <c r="D567" s="73"/>
      <c r="E567" s="73"/>
      <c r="F567" s="73"/>
    </row>
    <row r="568">
      <c r="A568" s="73"/>
      <c r="B568" s="73"/>
      <c r="C568" s="73"/>
      <c r="D568" s="73"/>
      <c r="E568" s="73"/>
      <c r="F568" s="73"/>
    </row>
    <row r="569">
      <c r="A569" s="73"/>
      <c r="B569" s="73"/>
      <c r="C569" s="73"/>
      <c r="D569" s="73"/>
      <c r="E569" s="73"/>
      <c r="F569" s="73"/>
    </row>
    <row r="570">
      <c r="A570" s="73"/>
      <c r="B570" s="73"/>
      <c r="C570" s="73"/>
      <c r="D570" s="73"/>
      <c r="E570" s="73"/>
      <c r="F570" s="73"/>
    </row>
    <row r="571">
      <c r="A571" s="73"/>
      <c r="B571" s="73"/>
      <c r="C571" s="73"/>
      <c r="D571" s="73"/>
      <c r="E571" s="73"/>
      <c r="F571" s="73"/>
    </row>
    <row r="572">
      <c r="A572" s="73"/>
      <c r="B572" s="73"/>
      <c r="C572" s="73"/>
      <c r="D572" s="73"/>
      <c r="E572" s="73"/>
      <c r="F572" s="73"/>
    </row>
    <row r="573">
      <c r="A573" s="73"/>
      <c r="B573" s="73"/>
      <c r="C573" s="73"/>
      <c r="D573" s="73"/>
      <c r="E573" s="73"/>
      <c r="F573" s="73"/>
    </row>
    <row r="574">
      <c r="A574" s="73"/>
      <c r="B574" s="73"/>
      <c r="C574" s="73"/>
      <c r="D574" s="73"/>
      <c r="E574" s="73"/>
      <c r="F574" s="73"/>
    </row>
    <row r="575">
      <c r="A575" s="73"/>
      <c r="B575" s="73"/>
      <c r="C575" s="73"/>
      <c r="D575" s="73"/>
      <c r="E575" s="73"/>
      <c r="F575" s="73"/>
    </row>
    <row r="576">
      <c r="A576" s="73"/>
      <c r="B576" s="73"/>
      <c r="C576" s="73"/>
      <c r="D576" s="73"/>
      <c r="E576" s="73"/>
      <c r="F576" s="73"/>
    </row>
    <row r="577">
      <c r="A577" s="73"/>
      <c r="B577" s="73"/>
      <c r="C577" s="73"/>
      <c r="D577" s="73"/>
      <c r="E577" s="73"/>
      <c r="F577" s="73"/>
    </row>
    <row r="578">
      <c r="A578" s="73"/>
      <c r="B578" s="73"/>
      <c r="C578" s="73"/>
      <c r="D578" s="73"/>
      <c r="E578" s="73"/>
      <c r="F578" s="73"/>
    </row>
    <row r="579">
      <c r="A579" s="73"/>
      <c r="B579" s="73"/>
      <c r="C579" s="73"/>
      <c r="D579" s="73"/>
      <c r="E579" s="73"/>
      <c r="F579" s="73"/>
    </row>
    <row r="580">
      <c r="A580" s="73"/>
      <c r="B580" s="73"/>
      <c r="C580" s="73"/>
      <c r="D580" s="73"/>
      <c r="E580" s="73"/>
      <c r="F580" s="73"/>
    </row>
    <row r="581">
      <c r="A581" s="73"/>
      <c r="B581" s="73"/>
      <c r="C581" s="73"/>
      <c r="D581" s="73"/>
      <c r="E581" s="73"/>
      <c r="F581" s="73"/>
    </row>
    <row r="582">
      <c r="A582" s="73"/>
      <c r="B582" s="73"/>
      <c r="C582" s="73"/>
      <c r="D582" s="73"/>
      <c r="E582" s="73"/>
      <c r="F582" s="73"/>
    </row>
    <row r="583">
      <c r="A583" s="73"/>
      <c r="B583" s="73"/>
      <c r="C583" s="73"/>
      <c r="D583" s="73"/>
      <c r="E583" s="73"/>
      <c r="F583" s="73"/>
    </row>
    <row r="584">
      <c r="A584" s="73"/>
      <c r="B584" s="73"/>
      <c r="C584" s="73"/>
      <c r="D584" s="73"/>
      <c r="E584" s="73"/>
      <c r="F584" s="73"/>
    </row>
    <row r="585">
      <c r="A585" s="73"/>
      <c r="B585" s="73"/>
      <c r="C585" s="73"/>
      <c r="D585" s="73"/>
      <c r="E585" s="73"/>
      <c r="F585" s="73"/>
    </row>
    <row r="586">
      <c r="A586" s="73"/>
      <c r="B586" s="73"/>
      <c r="C586" s="73"/>
      <c r="D586" s="73"/>
      <c r="E586" s="73"/>
      <c r="F586" s="73"/>
    </row>
    <row r="587">
      <c r="A587" s="73"/>
      <c r="B587" s="73"/>
      <c r="C587" s="73"/>
      <c r="D587" s="73"/>
      <c r="E587" s="73"/>
      <c r="F587" s="73"/>
    </row>
    <row r="588">
      <c r="A588" s="73"/>
      <c r="B588" s="73"/>
      <c r="C588" s="73"/>
      <c r="D588" s="73"/>
      <c r="E588" s="73"/>
      <c r="F588" s="73"/>
    </row>
    <row r="589">
      <c r="A589" s="73"/>
      <c r="B589" s="73"/>
      <c r="C589" s="73"/>
      <c r="D589" s="73"/>
      <c r="E589" s="73"/>
      <c r="F589" s="73"/>
    </row>
    <row r="590">
      <c r="A590" s="73"/>
      <c r="B590" s="73"/>
      <c r="C590" s="73"/>
      <c r="D590" s="73"/>
      <c r="E590" s="73"/>
      <c r="F590" s="73"/>
    </row>
    <row r="591">
      <c r="A591" s="73"/>
      <c r="B591" s="73"/>
      <c r="C591" s="73"/>
      <c r="D591" s="73"/>
      <c r="E591" s="73"/>
      <c r="F591" s="73"/>
    </row>
    <row r="592">
      <c r="A592" s="73"/>
      <c r="B592" s="73"/>
      <c r="C592" s="73"/>
      <c r="D592" s="73"/>
      <c r="E592" s="73"/>
      <c r="F592" s="73"/>
    </row>
    <row r="593">
      <c r="A593" s="73"/>
      <c r="B593" s="73"/>
      <c r="C593" s="73"/>
      <c r="D593" s="73"/>
      <c r="E593" s="73"/>
      <c r="F593" s="73"/>
    </row>
    <row r="594">
      <c r="A594" s="73"/>
      <c r="B594" s="73"/>
      <c r="C594" s="73"/>
      <c r="D594" s="73"/>
      <c r="E594" s="73"/>
      <c r="F594" s="73"/>
    </row>
    <row r="595">
      <c r="A595" s="73"/>
      <c r="B595" s="73"/>
      <c r="C595" s="73"/>
      <c r="D595" s="73"/>
      <c r="E595" s="73"/>
      <c r="F595" s="73"/>
    </row>
    <row r="596">
      <c r="A596" s="73"/>
      <c r="B596" s="73"/>
      <c r="C596" s="73"/>
      <c r="D596" s="73"/>
      <c r="E596" s="73"/>
      <c r="F596" s="73"/>
    </row>
    <row r="597">
      <c r="A597" s="73"/>
      <c r="B597" s="73"/>
      <c r="C597" s="73"/>
      <c r="D597" s="73"/>
      <c r="E597" s="73"/>
      <c r="F597" s="73"/>
    </row>
    <row r="598">
      <c r="A598" s="73"/>
      <c r="B598" s="73"/>
      <c r="C598" s="73"/>
      <c r="D598" s="73"/>
      <c r="E598" s="73"/>
      <c r="F598" s="73"/>
    </row>
    <row r="599">
      <c r="A599" s="73"/>
      <c r="B599" s="73"/>
      <c r="C599" s="73"/>
      <c r="D599" s="73"/>
      <c r="E599" s="73"/>
      <c r="F599" s="73"/>
    </row>
    <row r="600">
      <c r="A600" s="73"/>
      <c r="B600" s="73"/>
      <c r="C600" s="73"/>
      <c r="D600" s="73"/>
      <c r="E600" s="73"/>
      <c r="F600" s="73"/>
    </row>
    <row r="601">
      <c r="A601" s="73"/>
      <c r="B601" s="73"/>
      <c r="C601" s="73"/>
      <c r="D601" s="73"/>
      <c r="E601" s="73"/>
      <c r="F601" s="73"/>
    </row>
    <row r="602">
      <c r="A602" s="73"/>
      <c r="B602" s="73"/>
      <c r="C602" s="73"/>
      <c r="D602" s="73"/>
      <c r="E602" s="73"/>
      <c r="F602" s="73"/>
    </row>
    <row r="603">
      <c r="A603" s="73"/>
      <c r="B603" s="73"/>
      <c r="C603" s="73"/>
      <c r="D603" s="73"/>
      <c r="E603" s="73"/>
      <c r="F603" s="73"/>
    </row>
    <row r="604">
      <c r="A604" s="73"/>
      <c r="B604" s="73"/>
      <c r="C604" s="73"/>
      <c r="D604" s="73"/>
      <c r="E604" s="73"/>
      <c r="F604" s="73"/>
    </row>
    <row r="605">
      <c r="A605" s="73"/>
      <c r="B605" s="73"/>
      <c r="C605" s="73"/>
      <c r="D605" s="73"/>
      <c r="E605" s="73"/>
      <c r="F605" s="73"/>
    </row>
    <row r="606">
      <c r="A606" s="73"/>
      <c r="B606" s="73"/>
      <c r="C606" s="73"/>
      <c r="D606" s="73"/>
      <c r="E606" s="73"/>
      <c r="F606" s="73"/>
    </row>
    <row r="607">
      <c r="A607" s="73"/>
      <c r="B607" s="73"/>
      <c r="C607" s="73"/>
      <c r="D607" s="73"/>
      <c r="E607" s="73"/>
      <c r="F607" s="73"/>
    </row>
    <row r="608">
      <c r="A608" s="73"/>
      <c r="B608" s="73"/>
      <c r="C608" s="73"/>
      <c r="D608" s="73"/>
      <c r="E608" s="73"/>
      <c r="F608" s="73"/>
    </row>
    <row r="609">
      <c r="A609" s="73"/>
      <c r="B609" s="73"/>
      <c r="C609" s="73"/>
      <c r="D609" s="73"/>
      <c r="E609" s="73"/>
      <c r="F609" s="73"/>
    </row>
    <row r="610">
      <c r="A610" s="73"/>
      <c r="B610" s="73"/>
      <c r="C610" s="73"/>
      <c r="D610" s="73"/>
      <c r="E610" s="73"/>
      <c r="F610" s="73"/>
    </row>
    <row r="611">
      <c r="A611" s="73"/>
      <c r="B611" s="73"/>
      <c r="C611" s="73"/>
      <c r="D611" s="73"/>
      <c r="E611" s="73"/>
      <c r="F611" s="73"/>
    </row>
    <row r="612">
      <c r="A612" s="73"/>
      <c r="B612" s="73"/>
      <c r="C612" s="73"/>
      <c r="D612" s="73"/>
      <c r="E612" s="73"/>
      <c r="F612" s="73"/>
    </row>
    <row r="613">
      <c r="A613" s="73"/>
      <c r="B613" s="73"/>
      <c r="C613" s="73"/>
      <c r="D613" s="73"/>
      <c r="E613" s="73"/>
      <c r="F613" s="73"/>
    </row>
    <row r="614">
      <c r="A614" s="73"/>
      <c r="B614" s="73"/>
      <c r="C614" s="73"/>
      <c r="D614" s="73"/>
      <c r="E614" s="73"/>
      <c r="F614" s="73"/>
    </row>
    <row r="615">
      <c r="A615" s="73"/>
      <c r="B615" s="73"/>
      <c r="C615" s="73"/>
      <c r="D615" s="73"/>
      <c r="E615" s="73"/>
      <c r="F615" s="73"/>
    </row>
    <row r="616">
      <c r="A616" s="73"/>
      <c r="B616" s="73"/>
      <c r="C616" s="73"/>
      <c r="D616" s="73"/>
      <c r="E616" s="73"/>
      <c r="F616" s="73"/>
    </row>
    <row r="617">
      <c r="A617" s="73"/>
      <c r="B617" s="73"/>
      <c r="C617" s="73"/>
      <c r="D617" s="73"/>
      <c r="E617" s="73"/>
      <c r="F617" s="73"/>
    </row>
    <row r="618">
      <c r="A618" s="73"/>
      <c r="B618" s="73"/>
      <c r="C618" s="73"/>
      <c r="D618" s="73"/>
      <c r="E618" s="73"/>
      <c r="F618" s="73"/>
    </row>
    <row r="619">
      <c r="A619" s="73"/>
      <c r="B619" s="73"/>
      <c r="C619" s="73"/>
      <c r="D619" s="73"/>
      <c r="E619" s="73"/>
      <c r="F619" s="73"/>
    </row>
    <row r="620">
      <c r="A620" s="73"/>
      <c r="B620" s="73"/>
      <c r="C620" s="73"/>
      <c r="D620" s="73"/>
      <c r="E620" s="73"/>
      <c r="F620" s="73"/>
    </row>
    <row r="621">
      <c r="A621" s="73"/>
      <c r="B621" s="73"/>
      <c r="C621" s="73"/>
      <c r="D621" s="73"/>
      <c r="E621" s="73"/>
      <c r="F621" s="73"/>
    </row>
    <row r="622">
      <c r="A622" s="73"/>
      <c r="B622" s="73"/>
      <c r="C622" s="73"/>
      <c r="D622" s="73"/>
      <c r="E622" s="73"/>
      <c r="F622" s="73"/>
    </row>
    <row r="623">
      <c r="A623" s="73"/>
      <c r="B623" s="73"/>
      <c r="C623" s="73"/>
      <c r="D623" s="73"/>
      <c r="E623" s="73"/>
      <c r="F623" s="73"/>
    </row>
    <row r="624">
      <c r="A624" s="73"/>
      <c r="B624" s="73"/>
      <c r="C624" s="73"/>
      <c r="D624" s="73"/>
      <c r="E624" s="73"/>
      <c r="F624" s="73"/>
    </row>
    <row r="625">
      <c r="A625" s="73"/>
      <c r="B625" s="73"/>
      <c r="C625" s="73"/>
      <c r="D625" s="73"/>
      <c r="E625" s="73"/>
      <c r="F625" s="73"/>
    </row>
    <row r="626">
      <c r="A626" s="73"/>
      <c r="B626" s="73"/>
      <c r="C626" s="73"/>
      <c r="D626" s="73"/>
      <c r="E626" s="73"/>
      <c r="F626" s="73"/>
    </row>
    <row r="627">
      <c r="A627" s="73"/>
      <c r="B627" s="73"/>
      <c r="C627" s="73"/>
      <c r="D627" s="73"/>
      <c r="E627" s="73"/>
      <c r="F627" s="73"/>
    </row>
    <row r="628">
      <c r="A628" s="73"/>
      <c r="B628" s="73"/>
      <c r="C628" s="73"/>
      <c r="D628" s="73"/>
      <c r="E628" s="73"/>
      <c r="F628" s="73"/>
    </row>
    <row r="629">
      <c r="A629" s="73"/>
      <c r="B629" s="73"/>
      <c r="C629" s="73"/>
      <c r="D629" s="73"/>
      <c r="E629" s="73"/>
      <c r="F629" s="73"/>
    </row>
    <row r="630">
      <c r="A630" s="73"/>
      <c r="B630" s="73"/>
      <c r="C630" s="73"/>
      <c r="D630" s="73"/>
      <c r="E630" s="73"/>
      <c r="F630" s="73"/>
    </row>
    <row r="631">
      <c r="A631" s="73"/>
      <c r="B631" s="73"/>
      <c r="C631" s="73"/>
      <c r="D631" s="73"/>
      <c r="E631" s="73"/>
      <c r="F631" s="73"/>
    </row>
    <row r="632">
      <c r="A632" s="73"/>
      <c r="B632" s="73"/>
      <c r="C632" s="73"/>
      <c r="D632" s="73"/>
      <c r="E632" s="73"/>
      <c r="F632" s="73"/>
    </row>
    <row r="633">
      <c r="A633" s="73"/>
      <c r="B633" s="73"/>
      <c r="C633" s="73"/>
      <c r="D633" s="73"/>
      <c r="E633" s="73"/>
      <c r="F633" s="73"/>
    </row>
    <row r="634">
      <c r="A634" s="73"/>
      <c r="B634" s="73"/>
      <c r="C634" s="73"/>
      <c r="D634" s="73"/>
      <c r="E634" s="73"/>
      <c r="F634" s="73"/>
    </row>
    <row r="635">
      <c r="A635" s="73"/>
      <c r="B635" s="73"/>
      <c r="C635" s="73"/>
      <c r="D635" s="73"/>
      <c r="E635" s="73"/>
      <c r="F635" s="73"/>
    </row>
    <row r="636">
      <c r="A636" s="73"/>
      <c r="B636" s="73"/>
      <c r="C636" s="73"/>
      <c r="D636" s="73"/>
      <c r="E636" s="73"/>
      <c r="F636" s="73"/>
    </row>
    <row r="637">
      <c r="A637" s="73"/>
      <c r="B637" s="73"/>
      <c r="C637" s="73"/>
      <c r="D637" s="73"/>
      <c r="E637" s="73"/>
      <c r="F637" s="73"/>
    </row>
    <row r="638">
      <c r="A638" s="73"/>
      <c r="B638" s="73"/>
      <c r="C638" s="73"/>
      <c r="D638" s="73"/>
      <c r="E638" s="73"/>
      <c r="F638" s="73"/>
    </row>
    <row r="639">
      <c r="A639" s="73"/>
      <c r="B639" s="73"/>
      <c r="C639" s="73"/>
      <c r="D639" s="73"/>
      <c r="E639" s="73"/>
      <c r="F639" s="73"/>
    </row>
    <row r="640">
      <c r="A640" s="73"/>
      <c r="B640" s="73"/>
      <c r="C640" s="73"/>
      <c r="D640" s="73"/>
      <c r="E640" s="73"/>
      <c r="F640" s="73"/>
    </row>
    <row r="641">
      <c r="A641" s="73"/>
      <c r="B641" s="73"/>
      <c r="C641" s="73"/>
      <c r="D641" s="73"/>
      <c r="E641" s="73"/>
      <c r="F641" s="73"/>
    </row>
    <row r="642">
      <c r="A642" s="73"/>
      <c r="B642" s="73"/>
      <c r="C642" s="73"/>
      <c r="D642" s="73"/>
      <c r="E642" s="73"/>
      <c r="F642" s="73"/>
    </row>
    <row r="643">
      <c r="A643" s="73"/>
      <c r="B643" s="73"/>
      <c r="C643" s="73"/>
      <c r="D643" s="73"/>
      <c r="E643" s="73"/>
      <c r="F643" s="73"/>
    </row>
    <row r="644">
      <c r="A644" s="73"/>
      <c r="B644" s="73"/>
      <c r="C644" s="73"/>
      <c r="D644" s="73"/>
      <c r="E644" s="73"/>
      <c r="F644" s="73"/>
    </row>
    <row r="645">
      <c r="A645" s="73"/>
      <c r="B645" s="73"/>
      <c r="C645" s="73"/>
      <c r="D645" s="73"/>
      <c r="E645" s="73"/>
      <c r="F645" s="73"/>
    </row>
    <row r="646">
      <c r="A646" s="73"/>
      <c r="B646" s="73"/>
      <c r="C646" s="73"/>
      <c r="D646" s="73"/>
      <c r="E646" s="73"/>
      <c r="F646" s="73"/>
    </row>
    <row r="647">
      <c r="A647" s="73"/>
      <c r="B647" s="73"/>
      <c r="C647" s="73"/>
      <c r="D647" s="73"/>
      <c r="E647" s="73"/>
      <c r="F647" s="73"/>
    </row>
    <row r="648">
      <c r="A648" s="73"/>
      <c r="B648" s="73"/>
      <c r="C648" s="73"/>
      <c r="D648" s="73"/>
      <c r="E648" s="73"/>
      <c r="F648" s="73"/>
    </row>
    <row r="649">
      <c r="A649" s="73"/>
      <c r="B649" s="73"/>
      <c r="C649" s="73"/>
      <c r="D649" s="73"/>
      <c r="E649" s="73"/>
      <c r="F649" s="73"/>
    </row>
    <row r="650">
      <c r="A650" s="73"/>
      <c r="B650" s="73"/>
      <c r="C650" s="73"/>
      <c r="D650" s="73"/>
      <c r="E650" s="73"/>
      <c r="F650" s="73"/>
    </row>
    <row r="651">
      <c r="A651" s="73"/>
      <c r="B651" s="73"/>
      <c r="C651" s="73"/>
      <c r="D651" s="73"/>
      <c r="E651" s="73"/>
      <c r="F651" s="73"/>
    </row>
    <row r="652">
      <c r="A652" s="73"/>
      <c r="B652" s="73"/>
      <c r="C652" s="73"/>
      <c r="D652" s="73"/>
      <c r="E652" s="73"/>
      <c r="F652" s="73"/>
    </row>
    <row r="653">
      <c r="A653" s="73"/>
      <c r="B653" s="73"/>
      <c r="C653" s="73"/>
      <c r="D653" s="73"/>
      <c r="E653" s="73"/>
      <c r="F653" s="73"/>
    </row>
    <row r="654">
      <c r="A654" s="73"/>
      <c r="B654" s="73"/>
      <c r="C654" s="73"/>
      <c r="D654" s="73"/>
      <c r="E654" s="73"/>
      <c r="F654" s="73"/>
    </row>
    <row r="655">
      <c r="A655" s="73"/>
      <c r="B655" s="73"/>
      <c r="C655" s="73"/>
      <c r="D655" s="73"/>
      <c r="E655" s="73"/>
      <c r="F655" s="73"/>
    </row>
    <row r="656">
      <c r="A656" s="73"/>
      <c r="B656" s="73"/>
      <c r="C656" s="73"/>
      <c r="D656" s="73"/>
      <c r="E656" s="73"/>
      <c r="F656" s="73"/>
    </row>
    <row r="657">
      <c r="A657" s="73"/>
      <c r="B657" s="73"/>
      <c r="C657" s="73"/>
      <c r="D657" s="73"/>
      <c r="E657" s="73"/>
      <c r="F657" s="73"/>
    </row>
    <row r="658">
      <c r="A658" s="73"/>
      <c r="B658" s="73"/>
      <c r="C658" s="73"/>
      <c r="D658" s="73"/>
      <c r="E658" s="73"/>
      <c r="F658" s="73"/>
    </row>
    <row r="659">
      <c r="A659" s="73"/>
      <c r="B659" s="73"/>
      <c r="C659" s="73"/>
      <c r="D659" s="73"/>
      <c r="E659" s="73"/>
      <c r="F659" s="73"/>
    </row>
    <row r="660">
      <c r="A660" s="73"/>
      <c r="B660" s="73"/>
      <c r="C660" s="73"/>
      <c r="D660" s="73"/>
      <c r="E660" s="73"/>
      <c r="F660" s="73"/>
    </row>
    <row r="661">
      <c r="A661" s="73"/>
      <c r="B661" s="73"/>
      <c r="C661" s="73"/>
      <c r="D661" s="73"/>
      <c r="E661" s="73"/>
      <c r="F661" s="73"/>
    </row>
    <row r="662">
      <c r="A662" s="73"/>
      <c r="B662" s="73"/>
      <c r="C662" s="73"/>
      <c r="D662" s="73"/>
      <c r="E662" s="73"/>
      <c r="F662" s="73"/>
    </row>
    <row r="663">
      <c r="A663" s="73"/>
      <c r="B663" s="73"/>
      <c r="C663" s="73"/>
      <c r="D663" s="73"/>
      <c r="E663" s="73"/>
      <c r="F663" s="73"/>
    </row>
    <row r="664">
      <c r="A664" s="73"/>
      <c r="B664" s="73"/>
      <c r="C664" s="73"/>
      <c r="D664" s="73"/>
      <c r="E664" s="73"/>
      <c r="F664" s="73"/>
    </row>
    <row r="665">
      <c r="A665" s="73"/>
      <c r="B665" s="73"/>
      <c r="C665" s="73"/>
      <c r="D665" s="73"/>
      <c r="E665" s="73"/>
      <c r="F665" s="73"/>
    </row>
    <row r="666">
      <c r="A666" s="73"/>
      <c r="B666" s="73"/>
      <c r="C666" s="73"/>
      <c r="D666" s="73"/>
      <c r="E666" s="73"/>
      <c r="F666" s="73"/>
    </row>
    <row r="667">
      <c r="A667" s="73"/>
      <c r="B667" s="73"/>
      <c r="C667" s="73"/>
      <c r="D667" s="73"/>
      <c r="E667" s="73"/>
      <c r="F667" s="73"/>
    </row>
    <row r="668">
      <c r="A668" s="73"/>
      <c r="B668" s="73"/>
      <c r="C668" s="73"/>
      <c r="D668" s="73"/>
      <c r="E668" s="73"/>
      <c r="F668" s="73"/>
    </row>
    <row r="669">
      <c r="A669" s="73"/>
      <c r="B669" s="73"/>
      <c r="C669" s="73"/>
      <c r="D669" s="73"/>
      <c r="E669" s="73"/>
      <c r="F669" s="73"/>
    </row>
    <row r="670">
      <c r="A670" s="73"/>
      <c r="B670" s="73"/>
      <c r="C670" s="73"/>
      <c r="D670" s="73"/>
      <c r="E670" s="73"/>
      <c r="F670" s="73"/>
    </row>
    <row r="671">
      <c r="A671" s="73"/>
      <c r="B671" s="73"/>
      <c r="C671" s="73"/>
      <c r="D671" s="73"/>
      <c r="E671" s="73"/>
      <c r="F671" s="73"/>
    </row>
    <row r="672">
      <c r="A672" s="73"/>
      <c r="B672" s="73"/>
      <c r="C672" s="73"/>
      <c r="D672" s="73"/>
      <c r="E672" s="73"/>
      <c r="F672" s="73"/>
    </row>
    <row r="673">
      <c r="A673" s="73"/>
      <c r="B673" s="73"/>
      <c r="C673" s="73"/>
      <c r="D673" s="73"/>
      <c r="E673" s="73"/>
      <c r="F673" s="73"/>
    </row>
    <row r="674">
      <c r="A674" s="73"/>
      <c r="B674" s="73"/>
      <c r="C674" s="73"/>
      <c r="D674" s="73"/>
      <c r="E674" s="73"/>
      <c r="F674" s="73"/>
    </row>
    <row r="675">
      <c r="A675" s="73"/>
      <c r="B675" s="73"/>
      <c r="C675" s="73"/>
      <c r="D675" s="73"/>
      <c r="E675" s="73"/>
      <c r="F675" s="73"/>
    </row>
    <row r="676">
      <c r="A676" s="73"/>
      <c r="B676" s="73"/>
      <c r="C676" s="73"/>
      <c r="D676" s="73"/>
      <c r="E676" s="73"/>
      <c r="F676" s="73"/>
    </row>
    <row r="677">
      <c r="A677" s="73"/>
      <c r="B677" s="73"/>
      <c r="C677" s="73"/>
      <c r="D677" s="73"/>
      <c r="E677" s="73"/>
      <c r="F677" s="73"/>
    </row>
    <row r="678">
      <c r="A678" s="73"/>
      <c r="B678" s="73"/>
      <c r="C678" s="73"/>
      <c r="D678" s="73"/>
      <c r="E678" s="73"/>
      <c r="F678" s="73"/>
    </row>
    <row r="679">
      <c r="A679" s="73"/>
      <c r="B679" s="73"/>
      <c r="C679" s="73"/>
      <c r="D679" s="73"/>
      <c r="E679" s="73"/>
      <c r="F679" s="73"/>
    </row>
    <row r="680">
      <c r="A680" s="73"/>
      <c r="B680" s="73"/>
      <c r="C680" s="73"/>
      <c r="D680" s="73"/>
      <c r="E680" s="73"/>
      <c r="F680" s="73"/>
    </row>
    <row r="681">
      <c r="A681" s="73"/>
      <c r="B681" s="73"/>
      <c r="C681" s="73"/>
      <c r="D681" s="73"/>
      <c r="E681" s="73"/>
      <c r="F681" s="73"/>
    </row>
    <row r="682">
      <c r="A682" s="73"/>
      <c r="B682" s="73"/>
      <c r="C682" s="73"/>
      <c r="D682" s="73"/>
      <c r="E682" s="73"/>
      <c r="F682" s="73"/>
    </row>
    <row r="683">
      <c r="A683" s="73"/>
      <c r="B683" s="73"/>
      <c r="C683" s="73"/>
      <c r="D683" s="73"/>
      <c r="E683" s="73"/>
      <c r="F683" s="73"/>
    </row>
    <row r="684">
      <c r="A684" s="73"/>
      <c r="B684" s="73"/>
      <c r="C684" s="73"/>
      <c r="D684" s="73"/>
      <c r="E684" s="73"/>
      <c r="F684" s="73"/>
    </row>
    <row r="685">
      <c r="A685" s="73"/>
      <c r="B685" s="73"/>
      <c r="C685" s="73"/>
      <c r="D685" s="73"/>
      <c r="E685" s="73"/>
      <c r="F685" s="73"/>
    </row>
    <row r="686">
      <c r="A686" s="73"/>
      <c r="B686" s="73"/>
      <c r="C686" s="73"/>
      <c r="D686" s="73"/>
      <c r="E686" s="73"/>
      <c r="F686" s="73"/>
    </row>
    <row r="687">
      <c r="A687" s="73"/>
      <c r="B687" s="73"/>
      <c r="C687" s="73"/>
      <c r="D687" s="73"/>
      <c r="E687" s="73"/>
      <c r="F687" s="73"/>
    </row>
    <row r="688">
      <c r="A688" s="73"/>
      <c r="B688" s="73"/>
      <c r="C688" s="73"/>
      <c r="D688" s="73"/>
      <c r="E688" s="73"/>
      <c r="F688" s="73"/>
    </row>
    <row r="689">
      <c r="A689" s="73"/>
      <c r="B689" s="73"/>
      <c r="C689" s="73"/>
      <c r="D689" s="73"/>
      <c r="E689" s="73"/>
      <c r="F689" s="73"/>
    </row>
    <row r="690">
      <c r="A690" s="73"/>
      <c r="B690" s="73"/>
      <c r="C690" s="73"/>
      <c r="D690" s="73"/>
      <c r="E690" s="73"/>
      <c r="F690" s="73"/>
    </row>
    <row r="691">
      <c r="A691" s="73"/>
      <c r="B691" s="73"/>
      <c r="C691" s="73"/>
      <c r="D691" s="73"/>
      <c r="E691" s="73"/>
      <c r="F691" s="73"/>
    </row>
    <row r="692">
      <c r="A692" s="73"/>
      <c r="B692" s="73"/>
      <c r="C692" s="73"/>
      <c r="D692" s="73"/>
      <c r="E692" s="73"/>
      <c r="F692" s="73"/>
    </row>
    <row r="693">
      <c r="A693" s="73"/>
      <c r="B693" s="73"/>
      <c r="C693" s="73"/>
      <c r="D693" s="73"/>
      <c r="E693" s="73"/>
      <c r="F693" s="73"/>
    </row>
    <row r="694">
      <c r="A694" s="73"/>
      <c r="B694" s="73"/>
      <c r="C694" s="73"/>
      <c r="D694" s="73"/>
      <c r="E694" s="73"/>
      <c r="F694" s="73"/>
    </row>
    <row r="695">
      <c r="A695" s="73"/>
      <c r="B695" s="73"/>
      <c r="C695" s="73"/>
      <c r="D695" s="73"/>
      <c r="E695" s="73"/>
      <c r="F695" s="73"/>
    </row>
    <row r="696">
      <c r="A696" s="73"/>
      <c r="B696" s="73"/>
      <c r="C696" s="73"/>
      <c r="D696" s="73"/>
      <c r="E696" s="73"/>
      <c r="F696" s="73"/>
    </row>
    <row r="697">
      <c r="A697" s="73"/>
      <c r="B697" s="73"/>
      <c r="C697" s="73"/>
      <c r="D697" s="73"/>
      <c r="E697" s="73"/>
      <c r="F697" s="73"/>
    </row>
    <row r="698">
      <c r="A698" s="73"/>
      <c r="B698" s="73"/>
      <c r="C698" s="73"/>
      <c r="D698" s="73"/>
      <c r="E698" s="73"/>
      <c r="F698" s="73"/>
    </row>
    <row r="699">
      <c r="A699" s="73"/>
      <c r="B699" s="73"/>
      <c r="C699" s="73"/>
      <c r="D699" s="73"/>
      <c r="E699" s="73"/>
      <c r="F699" s="73"/>
    </row>
    <row r="700">
      <c r="A700" s="73"/>
      <c r="B700" s="73"/>
      <c r="C700" s="73"/>
      <c r="D700" s="73"/>
      <c r="E700" s="73"/>
      <c r="F700" s="73"/>
    </row>
    <row r="701">
      <c r="A701" s="73"/>
      <c r="B701" s="73"/>
      <c r="C701" s="73"/>
      <c r="D701" s="73"/>
      <c r="E701" s="73"/>
      <c r="F701" s="73"/>
    </row>
    <row r="702">
      <c r="A702" s="73"/>
      <c r="B702" s="73"/>
      <c r="C702" s="73"/>
      <c r="D702" s="73"/>
      <c r="E702" s="73"/>
      <c r="F702" s="73"/>
    </row>
    <row r="703">
      <c r="A703" s="73"/>
      <c r="B703" s="73"/>
      <c r="C703" s="73"/>
      <c r="D703" s="73"/>
      <c r="E703" s="73"/>
      <c r="F703" s="73"/>
    </row>
    <row r="704">
      <c r="A704" s="73"/>
      <c r="B704" s="73"/>
      <c r="C704" s="73"/>
      <c r="D704" s="73"/>
      <c r="E704" s="73"/>
      <c r="F704" s="73"/>
    </row>
    <row r="705">
      <c r="A705" s="73"/>
      <c r="B705" s="73"/>
      <c r="C705" s="73"/>
      <c r="D705" s="73"/>
      <c r="E705" s="73"/>
      <c r="F705" s="73"/>
    </row>
    <row r="706">
      <c r="A706" s="73"/>
      <c r="B706" s="73"/>
      <c r="C706" s="73"/>
      <c r="D706" s="73"/>
      <c r="E706" s="73"/>
      <c r="F706" s="73"/>
    </row>
    <row r="707">
      <c r="A707" s="73"/>
      <c r="B707" s="73"/>
      <c r="C707" s="73"/>
      <c r="D707" s="73"/>
      <c r="E707" s="73"/>
      <c r="F707" s="73"/>
    </row>
    <row r="708">
      <c r="A708" s="73"/>
      <c r="B708" s="73"/>
      <c r="C708" s="73"/>
      <c r="D708" s="73"/>
      <c r="E708" s="73"/>
      <c r="F708" s="73"/>
    </row>
    <row r="709">
      <c r="A709" s="73"/>
      <c r="B709" s="73"/>
      <c r="C709" s="73"/>
      <c r="D709" s="73"/>
      <c r="E709" s="73"/>
      <c r="F709" s="73"/>
    </row>
    <row r="710">
      <c r="A710" s="73"/>
      <c r="B710" s="73"/>
      <c r="C710" s="73"/>
      <c r="D710" s="73"/>
      <c r="E710" s="73"/>
      <c r="F710" s="73"/>
    </row>
    <row r="711">
      <c r="A711" s="73"/>
      <c r="B711" s="73"/>
      <c r="C711" s="73"/>
      <c r="D711" s="73"/>
      <c r="E711" s="73"/>
      <c r="F711" s="73"/>
    </row>
    <row r="712">
      <c r="A712" s="73"/>
      <c r="B712" s="73"/>
      <c r="C712" s="73"/>
      <c r="D712" s="73"/>
      <c r="E712" s="73"/>
      <c r="F712" s="73"/>
    </row>
    <row r="713">
      <c r="A713" s="73"/>
      <c r="B713" s="73"/>
      <c r="C713" s="73"/>
      <c r="D713" s="73"/>
      <c r="E713" s="73"/>
      <c r="F713" s="73"/>
    </row>
    <row r="714">
      <c r="A714" s="73"/>
      <c r="B714" s="73"/>
      <c r="C714" s="73"/>
      <c r="D714" s="73"/>
      <c r="E714" s="73"/>
      <c r="F714" s="73"/>
    </row>
    <row r="715">
      <c r="A715" s="73"/>
      <c r="B715" s="73"/>
      <c r="C715" s="73"/>
      <c r="D715" s="73"/>
      <c r="E715" s="73"/>
      <c r="F715" s="73"/>
    </row>
    <row r="716">
      <c r="A716" s="73"/>
      <c r="B716" s="73"/>
      <c r="C716" s="73"/>
      <c r="D716" s="73"/>
      <c r="E716" s="73"/>
      <c r="F716" s="73"/>
    </row>
    <row r="717">
      <c r="A717" s="73"/>
      <c r="B717" s="73"/>
      <c r="C717" s="73"/>
      <c r="D717" s="73"/>
      <c r="E717" s="73"/>
      <c r="F717" s="73"/>
    </row>
    <row r="718">
      <c r="A718" s="73"/>
      <c r="B718" s="73"/>
      <c r="C718" s="73"/>
      <c r="D718" s="73"/>
      <c r="E718" s="73"/>
      <c r="F718" s="73"/>
    </row>
    <row r="719">
      <c r="A719" s="73"/>
      <c r="B719" s="73"/>
      <c r="C719" s="73"/>
      <c r="D719" s="73"/>
      <c r="E719" s="73"/>
      <c r="F719" s="73"/>
    </row>
    <row r="720">
      <c r="A720" s="73"/>
      <c r="B720" s="73"/>
      <c r="C720" s="73"/>
      <c r="D720" s="73"/>
      <c r="E720" s="73"/>
      <c r="F720" s="73"/>
    </row>
    <row r="721">
      <c r="A721" s="73"/>
      <c r="B721" s="73"/>
      <c r="C721" s="73"/>
      <c r="D721" s="73"/>
      <c r="E721" s="73"/>
      <c r="F721" s="73"/>
    </row>
    <row r="722">
      <c r="A722" s="73"/>
      <c r="B722" s="73"/>
      <c r="C722" s="73"/>
      <c r="D722" s="73"/>
      <c r="E722" s="73"/>
      <c r="F722" s="73"/>
    </row>
    <row r="723">
      <c r="A723" s="73"/>
      <c r="B723" s="73"/>
      <c r="C723" s="73"/>
      <c r="D723" s="73"/>
      <c r="E723" s="73"/>
      <c r="F723" s="73"/>
    </row>
    <row r="724">
      <c r="A724" s="73"/>
      <c r="B724" s="73"/>
      <c r="C724" s="73"/>
      <c r="D724" s="73"/>
      <c r="E724" s="73"/>
      <c r="F724" s="73"/>
    </row>
    <row r="725">
      <c r="A725" s="73"/>
      <c r="B725" s="73"/>
      <c r="C725" s="73"/>
      <c r="D725" s="73"/>
      <c r="E725" s="73"/>
      <c r="F725" s="73"/>
    </row>
    <row r="726">
      <c r="A726" s="73"/>
      <c r="B726" s="73"/>
      <c r="C726" s="73"/>
      <c r="D726" s="73"/>
      <c r="E726" s="73"/>
      <c r="F726" s="73"/>
    </row>
    <row r="727">
      <c r="A727" s="73"/>
      <c r="B727" s="73"/>
      <c r="C727" s="73"/>
      <c r="D727" s="73"/>
      <c r="E727" s="73"/>
      <c r="F727" s="73"/>
    </row>
    <row r="728">
      <c r="A728" s="73"/>
      <c r="B728" s="73"/>
      <c r="C728" s="73"/>
      <c r="D728" s="73"/>
      <c r="E728" s="73"/>
      <c r="F728" s="73"/>
    </row>
    <row r="729">
      <c r="A729" s="73"/>
      <c r="B729" s="73"/>
      <c r="C729" s="73"/>
      <c r="D729" s="73"/>
      <c r="E729" s="73"/>
      <c r="F729" s="73"/>
    </row>
    <row r="730">
      <c r="A730" s="73"/>
      <c r="B730" s="73"/>
      <c r="C730" s="73"/>
      <c r="D730" s="73"/>
      <c r="E730" s="73"/>
      <c r="F730" s="73"/>
    </row>
    <row r="731">
      <c r="A731" s="73"/>
      <c r="B731" s="73"/>
      <c r="C731" s="73"/>
      <c r="D731" s="73"/>
      <c r="E731" s="73"/>
      <c r="F731" s="73"/>
    </row>
    <row r="732">
      <c r="A732" s="73"/>
      <c r="B732" s="73"/>
      <c r="C732" s="73"/>
      <c r="D732" s="73"/>
      <c r="E732" s="73"/>
      <c r="F732" s="73"/>
    </row>
    <row r="733">
      <c r="A733" s="73"/>
      <c r="B733" s="73"/>
      <c r="C733" s="73"/>
      <c r="D733" s="73"/>
      <c r="E733" s="73"/>
      <c r="F733" s="73"/>
    </row>
    <row r="734">
      <c r="A734" s="73"/>
      <c r="B734" s="73"/>
      <c r="C734" s="73"/>
      <c r="D734" s="73"/>
      <c r="E734" s="73"/>
      <c r="F734" s="73"/>
    </row>
    <row r="735">
      <c r="A735" s="73"/>
      <c r="B735" s="73"/>
      <c r="C735" s="73"/>
      <c r="D735" s="73"/>
      <c r="E735" s="73"/>
      <c r="F735" s="73"/>
    </row>
    <row r="736">
      <c r="A736" s="73"/>
      <c r="B736" s="73"/>
      <c r="C736" s="73"/>
      <c r="D736" s="73"/>
      <c r="E736" s="73"/>
      <c r="F736" s="73"/>
    </row>
    <row r="737">
      <c r="A737" s="73"/>
      <c r="B737" s="73"/>
      <c r="C737" s="73"/>
      <c r="D737" s="73"/>
      <c r="E737" s="73"/>
      <c r="F737" s="73"/>
    </row>
    <row r="738">
      <c r="A738" s="73"/>
      <c r="B738" s="73"/>
      <c r="C738" s="73"/>
      <c r="D738" s="73"/>
      <c r="E738" s="73"/>
      <c r="F738" s="73"/>
    </row>
    <row r="739">
      <c r="A739" s="73"/>
      <c r="B739" s="73"/>
      <c r="C739" s="73"/>
      <c r="D739" s="73"/>
      <c r="E739" s="73"/>
      <c r="F739" s="73"/>
    </row>
    <row r="740">
      <c r="A740" s="73"/>
      <c r="B740" s="73"/>
      <c r="C740" s="73"/>
      <c r="D740" s="73"/>
      <c r="E740" s="73"/>
      <c r="F740" s="73"/>
    </row>
    <row r="741">
      <c r="A741" s="73"/>
      <c r="B741" s="73"/>
      <c r="C741" s="73"/>
      <c r="D741" s="73"/>
      <c r="E741" s="73"/>
      <c r="F741" s="73"/>
    </row>
    <row r="742">
      <c r="A742" s="73"/>
      <c r="B742" s="73"/>
      <c r="C742" s="73"/>
      <c r="D742" s="73"/>
      <c r="E742" s="73"/>
      <c r="F742" s="73"/>
    </row>
    <row r="743">
      <c r="A743" s="73"/>
      <c r="B743" s="73"/>
      <c r="C743" s="73"/>
      <c r="D743" s="73"/>
      <c r="E743" s="73"/>
      <c r="F743" s="73"/>
    </row>
    <row r="744">
      <c r="A744" s="73"/>
      <c r="B744" s="73"/>
      <c r="C744" s="73"/>
      <c r="D744" s="73"/>
      <c r="E744" s="73"/>
      <c r="F744" s="73"/>
    </row>
    <row r="745">
      <c r="A745" s="73"/>
      <c r="B745" s="73"/>
      <c r="C745" s="73"/>
      <c r="D745" s="73"/>
      <c r="E745" s="73"/>
      <c r="F745" s="73"/>
    </row>
    <row r="746">
      <c r="A746" s="73"/>
      <c r="B746" s="73"/>
      <c r="C746" s="73"/>
      <c r="D746" s="73"/>
      <c r="E746" s="73"/>
      <c r="F746" s="73"/>
    </row>
    <row r="747">
      <c r="A747" s="73"/>
      <c r="B747" s="73"/>
      <c r="C747" s="73"/>
      <c r="D747" s="73"/>
      <c r="E747" s="73"/>
      <c r="F747" s="73"/>
    </row>
    <row r="748">
      <c r="A748" s="73"/>
      <c r="B748" s="73"/>
      <c r="C748" s="73"/>
      <c r="D748" s="73"/>
      <c r="E748" s="73"/>
      <c r="F748" s="73"/>
    </row>
    <row r="749">
      <c r="A749" s="73"/>
      <c r="B749" s="73"/>
      <c r="C749" s="73"/>
      <c r="D749" s="73"/>
      <c r="E749" s="73"/>
      <c r="F749" s="73"/>
    </row>
    <row r="750">
      <c r="A750" s="73"/>
      <c r="B750" s="73"/>
      <c r="C750" s="73"/>
      <c r="D750" s="73"/>
      <c r="E750" s="73"/>
      <c r="F750" s="73"/>
    </row>
    <row r="751">
      <c r="A751" s="73"/>
      <c r="B751" s="73"/>
      <c r="C751" s="73"/>
      <c r="D751" s="73"/>
      <c r="E751" s="73"/>
      <c r="F751" s="73"/>
    </row>
    <row r="752">
      <c r="A752" s="73"/>
      <c r="B752" s="73"/>
      <c r="C752" s="73"/>
      <c r="D752" s="73"/>
      <c r="E752" s="73"/>
      <c r="F752" s="73"/>
    </row>
    <row r="753">
      <c r="A753" s="73"/>
      <c r="B753" s="73"/>
      <c r="C753" s="73"/>
      <c r="D753" s="73"/>
      <c r="E753" s="73"/>
      <c r="F753" s="73"/>
    </row>
    <row r="754">
      <c r="A754" s="73"/>
      <c r="B754" s="73"/>
      <c r="C754" s="73"/>
      <c r="D754" s="73"/>
      <c r="E754" s="73"/>
      <c r="F754" s="73"/>
    </row>
    <row r="755">
      <c r="A755" s="73"/>
      <c r="B755" s="73"/>
      <c r="C755" s="73"/>
      <c r="D755" s="73"/>
      <c r="E755" s="73"/>
      <c r="F755" s="73"/>
    </row>
    <row r="756">
      <c r="A756" s="73"/>
      <c r="B756" s="73"/>
      <c r="C756" s="73"/>
      <c r="D756" s="73"/>
      <c r="E756" s="73"/>
      <c r="F756" s="73"/>
    </row>
    <row r="757">
      <c r="A757" s="73"/>
      <c r="B757" s="73"/>
      <c r="C757" s="73"/>
      <c r="D757" s="73"/>
      <c r="E757" s="73"/>
      <c r="F757" s="73"/>
    </row>
    <row r="758">
      <c r="A758" s="73"/>
      <c r="B758" s="73"/>
      <c r="C758" s="73"/>
      <c r="D758" s="73"/>
      <c r="E758" s="73"/>
      <c r="F758" s="73"/>
    </row>
    <row r="759">
      <c r="A759" s="73"/>
      <c r="B759" s="73"/>
      <c r="C759" s="73"/>
      <c r="D759" s="73"/>
      <c r="E759" s="73"/>
      <c r="F759" s="73"/>
    </row>
    <row r="760">
      <c r="A760" s="73"/>
      <c r="B760" s="73"/>
      <c r="C760" s="73"/>
      <c r="D760" s="73"/>
      <c r="E760" s="73"/>
      <c r="F760" s="73"/>
    </row>
    <row r="761">
      <c r="A761" s="73"/>
      <c r="B761" s="73"/>
      <c r="C761" s="73"/>
      <c r="D761" s="73"/>
      <c r="E761" s="73"/>
      <c r="F761" s="73"/>
    </row>
    <row r="762">
      <c r="A762" s="73"/>
      <c r="B762" s="73"/>
      <c r="C762" s="73"/>
      <c r="D762" s="73"/>
      <c r="E762" s="73"/>
      <c r="F762" s="73"/>
    </row>
    <row r="763">
      <c r="A763" s="73"/>
      <c r="B763" s="73"/>
      <c r="C763" s="73"/>
      <c r="D763" s="73"/>
      <c r="E763" s="73"/>
      <c r="F763" s="73"/>
    </row>
    <row r="764">
      <c r="A764" s="73"/>
      <c r="B764" s="73"/>
      <c r="C764" s="73"/>
      <c r="D764" s="73"/>
      <c r="E764" s="73"/>
      <c r="F764" s="73"/>
    </row>
    <row r="765">
      <c r="A765" s="73"/>
      <c r="B765" s="73"/>
      <c r="C765" s="73"/>
      <c r="D765" s="73"/>
      <c r="E765" s="73"/>
      <c r="F765" s="73"/>
    </row>
    <row r="766">
      <c r="A766" s="73"/>
      <c r="B766" s="73"/>
      <c r="C766" s="73"/>
      <c r="D766" s="73"/>
      <c r="E766" s="73"/>
      <c r="F766" s="73"/>
    </row>
    <row r="767">
      <c r="A767" s="73"/>
      <c r="B767" s="73"/>
      <c r="C767" s="73"/>
      <c r="D767" s="73"/>
      <c r="E767" s="73"/>
      <c r="F767" s="73"/>
    </row>
    <row r="768">
      <c r="A768" s="73"/>
      <c r="B768" s="73"/>
      <c r="C768" s="73"/>
      <c r="D768" s="73"/>
      <c r="E768" s="73"/>
      <c r="F768" s="73"/>
    </row>
    <row r="769">
      <c r="A769" s="73"/>
      <c r="B769" s="73"/>
      <c r="C769" s="73"/>
      <c r="D769" s="73"/>
      <c r="E769" s="73"/>
      <c r="F769" s="73"/>
    </row>
    <row r="770">
      <c r="A770" s="73"/>
      <c r="B770" s="73"/>
      <c r="C770" s="73"/>
      <c r="D770" s="73"/>
      <c r="E770" s="73"/>
      <c r="F770" s="73"/>
    </row>
    <row r="771">
      <c r="A771" s="73"/>
      <c r="B771" s="73"/>
      <c r="C771" s="73"/>
      <c r="D771" s="73"/>
      <c r="E771" s="73"/>
      <c r="F771" s="73"/>
    </row>
    <row r="772">
      <c r="A772" s="73"/>
      <c r="B772" s="73"/>
      <c r="C772" s="73"/>
      <c r="D772" s="73"/>
      <c r="E772" s="73"/>
      <c r="F772" s="73"/>
    </row>
    <row r="773">
      <c r="A773" s="73"/>
      <c r="B773" s="73"/>
      <c r="C773" s="73"/>
      <c r="D773" s="73"/>
      <c r="E773" s="73"/>
      <c r="F773" s="73"/>
    </row>
    <row r="774">
      <c r="A774" s="73"/>
      <c r="B774" s="73"/>
      <c r="C774" s="73"/>
      <c r="D774" s="73"/>
      <c r="E774" s="73"/>
      <c r="F774" s="73"/>
    </row>
    <row r="775">
      <c r="A775" s="73"/>
      <c r="B775" s="73"/>
      <c r="C775" s="73"/>
      <c r="D775" s="73"/>
      <c r="E775" s="73"/>
      <c r="F775" s="73"/>
    </row>
    <row r="776">
      <c r="A776" s="73"/>
      <c r="B776" s="73"/>
      <c r="C776" s="73"/>
      <c r="D776" s="73"/>
      <c r="E776" s="73"/>
      <c r="F776" s="73"/>
    </row>
    <row r="777">
      <c r="A777" s="73"/>
      <c r="B777" s="73"/>
      <c r="C777" s="73"/>
      <c r="D777" s="73"/>
      <c r="E777" s="73"/>
      <c r="F777" s="73"/>
    </row>
    <row r="778">
      <c r="A778" s="73"/>
      <c r="B778" s="73"/>
      <c r="C778" s="73"/>
      <c r="D778" s="73"/>
      <c r="E778" s="73"/>
      <c r="F778" s="73"/>
    </row>
    <row r="779">
      <c r="A779" s="73"/>
      <c r="B779" s="73"/>
      <c r="C779" s="73"/>
      <c r="D779" s="73"/>
      <c r="E779" s="73"/>
      <c r="F779" s="73"/>
    </row>
    <row r="780">
      <c r="A780" s="73"/>
      <c r="B780" s="73"/>
      <c r="C780" s="73"/>
      <c r="D780" s="73"/>
      <c r="E780" s="73"/>
      <c r="F780" s="73"/>
    </row>
    <row r="781">
      <c r="A781" s="73"/>
      <c r="B781" s="73"/>
      <c r="C781" s="73"/>
      <c r="D781" s="73"/>
      <c r="E781" s="73"/>
      <c r="F781" s="73"/>
    </row>
    <row r="782">
      <c r="A782" s="73"/>
      <c r="B782" s="73"/>
      <c r="C782" s="73"/>
      <c r="D782" s="73"/>
      <c r="E782" s="73"/>
      <c r="F782" s="73"/>
    </row>
    <row r="783">
      <c r="A783" s="73"/>
      <c r="B783" s="73"/>
      <c r="C783" s="73"/>
      <c r="D783" s="73"/>
      <c r="E783" s="73"/>
      <c r="F783" s="73"/>
    </row>
    <row r="784">
      <c r="A784" s="73"/>
      <c r="B784" s="73"/>
      <c r="C784" s="73"/>
      <c r="D784" s="73"/>
      <c r="E784" s="73"/>
      <c r="F784" s="73"/>
    </row>
    <row r="785">
      <c r="A785" s="73"/>
      <c r="B785" s="73"/>
      <c r="C785" s="73"/>
      <c r="D785" s="73"/>
      <c r="E785" s="73"/>
      <c r="F785" s="73"/>
    </row>
    <row r="786">
      <c r="A786" s="73"/>
      <c r="B786" s="73"/>
      <c r="C786" s="73"/>
      <c r="D786" s="73"/>
      <c r="E786" s="73"/>
      <c r="F786" s="73"/>
    </row>
    <row r="787">
      <c r="A787" s="73"/>
      <c r="B787" s="73"/>
      <c r="C787" s="73"/>
      <c r="D787" s="73"/>
      <c r="E787" s="73"/>
      <c r="F787" s="73"/>
    </row>
    <row r="788">
      <c r="A788" s="73"/>
      <c r="B788" s="73"/>
      <c r="C788" s="73"/>
      <c r="D788" s="73"/>
      <c r="E788" s="73"/>
      <c r="F788" s="73"/>
    </row>
    <row r="789">
      <c r="A789" s="73"/>
      <c r="B789" s="73"/>
      <c r="C789" s="73"/>
      <c r="D789" s="73"/>
      <c r="E789" s="73"/>
      <c r="F789" s="73"/>
    </row>
    <row r="790">
      <c r="A790" s="73"/>
      <c r="B790" s="73"/>
      <c r="C790" s="73"/>
      <c r="D790" s="73"/>
      <c r="E790" s="73"/>
      <c r="F790" s="73"/>
    </row>
    <row r="791">
      <c r="A791" s="73"/>
      <c r="B791" s="73"/>
      <c r="C791" s="73"/>
      <c r="D791" s="73"/>
      <c r="E791" s="73"/>
      <c r="F791" s="73"/>
    </row>
    <row r="792">
      <c r="A792" s="73"/>
      <c r="B792" s="73"/>
      <c r="C792" s="73"/>
      <c r="D792" s="73"/>
      <c r="E792" s="73"/>
      <c r="F792" s="73"/>
    </row>
    <row r="793">
      <c r="A793" s="73"/>
      <c r="B793" s="73"/>
      <c r="C793" s="73"/>
      <c r="D793" s="73"/>
      <c r="E793" s="73"/>
      <c r="F793" s="73"/>
    </row>
    <row r="794">
      <c r="A794" s="73"/>
      <c r="B794" s="73"/>
      <c r="C794" s="73"/>
      <c r="D794" s="73"/>
      <c r="E794" s="73"/>
      <c r="F794" s="73"/>
    </row>
    <row r="795">
      <c r="A795" s="73"/>
      <c r="B795" s="73"/>
      <c r="C795" s="73"/>
      <c r="D795" s="73"/>
      <c r="E795" s="73"/>
      <c r="F795" s="73"/>
    </row>
    <row r="796">
      <c r="A796" s="73"/>
      <c r="B796" s="73"/>
      <c r="C796" s="73"/>
      <c r="D796" s="73"/>
      <c r="E796" s="73"/>
      <c r="F796" s="73"/>
    </row>
    <row r="797">
      <c r="A797" s="73"/>
      <c r="B797" s="73"/>
      <c r="C797" s="73"/>
      <c r="D797" s="73"/>
      <c r="E797" s="73"/>
      <c r="F797" s="73"/>
    </row>
    <row r="798">
      <c r="A798" s="73"/>
      <c r="B798" s="73"/>
      <c r="C798" s="73"/>
      <c r="D798" s="73"/>
      <c r="E798" s="73"/>
      <c r="F798" s="73"/>
    </row>
    <row r="799">
      <c r="A799" s="73"/>
      <c r="B799" s="73"/>
      <c r="C799" s="73"/>
      <c r="D799" s="73"/>
      <c r="E799" s="73"/>
      <c r="F799" s="73"/>
    </row>
    <row r="800">
      <c r="A800" s="73"/>
      <c r="B800" s="73"/>
      <c r="C800" s="73"/>
      <c r="D800" s="73"/>
      <c r="E800" s="73"/>
      <c r="F800" s="73"/>
    </row>
    <row r="801">
      <c r="A801" s="73"/>
      <c r="B801" s="73"/>
      <c r="C801" s="73"/>
      <c r="D801" s="73"/>
      <c r="E801" s="73"/>
      <c r="F801" s="73"/>
    </row>
    <row r="802">
      <c r="A802" s="73"/>
      <c r="B802" s="73"/>
      <c r="C802" s="73"/>
      <c r="D802" s="73"/>
      <c r="E802" s="73"/>
      <c r="F802" s="73"/>
    </row>
    <row r="803">
      <c r="A803" s="73"/>
      <c r="B803" s="73"/>
      <c r="C803" s="73"/>
      <c r="D803" s="73"/>
      <c r="E803" s="73"/>
      <c r="F803" s="73"/>
    </row>
    <row r="804">
      <c r="A804" s="73"/>
      <c r="B804" s="73"/>
      <c r="C804" s="73"/>
      <c r="D804" s="73"/>
      <c r="E804" s="73"/>
      <c r="F804" s="73"/>
    </row>
    <row r="805">
      <c r="A805" s="73"/>
      <c r="B805" s="73"/>
      <c r="C805" s="73"/>
      <c r="D805" s="73"/>
      <c r="E805" s="73"/>
      <c r="F805" s="73"/>
    </row>
    <row r="806">
      <c r="A806" s="73"/>
      <c r="B806" s="73"/>
      <c r="C806" s="73"/>
      <c r="D806" s="73"/>
      <c r="E806" s="73"/>
      <c r="F806" s="73"/>
    </row>
    <row r="807">
      <c r="A807" s="73"/>
      <c r="B807" s="73"/>
      <c r="C807" s="73"/>
      <c r="D807" s="73"/>
      <c r="E807" s="73"/>
      <c r="F807" s="73"/>
    </row>
    <row r="808">
      <c r="A808" s="73"/>
      <c r="B808" s="73"/>
      <c r="C808" s="73"/>
      <c r="D808" s="73"/>
      <c r="E808" s="73"/>
      <c r="F808" s="73"/>
    </row>
    <row r="809">
      <c r="A809" s="73"/>
      <c r="B809" s="73"/>
      <c r="C809" s="73"/>
      <c r="D809" s="73"/>
      <c r="E809" s="73"/>
      <c r="F809" s="73"/>
    </row>
    <row r="810">
      <c r="A810" s="73"/>
      <c r="B810" s="73"/>
      <c r="C810" s="73"/>
      <c r="D810" s="73"/>
      <c r="E810" s="73"/>
      <c r="F810" s="73"/>
    </row>
    <row r="811">
      <c r="A811" s="73"/>
      <c r="B811" s="73"/>
      <c r="C811" s="73"/>
      <c r="D811" s="73"/>
      <c r="E811" s="73"/>
      <c r="F811" s="73"/>
    </row>
    <row r="812">
      <c r="A812" s="73"/>
      <c r="B812" s="73"/>
      <c r="C812" s="73"/>
      <c r="D812" s="73"/>
      <c r="E812" s="73"/>
      <c r="F812" s="73"/>
    </row>
    <row r="813">
      <c r="A813" s="73"/>
      <c r="B813" s="73"/>
      <c r="C813" s="73"/>
      <c r="D813" s="73"/>
      <c r="E813" s="73"/>
      <c r="F813" s="73"/>
    </row>
    <row r="814">
      <c r="A814" s="73"/>
      <c r="B814" s="73"/>
      <c r="C814" s="73"/>
      <c r="D814" s="73"/>
      <c r="E814" s="73"/>
      <c r="F814" s="73"/>
    </row>
    <row r="815">
      <c r="A815" s="73"/>
      <c r="B815" s="73"/>
      <c r="C815" s="73"/>
      <c r="D815" s="73"/>
      <c r="E815" s="73"/>
      <c r="F815" s="73"/>
    </row>
    <row r="816">
      <c r="A816" s="73"/>
      <c r="B816" s="73"/>
      <c r="C816" s="73"/>
      <c r="D816" s="73"/>
      <c r="E816" s="73"/>
      <c r="F816" s="73"/>
    </row>
    <row r="817">
      <c r="A817" s="73"/>
      <c r="B817" s="73"/>
      <c r="C817" s="73"/>
      <c r="D817" s="73"/>
      <c r="E817" s="73"/>
      <c r="F817" s="73"/>
    </row>
    <row r="818">
      <c r="A818" s="73"/>
      <c r="B818" s="73"/>
      <c r="C818" s="73"/>
      <c r="D818" s="73"/>
      <c r="E818" s="73"/>
      <c r="F818" s="73"/>
    </row>
    <row r="819">
      <c r="A819" s="73"/>
      <c r="B819" s="73"/>
      <c r="C819" s="73"/>
      <c r="D819" s="73"/>
      <c r="E819" s="73"/>
      <c r="F819" s="73"/>
    </row>
    <row r="820">
      <c r="A820" s="73"/>
      <c r="B820" s="73"/>
      <c r="C820" s="73"/>
      <c r="D820" s="73"/>
      <c r="E820" s="73"/>
      <c r="F820" s="73"/>
    </row>
    <row r="821">
      <c r="A821" s="73"/>
      <c r="B821" s="73"/>
      <c r="C821" s="73"/>
      <c r="D821" s="73"/>
      <c r="E821" s="73"/>
      <c r="F821" s="73"/>
    </row>
    <row r="822">
      <c r="A822" s="73"/>
      <c r="B822" s="73"/>
      <c r="C822" s="73"/>
      <c r="D822" s="73"/>
      <c r="E822" s="73"/>
      <c r="F822" s="73"/>
    </row>
    <row r="823">
      <c r="A823" s="73"/>
      <c r="B823" s="73"/>
      <c r="C823" s="73"/>
      <c r="D823" s="73"/>
      <c r="E823" s="73"/>
      <c r="F823" s="73"/>
    </row>
    <row r="824">
      <c r="A824" s="73"/>
      <c r="B824" s="73"/>
      <c r="C824" s="73"/>
      <c r="D824" s="73"/>
      <c r="E824" s="73"/>
      <c r="F824" s="73"/>
    </row>
    <row r="825">
      <c r="A825" s="73"/>
      <c r="B825" s="73"/>
      <c r="C825" s="73"/>
      <c r="D825" s="73"/>
      <c r="E825" s="73"/>
      <c r="F825" s="73"/>
    </row>
    <row r="826">
      <c r="A826" s="73"/>
      <c r="B826" s="73"/>
      <c r="C826" s="73"/>
      <c r="D826" s="73"/>
      <c r="E826" s="73"/>
      <c r="F826" s="73"/>
    </row>
    <row r="827">
      <c r="A827" s="73"/>
      <c r="B827" s="73"/>
      <c r="C827" s="73"/>
      <c r="D827" s="73"/>
      <c r="E827" s="73"/>
      <c r="F827" s="73"/>
    </row>
    <row r="828">
      <c r="A828" s="73"/>
      <c r="B828" s="73"/>
      <c r="C828" s="73"/>
      <c r="D828" s="73"/>
      <c r="E828" s="73"/>
      <c r="F828" s="73"/>
    </row>
    <row r="829">
      <c r="A829" s="73"/>
      <c r="B829" s="73"/>
      <c r="C829" s="73"/>
      <c r="D829" s="73"/>
      <c r="E829" s="73"/>
      <c r="F829" s="73"/>
    </row>
    <row r="830">
      <c r="A830" s="73"/>
      <c r="B830" s="73"/>
      <c r="C830" s="73"/>
      <c r="D830" s="73"/>
      <c r="E830" s="73"/>
      <c r="F830" s="73"/>
    </row>
    <row r="831">
      <c r="A831" s="73"/>
      <c r="B831" s="73"/>
      <c r="C831" s="73"/>
      <c r="D831" s="73"/>
      <c r="E831" s="73"/>
      <c r="F831" s="73"/>
    </row>
    <row r="832">
      <c r="A832" s="73"/>
      <c r="B832" s="73"/>
      <c r="C832" s="73"/>
      <c r="D832" s="73"/>
      <c r="E832" s="73"/>
      <c r="F832" s="73"/>
    </row>
    <row r="833">
      <c r="A833" s="73"/>
      <c r="B833" s="73"/>
      <c r="C833" s="73"/>
      <c r="D833" s="73"/>
      <c r="E833" s="73"/>
      <c r="F833" s="73"/>
    </row>
    <row r="834">
      <c r="A834" s="73"/>
      <c r="B834" s="73"/>
      <c r="C834" s="73"/>
      <c r="D834" s="73"/>
      <c r="E834" s="73"/>
      <c r="F834" s="73"/>
    </row>
    <row r="835">
      <c r="A835" s="73"/>
      <c r="B835" s="73"/>
      <c r="C835" s="73"/>
      <c r="D835" s="73"/>
      <c r="E835" s="73"/>
      <c r="F835" s="73"/>
    </row>
    <row r="836">
      <c r="A836" s="73"/>
      <c r="B836" s="73"/>
      <c r="C836" s="73"/>
      <c r="D836" s="73"/>
      <c r="E836" s="73"/>
      <c r="F836" s="73"/>
    </row>
    <row r="837">
      <c r="A837" s="73"/>
      <c r="B837" s="73"/>
      <c r="C837" s="73"/>
      <c r="D837" s="73"/>
      <c r="E837" s="73"/>
      <c r="F837" s="73"/>
    </row>
    <row r="838">
      <c r="A838" s="73"/>
      <c r="B838" s="73"/>
      <c r="C838" s="73"/>
      <c r="D838" s="73"/>
      <c r="E838" s="73"/>
      <c r="F838" s="73"/>
    </row>
    <row r="839">
      <c r="A839" s="73"/>
      <c r="B839" s="73"/>
      <c r="C839" s="73"/>
      <c r="D839" s="73"/>
      <c r="E839" s="73"/>
      <c r="F839" s="73"/>
    </row>
    <row r="840">
      <c r="A840" s="73"/>
      <c r="B840" s="73"/>
      <c r="C840" s="73"/>
      <c r="D840" s="73"/>
      <c r="E840" s="73"/>
      <c r="F840" s="73"/>
    </row>
    <row r="841">
      <c r="A841" s="73"/>
      <c r="B841" s="73"/>
      <c r="C841" s="73"/>
      <c r="D841" s="73"/>
      <c r="E841" s="73"/>
      <c r="F841" s="73"/>
    </row>
    <row r="842">
      <c r="A842" s="73"/>
      <c r="B842" s="73"/>
      <c r="C842" s="73"/>
      <c r="D842" s="73"/>
      <c r="E842" s="73"/>
      <c r="F842" s="73"/>
    </row>
    <row r="843">
      <c r="A843" s="73"/>
      <c r="B843" s="73"/>
      <c r="C843" s="73"/>
      <c r="D843" s="73"/>
      <c r="E843" s="73"/>
      <c r="F843" s="73"/>
    </row>
    <row r="844">
      <c r="A844" s="73"/>
      <c r="B844" s="73"/>
      <c r="C844" s="73"/>
      <c r="D844" s="73"/>
      <c r="E844" s="73"/>
      <c r="F844" s="73"/>
    </row>
    <row r="845">
      <c r="A845" s="73"/>
      <c r="B845" s="73"/>
      <c r="C845" s="73"/>
      <c r="D845" s="73"/>
      <c r="E845" s="73"/>
      <c r="F845" s="73"/>
    </row>
    <row r="846">
      <c r="A846" s="73"/>
      <c r="B846" s="73"/>
      <c r="C846" s="73"/>
      <c r="D846" s="73"/>
      <c r="E846" s="73"/>
      <c r="F846" s="73"/>
    </row>
    <row r="847">
      <c r="A847" s="73"/>
      <c r="B847" s="73"/>
      <c r="C847" s="73"/>
      <c r="D847" s="73"/>
      <c r="E847" s="73"/>
      <c r="F847" s="73"/>
    </row>
    <row r="848">
      <c r="A848" s="73"/>
      <c r="B848" s="73"/>
      <c r="C848" s="73"/>
      <c r="D848" s="73"/>
      <c r="E848" s="73"/>
      <c r="F848" s="73"/>
    </row>
    <row r="849">
      <c r="A849" s="73"/>
      <c r="B849" s="73"/>
      <c r="C849" s="73"/>
      <c r="D849" s="73"/>
      <c r="E849" s="73"/>
      <c r="F849" s="73"/>
    </row>
    <row r="850">
      <c r="A850" s="73"/>
      <c r="B850" s="73"/>
      <c r="C850" s="73"/>
      <c r="D850" s="73"/>
      <c r="E850" s="73"/>
      <c r="F850" s="73"/>
    </row>
    <row r="851">
      <c r="A851" s="73"/>
      <c r="B851" s="73"/>
      <c r="C851" s="73"/>
      <c r="D851" s="73"/>
      <c r="E851" s="73"/>
      <c r="F851" s="73"/>
    </row>
    <row r="852">
      <c r="A852" s="73"/>
      <c r="B852" s="73"/>
      <c r="C852" s="73"/>
      <c r="D852" s="73"/>
      <c r="E852" s="73"/>
      <c r="F852" s="73"/>
    </row>
    <row r="853">
      <c r="A853" s="73"/>
      <c r="B853" s="73"/>
      <c r="C853" s="73"/>
      <c r="D853" s="73"/>
      <c r="E853" s="73"/>
      <c r="F853" s="73"/>
    </row>
    <row r="854">
      <c r="A854" s="73"/>
      <c r="B854" s="73"/>
      <c r="C854" s="73"/>
      <c r="D854" s="73"/>
      <c r="E854" s="73"/>
      <c r="F854" s="73"/>
    </row>
    <row r="855">
      <c r="A855" s="73"/>
      <c r="B855" s="73"/>
      <c r="C855" s="73"/>
      <c r="D855" s="73"/>
      <c r="E855" s="73"/>
      <c r="F855" s="73"/>
    </row>
    <row r="856">
      <c r="A856" s="73"/>
      <c r="B856" s="73"/>
      <c r="C856" s="73"/>
      <c r="D856" s="73"/>
      <c r="E856" s="73"/>
      <c r="F856" s="73"/>
    </row>
    <row r="857">
      <c r="A857" s="73"/>
      <c r="B857" s="73"/>
      <c r="C857" s="73"/>
      <c r="D857" s="73"/>
      <c r="E857" s="73"/>
      <c r="F857" s="73"/>
    </row>
    <row r="858">
      <c r="A858" s="73"/>
      <c r="B858" s="73"/>
      <c r="C858" s="73"/>
      <c r="D858" s="73"/>
      <c r="E858" s="73"/>
      <c r="F858" s="73"/>
    </row>
    <row r="859">
      <c r="A859" s="73"/>
      <c r="B859" s="73"/>
      <c r="C859" s="73"/>
      <c r="D859" s="73"/>
      <c r="E859" s="73"/>
      <c r="F859" s="73"/>
    </row>
    <row r="860">
      <c r="A860" s="73"/>
      <c r="B860" s="73"/>
      <c r="C860" s="73"/>
      <c r="D860" s="73"/>
      <c r="E860" s="73"/>
      <c r="F860" s="73"/>
    </row>
    <row r="861">
      <c r="A861" s="73"/>
      <c r="B861" s="73"/>
      <c r="C861" s="73"/>
      <c r="D861" s="73"/>
      <c r="E861" s="73"/>
      <c r="F861" s="73"/>
    </row>
    <row r="862">
      <c r="A862" s="73"/>
      <c r="B862" s="73"/>
      <c r="C862" s="73"/>
      <c r="D862" s="73"/>
      <c r="E862" s="73"/>
      <c r="F862" s="73"/>
    </row>
    <row r="863">
      <c r="A863" s="73"/>
      <c r="B863" s="73"/>
      <c r="C863" s="73"/>
      <c r="D863" s="73"/>
      <c r="E863" s="73"/>
      <c r="F863" s="73"/>
    </row>
    <row r="864">
      <c r="A864" s="73"/>
      <c r="B864" s="73"/>
      <c r="C864" s="73"/>
      <c r="D864" s="73"/>
      <c r="E864" s="73"/>
      <c r="F864" s="73"/>
    </row>
    <row r="865">
      <c r="A865" s="73"/>
      <c r="B865" s="73"/>
      <c r="C865" s="73"/>
      <c r="D865" s="73"/>
      <c r="E865" s="73"/>
      <c r="F865" s="73"/>
    </row>
    <row r="866">
      <c r="A866" s="73"/>
      <c r="B866" s="73"/>
      <c r="C866" s="73"/>
      <c r="D866" s="73"/>
      <c r="E866" s="73"/>
      <c r="F866" s="73"/>
    </row>
    <row r="867">
      <c r="A867" s="73"/>
      <c r="B867" s="73"/>
      <c r="C867" s="73"/>
      <c r="D867" s="73"/>
      <c r="E867" s="73"/>
      <c r="F867" s="73"/>
    </row>
    <row r="868">
      <c r="A868" s="73"/>
      <c r="B868" s="73"/>
      <c r="C868" s="73"/>
      <c r="D868" s="73"/>
      <c r="E868" s="73"/>
      <c r="F868" s="73"/>
    </row>
    <row r="869">
      <c r="A869" s="73"/>
      <c r="B869" s="73"/>
      <c r="C869" s="73"/>
      <c r="D869" s="73"/>
      <c r="E869" s="73"/>
      <c r="F869" s="73"/>
    </row>
    <row r="870">
      <c r="A870" s="73"/>
      <c r="B870" s="73"/>
      <c r="C870" s="73"/>
      <c r="D870" s="73"/>
      <c r="E870" s="73"/>
      <c r="F870" s="73"/>
    </row>
    <row r="871">
      <c r="A871" s="73"/>
      <c r="B871" s="73"/>
      <c r="C871" s="73"/>
      <c r="D871" s="73"/>
      <c r="E871" s="73"/>
      <c r="F871" s="73"/>
    </row>
    <row r="872">
      <c r="A872" s="73"/>
      <c r="B872" s="73"/>
      <c r="C872" s="73"/>
      <c r="D872" s="73"/>
      <c r="E872" s="73"/>
      <c r="F872" s="73"/>
    </row>
    <row r="873">
      <c r="A873" s="73"/>
      <c r="B873" s="73"/>
      <c r="C873" s="73"/>
      <c r="D873" s="73"/>
      <c r="E873" s="73"/>
      <c r="F873" s="73"/>
    </row>
    <row r="874">
      <c r="A874" s="73"/>
      <c r="B874" s="73"/>
      <c r="C874" s="73"/>
      <c r="D874" s="73"/>
      <c r="E874" s="73"/>
      <c r="F874" s="73"/>
    </row>
    <row r="875">
      <c r="A875" s="73"/>
      <c r="B875" s="73"/>
      <c r="C875" s="73"/>
      <c r="D875" s="73"/>
      <c r="E875" s="73"/>
      <c r="F875" s="73"/>
    </row>
    <row r="876">
      <c r="A876" s="73"/>
      <c r="B876" s="73"/>
      <c r="C876" s="73"/>
      <c r="D876" s="73"/>
      <c r="E876" s="73"/>
      <c r="F876" s="73"/>
    </row>
    <row r="877">
      <c r="A877" s="73"/>
      <c r="B877" s="73"/>
      <c r="C877" s="73"/>
      <c r="D877" s="73"/>
      <c r="E877" s="73"/>
      <c r="F877" s="73"/>
    </row>
    <row r="878">
      <c r="A878" s="73"/>
      <c r="B878" s="73"/>
      <c r="C878" s="73"/>
      <c r="D878" s="73"/>
      <c r="E878" s="73"/>
      <c r="F878" s="73"/>
    </row>
    <row r="879">
      <c r="A879" s="73"/>
      <c r="B879" s="73"/>
      <c r="C879" s="73"/>
      <c r="D879" s="73"/>
      <c r="E879" s="73"/>
      <c r="F879" s="73"/>
    </row>
    <row r="880">
      <c r="A880" s="73"/>
      <c r="B880" s="73"/>
      <c r="C880" s="73"/>
      <c r="D880" s="73"/>
      <c r="E880" s="73"/>
      <c r="F880" s="73"/>
    </row>
    <row r="881">
      <c r="A881" s="73"/>
      <c r="B881" s="73"/>
      <c r="C881" s="73"/>
      <c r="D881" s="73"/>
      <c r="E881" s="73"/>
      <c r="F881" s="73"/>
    </row>
    <row r="882">
      <c r="A882" s="73"/>
      <c r="B882" s="73"/>
      <c r="C882" s="73"/>
      <c r="D882" s="73"/>
      <c r="E882" s="73"/>
      <c r="F882" s="73"/>
    </row>
    <row r="883">
      <c r="A883" s="73"/>
      <c r="B883" s="73"/>
      <c r="C883" s="73"/>
      <c r="D883" s="73"/>
      <c r="E883" s="73"/>
      <c r="F883" s="73"/>
    </row>
    <row r="884">
      <c r="A884" s="73"/>
      <c r="B884" s="73"/>
      <c r="C884" s="73"/>
      <c r="D884" s="73"/>
      <c r="E884" s="73"/>
      <c r="F884" s="73"/>
    </row>
    <row r="885">
      <c r="A885" s="73"/>
      <c r="B885" s="73"/>
      <c r="C885" s="73"/>
      <c r="D885" s="73"/>
      <c r="E885" s="73"/>
      <c r="F885" s="73"/>
    </row>
    <row r="886">
      <c r="A886" s="73"/>
      <c r="B886" s="73"/>
      <c r="C886" s="73"/>
      <c r="D886" s="73"/>
      <c r="E886" s="73"/>
      <c r="F886" s="73"/>
    </row>
    <row r="887">
      <c r="A887" s="73"/>
      <c r="B887" s="73"/>
      <c r="C887" s="73"/>
      <c r="D887" s="73"/>
      <c r="E887" s="73"/>
      <c r="F887" s="73"/>
    </row>
    <row r="888">
      <c r="A888" s="73"/>
      <c r="B888" s="73"/>
      <c r="C888" s="73"/>
      <c r="D888" s="73"/>
      <c r="E888" s="73"/>
      <c r="F888" s="73"/>
    </row>
    <row r="889">
      <c r="A889" s="73"/>
      <c r="B889" s="73"/>
      <c r="C889" s="73"/>
      <c r="D889" s="73"/>
      <c r="E889" s="73"/>
      <c r="F889" s="73"/>
    </row>
    <row r="890">
      <c r="A890" s="73"/>
      <c r="B890" s="73"/>
      <c r="C890" s="73"/>
      <c r="D890" s="73"/>
      <c r="E890" s="73"/>
      <c r="F890" s="73"/>
    </row>
    <row r="891">
      <c r="A891" s="73"/>
      <c r="B891" s="73"/>
      <c r="C891" s="73"/>
      <c r="D891" s="73"/>
      <c r="E891" s="73"/>
      <c r="F891" s="73"/>
    </row>
    <row r="892">
      <c r="A892" s="73"/>
      <c r="B892" s="73"/>
      <c r="C892" s="73"/>
      <c r="D892" s="73"/>
      <c r="E892" s="73"/>
      <c r="F892" s="73"/>
    </row>
    <row r="893">
      <c r="A893" s="73"/>
      <c r="B893" s="73"/>
      <c r="C893" s="73"/>
      <c r="D893" s="73"/>
      <c r="E893" s="73"/>
      <c r="F893" s="73"/>
    </row>
    <row r="894">
      <c r="A894" s="73"/>
      <c r="B894" s="73"/>
      <c r="C894" s="73"/>
      <c r="D894" s="73"/>
      <c r="E894" s="73"/>
      <c r="F894" s="73"/>
    </row>
    <row r="895">
      <c r="A895" s="73"/>
      <c r="B895" s="73"/>
      <c r="C895" s="73"/>
      <c r="D895" s="73"/>
      <c r="E895" s="73"/>
      <c r="F895" s="73"/>
    </row>
    <row r="896">
      <c r="A896" s="73"/>
      <c r="B896" s="73"/>
      <c r="C896" s="73"/>
      <c r="D896" s="73"/>
      <c r="E896" s="73"/>
      <c r="F896" s="73"/>
    </row>
    <row r="897">
      <c r="A897" s="73"/>
      <c r="B897" s="73"/>
      <c r="C897" s="73"/>
      <c r="D897" s="73"/>
      <c r="E897" s="73"/>
      <c r="F897" s="73"/>
    </row>
    <row r="898">
      <c r="A898" s="73"/>
      <c r="B898" s="73"/>
      <c r="C898" s="73"/>
      <c r="D898" s="73"/>
      <c r="E898" s="73"/>
      <c r="F898" s="73"/>
    </row>
    <row r="899">
      <c r="A899" s="73"/>
      <c r="B899" s="73"/>
      <c r="C899" s="73"/>
      <c r="D899" s="73"/>
      <c r="E899" s="73"/>
      <c r="F899" s="73"/>
    </row>
    <row r="900">
      <c r="A900" s="73"/>
      <c r="B900" s="73"/>
      <c r="C900" s="73"/>
      <c r="D900" s="73"/>
      <c r="E900" s="73"/>
      <c r="F900" s="73"/>
    </row>
    <row r="901">
      <c r="A901" s="73"/>
      <c r="B901" s="73"/>
      <c r="C901" s="73"/>
      <c r="D901" s="73"/>
      <c r="E901" s="73"/>
      <c r="F901" s="73"/>
    </row>
    <row r="902">
      <c r="A902" s="73"/>
      <c r="B902" s="73"/>
      <c r="C902" s="73"/>
      <c r="D902" s="73"/>
      <c r="E902" s="73"/>
      <c r="F902" s="73"/>
    </row>
    <row r="903">
      <c r="A903" s="73"/>
      <c r="B903" s="73"/>
      <c r="C903" s="73"/>
      <c r="D903" s="73"/>
      <c r="E903" s="73"/>
      <c r="F903" s="73"/>
    </row>
    <row r="904">
      <c r="A904" s="73"/>
      <c r="B904" s="73"/>
      <c r="C904" s="73"/>
      <c r="D904" s="73"/>
      <c r="E904" s="73"/>
      <c r="F904" s="73"/>
    </row>
    <row r="905">
      <c r="A905" s="73"/>
      <c r="B905" s="73"/>
      <c r="C905" s="73"/>
      <c r="D905" s="73"/>
      <c r="E905" s="73"/>
      <c r="F905" s="73"/>
    </row>
    <row r="906">
      <c r="A906" s="73"/>
      <c r="B906" s="73"/>
      <c r="C906" s="73"/>
      <c r="D906" s="73"/>
      <c r="E906" s="73"/>
      <c r="F906" s="73"/>
    </row>
    <row r="907">
      <c r="A907" s="73"/>
      <c r="B907" s="73"/>
      <c r="C907" s="73"/>
      <c r="D907" s="73"/>
      <c r="E907" s="73"/>
      <c r="F907" s="73"/>
    </row>
    <row r="908">
      <c r="A908" s="73"/>
      <c r="B908" s="73"/>
      <c r="C908" s="73"/>
      <c r="D908" s="73"/>
      <c r="E908" s="73"/>
      <c r="F908" s="73"/>
    </row>
    <row r="909">
      <c r="A909" s="73"/>
      <c r="B909" s="73"/>
      <c r="C909" s="73"/>
      <c r="D909" s="73"/>
      <c r="E909" s="73"/>
      <c r="F909" s="73"/>
    </row>
    <row r="910">
      <c r="A910" s="73"/>
      <c r="B910" s="73"/>
      <c r="C910" s="73"/>
      <c r="D910" s="73"/>
      <c r="E910" s="73"/>
      <c r="F910" s="73"/>
    </row>
    <row r="911">
      <c r="A911" s="73"/>
      <c r="B911" s="73"/>
      <c r="C911" s="73"/>
      <c r="D911" s="73"/>
      <c r="E911" s="73"/>
      <c r="F911" s="73"/>
    </row>
    <row r="912">
      <c r="A912" s="73"/>
      <c r="B912" s="73"/>
      <c r="C912" s="73"/>
      <c r="D912" s="73"/>
      <c r="E912" s="73"/>
      <c r="F912" s="73"/>
    </row>
    <row r="913">
      <c r="A913" s="73"/>
      <c r="B913" s="73"/>
      <c r="C913" s="73"/>
      <c r="D913" s="73"/>
      <c r="E913" s="73"/>
      <c r="F913" s="73"/>
    </row>
    <row r="914">
      <c r="A914" s="73"/>
      <c r="B914" s="73"/>
      <c r="C914" s="73"/>
      <c r="D914" s="73"/>
      <c r="E914" s="73"/>
      <c r="F914" s="73"/>
    </row>
    <row r="915">
      <c r="A915" s="73"/>
      <c r="B915" s="73"/>
      <c r="C915" s="73"/>
      <c r="D915" s="73"/>
      <c r="E915" s="73"/>
      <c r="F915" s="73"/>
    </row>
    <row r="916">
      <c r="A916" s="73"/>
      <c r="B916" s="73"/>
      <c r="C916" s="73"/>
      <c r="D916" s="73"/>
      <c r="E916" s="73"/>
      <c r="F916" s="73"/>
    </row>
    <row r="917">
      <c r="A917" s="73"/>
      <c r="B917" s="73"/>
      <c r="C917" s="73"/>
      <c r="D917" s="73"/>
      <c r="E917" s="73"/>
      <c r="F917" s="73"/>
    </row>
    <row r="918">
      <c r="A918" s="73"/>
      <c r="B918" s="73"/>
      <c r="C918" s="73"/>
      <c r="D918" s="73"/>
      <c r="E918" s="73"/>
      <c r="F918" s="73"/>
    </row>
    <row r="919">
      <c r="A919" s="73"/>
      <c r="B919" s="73"/>
      <c r="C919" s="73"/>
      <c r="D919" s="73"/>
      <c r="E919" s="73"/>
      <c r="F919" s="73"/>
    </row>
    <row r="920">
      <c r="A920" s="73"/>
      <c r="B920" s="73"/>
      <c r="C920" s="73"/>
      <c r="D920" s="73"/>
      <c r="E920" s="73"/>
      <c r="F920" s="73"/>
    </row>
    <row r="921">
      <c r="A921" s="73"/>
      <c r="B921" s="73"/>
      <c r="C921" s="73"/>
      <c r="D921" s="73"/>
      <c r="E921" s="73"/>
      <c r="F921" s="73"/>
    </row>
    <row r="922">
      <c r="A922" s="73"/>
      <c r="B922" s="73"/>
      <c r="C922" s="73"/>
      <c r="D922" s="73"/>
      <c r="E922" s="73"/>
      <c r="F922" s="73"/>
    </row>
    <row r="923">
      <c r="A923" s="73"/>
      <c r="B923" s="73"/>
      <c r="C923" s="73"/>
      <c r="D923" s="73"/>
      <c r="E923" s="73"/>
      <c r="F923" s="73"/>
    </row>
    <row r="924">
      <c r="A924" s="73"/>
      <c r="B924" s="73"/>
      <c r="C924" s="73"/>
      <c r="D924" s="73"/>
      <c r="E924" s="73"/>
      <c r="F924" s="73"/>
    </row>
    <row r="925">
      <c r="A925" s="73"/>
      <c r="B925" s="73"/>
      <c r="C925" s="73"/>
      <c r="D925" s="73"/>
      <c r="E925" s="73"/>
      <c r="F925" s="73"/>
    </row>
    <row r="926">
      <c r="A926" s="73"/>
      <c r="B926" s="73"/>
      <c r="C926" s="73"/>
      <c r="D926" s="73"/>
      <c r="E926" s="73"/>
      <c r="F926" s="73"/>
    </row>
    <row r="927">
      <c r="A927" s="73"/>
      <c r="B927" s="73"/>
      <c r="C927" s="73"/>
      <c r="D927" s="73"/>
      <c r="E927" s="73"/>
      <c r="F927" s="73"/>
    </row>
    <row r="928">
      <c r="A928" s="73"/>
      <c r="B928" s="73"/>
      <c r="C928" s="73"/>
      <c r="D928" s="73"/>
      <c r="E928" s="73"/>
      <c r="F928" s="73"/>
    </row>
    <row r="929">
      <c r="A929" s="73"/>
      <c r="B929" s="73"/>
      <c r="C929" s="73"/>
      <c r="D929" s="73"/>
      <c r="E929" s="73"/>
      <c r="F929" s="73"/>
    </row>
    <row r="930">
      <c r="A930" s="73"/>
      <c r="B930" s="73"/>
      <c r="C930" s="73"/>
      <c r="D930" s="73"/>
      <c r="E930" s="73"/>
      <c r="F930" s="73"/>
    </row>
    <row r="931">
      <c r="A931" s="73"/>
      <c r="B931" s="73"/>
      <c r="C931" s="73"/>
      <c r="D931" s="73"/>
      <c r="E931" s="73"/>
      <c r="F931" s="73"/>
    </row>
    <row r="932">
      <c r="A932" s="73"/>
      <c r="B932" s="73"/>
      <c r="C932" s="73"/>
      <c r="D932" s="73"/>
      <c r="E932" s="73"/>
      <c r="F932" s="73"/>
    </row>
    <row r="933">
      <c r="A933" s="73"/>
      <c r="B933" s="73"/>
      <c r="C933" s="73"/>
      <c r="D933" s="73"/>
      <c r="E933" s="73"/>
      <c r="F933" s="73"/>
    </row>
    <row r="934">
      <c r="A934" s="73"/>
      <c r="B934" s="73"/>
      <c r="C934" s="73"/>
      <c r="D934" s="73"/>
      <c r="E934" s="73"/>
      <c r="F934" s="73"/>
    </row>
    <row r="935">
      <c r="A935" s="73"/>
      <c r="B935" s="73"/>
      <c r="C935" s="73"/>
      <c r="D935" s="73"/>
      <c r="E935" s="73"/>
      <c r="F935" s="73"/>
    </row>
    <row r="936">
      <c r="A936" s="73"/>
      <c r="B936" s="73"/>
      <c r="C936" s="73"/>
      <c r="D936" s="73"/>
      <c r="E936" s="73"/>
      <c r="F936" s="73"/>
    </row>
    <row r="937">
      <c r="A937" s="73"/>
      <c r="B937" s="73"/>
      <c r="C937" s="73"/>
      <c r="D937" s="73"/>
      <c r="E937" s="73"/>
      <c r="F937" s="73"/>
    </row>
    <row r="938">
      <c r="A938" s="73"/>
      <c r="B938" s="73"/>
      <c r="C938" s="73"/>
      <c r="D938" s="73"/>
      <c r="E938" s="73"/>
      <c r="F938" s="73"/>
    </row>
    <row r="939">
      <c r="A939" s="73"/>
      <c r="B939" s="73"/>
      <c r="C939" s="73"/>
      <c r="D939" s="73"/>
      <c r="E939" s="73"/>
      <c r="F939" s="73"/>
    </row>
    <row r="940">
      <c r="A940" s="73"/>
      <c r="B940" s="73"/>
      <c r="C940" s="73"/>
      <c r="D940" s="73"/>
      <c r="E940" s="73"/>
      <c r="F940" s="73"/>
    </row>
    <row r="941">
      <c r="A941" s="73"/>
      <c r="B941" s="73"/>
      <c r="C941" s="73"/>
      <c r="D941" s="73"/>
      <c r="E941" s="73"/>
      <c r="F941" s="73"/>
    </row>
    <row r="942">
      <c r="A942" s="73"/>
      <c r="B942" s="73"/>
      <c r="C942" s="73"/>
      <c r="D942" s="73"/>
      <c r="E942" s="73"/>
      <c r="F942" s="73"/>
    </row>
    <row r="943">
      <c r="A943" s="73"/>
      <c r="B943" s="73"/>
      <c r="C943" s="73"/>
      <c r="D943" s="73"/>
      <c r="E943" s="73"/>
      <c r="F943" s="73"/>
    </row>
    <row r="944">
      <c r="A944" s="73"/>
      <c r="B944" s="73"/>
      <c r="C944" s="73"/>
      <c r="D944" s="73"/>
      <c r="E944" s="73"/>
      <c r="F944" s="73"/>
    </row>
    <row r="945">
      <c r="A945" s="73"/>
      <c r="B945" s="73"/>
      <c r="C945" s="73"/>
      <c r="D945" s="73"/>
      <c r="E945" s="73"/>
      <c r="F945" s="73"/>
    </row>
    <row r="946">
      <c r="A946" s="73"/>
      <c r="B946" s="73"/>
      <c r="C946" s="73"/>
      <c r="D946" s="73"/>
      <c r="E946" s="73"/>
      <c r="F946" s="73"/>
    </row>
    <row r="947">
      <c r="A947" s="73"/>
      <c r="B947" s="73"/>
      <c r="C947" s="73"/>
      <c r="D947" s="73"/>
      <c r="E947" s="73"/>
      <c r="F947" s="73"/>
    </row>
    <row r="948">
      <c r="A948" s="73"/>
      <c r="B948" s="73"/>
      <c r="C948" s="73"/>
      <c r="D948" s="73"/>
      <c r="E948" s="73"/>
      <c r="F948" s="73"/>
    </row>
    <row r="949">
      <c r="A949" s="73"/>
      <c r="B949" s="73"/>
      <c r="C949" s="73"/>
      <c r="D949" s="73"/>
      <c r="E949" s="73"/>
      <c r="F949" s="73"/>
    </row>
    <row r="950">
      <c r="A950" s="73"/>
      <c r="B950" s="73"/>
      <c r="C950" s="73"/>
      <c r="D950" s="73"/>
      <c r="E950" s="73"/>
      <c r="F950" s="73"/>
    </row>
    <row r="951">
      <c r="A951" s="73"/>
      <c r="B951" s="73"/>
      <c r="C951" s="73"/>
      <c r="D951" s="73"/>
      <c r="E951" s="73"/>
      <c r="F951" s="73"/>
    </row>
    <row r="952">
      <c r="A952" s="73"/>
      <c r="B952" s="73"/>
      <c r="C952" s="73"/>
      <c r="D952" s="73"/>
      <c r="E952" s="73"/>
      <c r="F952" s="73"/>
    </row>
    <row r="953">
      <c r="A953" s="73"/>
      <c r="B953" s="73"/>
      <c r="C953" s="73"/>
      <c r="D953" s="73"/>
      <c r="E953" s="73"/>
      <c r="F953" s="73"/>
    </row>
    <row r="954">
      <c r="A954" s="73"/>
      <c r="B954" s="73"/>
      <c r="C954" s="73"/>
      <c r="D954" s="73"/>
      <c r="E954" s="73"/>
      <c r="F954" s="73"/>
    </row>
    <row r="955">
      <c r="A955" s="73"/>
      <c r="B955" s="73"/>
      <c r="C955" s="73"/>
      <c r="D955" s="73"/>
      <c r="E955" s="73"/>
      <c r="F955" s="73"/>
    </row>
    <row r="956">
      <c r="A956" s="73"/>
      <c r="B956" s="73"/>
      <c r="C956" s="73"/>
      <c r="D956" s="73"/>
      <c r="E956" s="73"/>
      <c r="F956" s="73"/>
    </row>
    <row r="957">
      <c r="A957" s="73"/>
      <c r="B957" s="73"/>
      <c r="C957" s="73"/>
      <c r="D957" s="73"/>
      <c r="E957" s="73"/>
      <c r="F957" s="73"/>
    </row>
    <row r="958">
      <c r="A958" s="73"/>
      <c r="B958" s="73"/>
      <c r="C958" s="73"/>
      <c r="D958" s="73"/>
      <c r="E958" s="73"/>
      <c r="F958" s="73"/>
    </row>
    <row r="959">
      <c r="A959" s="73"/>
      <c r="B959" s="73"/>
      <c r="C959" s="73"/>
      <c r="D959" s="73"/>
      <c r="E959" s="73"/>
      <c r="F959" s="73"/>
    </row>
    <row r="960">
      <c r="A960" s="73"/>
      <c r="B960" s="73"/>
      <c r="C960" s="73"/>
      <c r="D960" s="73"/>
      <c r="E960" s="73"/>
      <c r="F960" s="73"/>
    </row>
    <row r="961">
      <c r="A961" s="73"/>
      <c r="B961" s="73"/>
      <c r="C961" s="73"/>
      <c r="D961" s="73"/>
      <c r="E961" s="73"/>
      <c r="F961" s="73"/>
    </row>
    <row r="962">
      <c r="A962" s="73"/>
      <c r="B962" s="73"/>
      <c r="C962" s="73"/>
      <c r="D962" s="73"/>
      <c r="E962" s="73"/>
      <c r="F962" s="73"/>
    </row>
    <row r="963">
      <c r="A963" s="73"/>
      <c r="B963" s="73"/>
      <c r="C963" s="73"/>
      <c r="D963" s="73"/>
      <c r="E963" s="73"/>
      <c r="F963" s="73"/>
    </row>
    <row r="964">
      <c r="A964" s="73"/>
      <c r="B964" s="73"/>
      <c r="C964" s="73"/>
      <c r="D964" s="73"/>
      <c r="E964" s="73"/>
      <c r="F964" s="73"/>
    </row>
    <row r="965">
      <c r="A965" s="73"/>
      <c r="B965" s="73"/>
      <c r="C965" s="73"/>
      <c r="D965" s="73"/>
      <c r="E965" s="73"/>
      <c r="F965" s="73"/>
    </row>
    <row r="966">
      <c r="A966" s="73"/>
      <c r="B966" s="73"/>
      <c r="C966" s="73"/>
      <c r="D966" s="73"/>
      <c r="E966" s="73"/>
      <c r="F966" s="73"/>
    </row>
    <row r="967">
      <c r="A967" s="73"/>
      <c r="B967" s="73"/>
      <c r="C967" s="73"/>
      <c r="D967" s="73"/>
      <c r="E967" s="73"/>
      <c r="F967" s="73"/>
    </row>
    <row r="968">
      <c r="A968" s="73"/>
      <c r="B968" s="73"/>
      <c r="C968" s="73"/>
      <c r="D968" s="73"/>
      <c r="E968" s="73"/>
      <c r="F968" s="73"/>
    </row>
    <row r="969">
      <c r="A969" s="73"/>
      <c r="B969" s="73"/>
      <c r="C969" s="73"/>
      <c r="D969" s="73"/>
      <c r="E969" s="73"/>
      <c r="F969" s="73"/>
    </row>
    <row r="970">
      <c r="A970" s="73"/>
      <c r="B970" s="73"/>
      <c r="C970" s="73"/>
      <c r="D970" s="73"/>
      <c r="E970" s="73"/>
      <c r="F970" s="73"/>
    </row>
    <row r="971">
      <c r="A971" s="73"/>
      <c r="B971" s="73"/>
      <c r="C971" s="73"/>
      <c r="D971" s="73"/>
      <c r="E971" s="73"/>
      <c r="F971" s="73"/>
    </row>
    <row r="972">
      <c r="A972" s="73"/>
      <c r="B972" s="73"/>
      <c r="C972" s="73"/>
      <c r="D972" s="73"/>
      <c r="E972" s="73"/>
      <c r="F972" s="73"/>
    </row>
    <row r="973">
      <c r="A973" s="73"/>
      <c r="B973" s="73"/>
      <c r="C973" s="73"/>
      <c r="D973" s="73"/>
      <c r="E973" s="73"/>
      <c r="F973" s="73"/>
    </row>
    <row r="974">
      <c r="A974" s="73"/>
      <c r="B974" s="73"/>
      <c r="C974" s="73"/>
      <c r="D974" s="73"/>
      <c r="E974" s="73"/>
      <c r="F974" s="73"/>
    </row>
    <row r="975">
      <c r="A975" s="73"/>
      <c r="B975" s="73"/>
      <c r="C975" s="73"/>
      <c r="D975" s="73"/>
      <c r="E975" s="73"/>
      <c r="F975" s="73"/>
    </row>
    <row r="976">
      <c r="A976" s="73"/>
      <c r="B976" s="73"/>
      <c r="C976" s="73"/>
      <c r="D976" s="73"/>
      <c r="E976" s="73"/>
      <c r="F976" s="73"/>
    </row>
    <row r="977">
      <c r="A977" s="73"/>
      <c r="B977" s="73"/>
      <c r="C977" s="73"/>
      <c r="D977" s="73"/>
      <c r="E977" s="73"/>
      <c r="F977" s="73"/>
    </row>
    <row r="978">
      <c r="A978" s="73"/>
      <c r="B978" s="73"/>
      <c r="C978" s="73"/>
      <c r="D978" s="73"/>
      <c r="E978" s="73"/>
      <c r="F978" s="73"/>
    </row>
    <row r="979">
      <c r="A979" s="73"/>
      <c r="B979" s="73"/>
      <c r="C979" s="73"/>
      <c r="D979" s="73"/>
      <c r="E979" s="73"/>
      <c r="F979" s="73"/>
    </row>
    <row r="980">
      <c r="A980" s="73"/>
      <c r="B980" s="73"/>
      <c r="C980" s="73"/>
      <c r="D980" s="73"/>
      <c r="E980" s="73"/>
      <c r="F980" s="73"/>
    </row>
    <row r="981">
      <c r="A981" s="73"/>
      <c r="B981" s="73"/>
      <c r="C981" s="73"/>
      <c r="D981" s="73"/>
      <c r="E981" s="73"/>
      <c r="F981" s="73"/>
    </row>
    <row r="982">
      <c r="A982" s="73"/>
      <c r="B982" s="73"/>
      <c r="C982" s="73"/>
      <c r="D982" s="73"/>
      <c r="E982" s="73"/>
      <c r="F982" s="73"/>
    </row>
    <row r="983">
      <c r="A983" s="73"/>
      <c r="B983" s="73"/>
      <c r="C983" s="73"/>
      <c r="D983" s="73"/>
      <c r="E983" s="73"/>
      <c r="F983" s="73"/>
    </row>
    <row r="984">
      <c r="A984" s="73"/>
      <c r="B984" s="73"/>
      <c r="C984" s="73"/>
      <c r="D984" s="73"/>
      <c r="E984" s="73"/>
      <c r="F984" s="73"/>
    </row>
    <row r="985">
      <c r="A985" s="73"/>
      <c r="B985" s="73"/>
      <c r="C985" s="73"/>
      <c r="D985" s="73"/>
      <c r="E985" s="73"/>
      <c r="F985" s="73"/>
    </row>
    <row r="986">
      <c r="A986" s="73"/>
      <c r="B986" s="73"/>
      <c r="C986" s="73"/>
      <c r="D986" s="73"/>
      <c r="E986" s="73"/>
      <c r="F986" s="73"/>
    </row>
    <row r="987">
      <c r="A987" s="73"/>
      <c r="B987" s="73"/>
      <c r="C987" s="73"/>
      <c r="D987" s="73"/>
      <c r="E987" s="73"/>
      <c r="F987" s="73"/>
    </row>
    <row r="988">
      <c r="A988" s="73"/>
      <c r="B988" s="73"/>
      <c r="C988" s="73"/>
      <c r="D988" s="73"/>
      <c r="E988" s="73"/>
      <c r="F988" s="73"/>
    </row>
    <row r="989">
      <c r="A989" s="73"/>
      <c r="B989" s="73"/>
      <c r="C989" s="73"/>
      <c r="D989" s="73"/>
      <c r="E989" s="73"/>
      <c r="F989" s="73"/>
    </row>
    <row r="990">
      <c r="A990" s="73"/>
      <c r="B990" s="73"/>
      <c r="C990" s="73"/>
      <c r="D990" s="73"/>
      <c r="E990" s="73"/>
      <c r="F990" s="73"/>
    </row>
    <row r="991">
      <c r="A991" s="73"/>
      <c r="B991" s="73"/>
      <c r="C991" s="73"/>
      <c r="D991" s="73"/>
      <c r="E991" s="73"/>
      <c r="F991" s="73"/>
    </row>
  </sheetData>
  <mergeCells count="5">
    <mergeCell ref="A1:F1"/>
    <mergeCell ref="A4:F4"/>
    <mergeCell ref="A7:F7"/>
    <mergeCell ref="A10:F10"/>
    <mergeCell ref="A13:F13"/>
  </mergeCells>
  <dataValidations>
    <dataValidation type="list" allowBlank="1" showErrorMessage="1" sqref="D5:D6 D8:D9 D11:D12 D14">
      <formula1>"Baja,Media,Alta"</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3.88"/>
    <col customWidth="1" min="3" max="3" width="19.25"/>
    <col customWidth="1" min="4" max="4" width="58.38"/>
    <col customWidth="1" min="5" max="5" width="54.13"/>
    <col customWidth="1" min="6" max="6" width="9.75"/>
    <col customWidth="1" min="7" max="7" width="13.13"/>
  </cols>
  <sheetData>
    <row r="1">
      <c r="A1" s="59" t="s">
        <v>77</v>
      </c>
      <c r="H1" s="79" t="s">
        <v>78</v>
      </c>
    </row>
    <row r="2">
      <c r="B2" s="61"/>
      <c r="F2" s="80" t="s">
        <v>25</v>
      </c>
    </row>
    <row r="3" ht="23.25" customHeight="1">
      <c r="A3" s="81" t="s">
        <v>79</v>
      </c>
      <c r="D3" s="82">
        <f t="array" ref="D3">INDEX('Información General'!K13:K27, MATCH(A3, 'Información General'!L13:L27, 0))</f>
        <v>773</v>
      </c>
      <c r="E3" s="83" t="str">
        <f>D3&amp;" - "&amp;A3</f>
        <v>773 - Manejo e Implementación de Archivos</v>
      </c>
    </row>
    <row r="4">
      <c r="B4" s="61"/>
    </row>
    <row r="5">
      <c r="A5" s="84" t="s">
        <v>13</v>
      </c>
      <c r="B5" s="85" t="s">
        <v>26</v>
      </c>
      <c r="C5" s="84" t="s">
        <v>27</v>
      </c>
      <c r="D5" s="84" t="s">
        <v>28</v>
      </c>
      <c r="E5" s="84" t="s">
        <v>29</v>
      </c>
      <c r="F5" s="86" t="s">
        <v>30</v>
      </c>
      <c r="G5" s="86" t="s">
        <v>31</v>
      </c>
    </row>
    <row r="6">
      <c r="A6" s="70">
        <f>IFERROR(__xludf.DUMMYFUNCTION("QUERY(IMPORTRANGE(VLOOKUP(E3,MetaData!A:B,2,FALSE), ""Diseño Curricular!A4:G500""), )"),1.0)</f>
        <v>1</v>
      </c>
      <c r="B6" s="61" t="str">
        <f>IFERROR(__xludf.DUMMYFUNCTION("""COMPUTED_VALUE"""),"Supervisa el desempeño de sistemas de almacenamiento masivo mediante el uso de herramientas de monitoreo y análisis de métricas para identificar oportunidades de mejora en la disponibilidad, eficiencia y seguridad de los datos ")</f>
        <v>Supervisa el desempeño de sistemas de almacenamiento masivo mediante el uso de herramientas de monitoreo y análisis de métricas para identificar oportunidades de mejora en la disponibilidad, eficiencia y seguridad de los datos </v>
      </c>
      <c r="C6" s="70" t="str">
        <f>IFERROR(__xludf.DUMMYFUNCTION("""COMPUTED_VALUE"""),"1. Introducción a las tecnologías de almacenamiento y arquitecturas de los sistemas de 
almacenamiento enfocadas en GNU/LINUX")</f>
        <v>1. Introducción a las tecnologías de almacenamiento y arquitecturas de los sistemas de 
almacenamiento enfocadas en GNU/LINUX</v>
      </c>
      <c r="D6" s="70" t="str">
        <f>IFERROR(__xludf.DUMMYFUNCTION("""COMPUTED_VALUE"""),"Elementos básicos de Almacenamiento")</f>
        <v>Elementos básicos de Almacenamiento</v>
      </c>
      <c r="E6" s="70" t="str">
        <f>IFERROR(__xludf.DUMMYFUNCTION("""COMPUTED_VALUE"""),"Del dato a la información y al conocimiento")</f>
        <v>Del dato a la información y al conocimiento</v>
      </c>
      <c r="F6" s="70" t="str">
        <f>IFERROR(__xludf.DUMMYFUNCTION("""COMPUTED_VALUE"""),"Julio")</f>
        <v>Julio</v>
      </c>
      <c r="G6" s="70">
        <f>IFERROR(__xludf.DUMMYFUNCTION("""COMPUTED_VALUE"""),1.0)</f>
        <v>1</v>
      </c>
    </row>
    <row r="7">
      <c r="A7" s="69">
        <f>IFERROR(__xludf.DUMMYFUNCTION("""COMPUTED_VALUE"""),2.0)</f>
        <v>2</v>
      </c>
      <c r="B7" s="61" t="str">
        <f>IFERROR(__xludf.DUMMYFUNCTION("""COMPUTED_VALUE"""),"Supervisa el desempeño de sistemas de almacenamiento masivo mediante el uso de herramientas de monitoreo y análisis de métricas para identificar oportunidades de mejora en la disponibilidad, eficiencia y seguridad de los datos ")</f>
        <v>Supervisa el desempeño de sistemas de almacenamiento masivo mediante el uso de herramientas de monitoreo y análisis de métricas para identificar oportunidades de mejora en la disponibilidad, eficiencia y seguridad de los datos </v>
      </c>
      <c r="C7" s="70" t="str">
        <f>IFERROR(__xludf.DUMMYFUNCTION("""COMPUTED_VALUE"""),"1. Introducción a las tecnologías de almacenamiento y arquitecturas de los sistemas de 
almacenamiento enfocadas en GNU/LINUX")</f>
        <v>1. Introducción a las tecnologías de almacenamiento y arquitecturas de los sistemas de 
almacenamiento enfocadas en GNU/LINUX</v>
      </c>
      <c r="D7" s="70" t="str">
        <f>IFERROR(__xludf.DUMMYFUNCTION("""COMPUTED_VALUE"""),"Elementos básicos de Almacenamiento")</f>
        <v>Elementos básicos de Almacenamiento</v>
      </c>
      <c r="E7" s="70" t="str">
        <f>IFERROR(__xludf.DUMMYFUNCTION("""COMPUTED_VALUE"""),"Proliferación de los datos")</f>
        <v>Proliferación de los datos</v>
      </c>
      <c r="F7" s="70" t="str">
        <f>IFERROR(__xludf.DUMMYFUNCTION("""COMPUTED_VALUE"""),"Julio")</f>
        <v>Julio</v>
      </c>
      <c r="G7" s="70">
        <f>IFERROR(__xludf.DUMMYFUNCTION("""COMPUTED_VALUE"""),1.0)</f>
        <v>1</v>
      </c>
    </row>
    <row r="8">
      <c r="A8" s="70">
        <f>IFERROR(__xludf.DUMMYFUNCTION("""COMPUTED_VALUE"""),3.0)</f>
        <v>3</v>
      </c>
      <c r="B8" s="61" t="str">
        <f>IFERROR(__xludf.DUMMYFUNCTION("""COMPUTED_VALUE"""),"Supervisa el desempeño de sistemas de almacenamiento masivo mediante el uso de herramientas de monitoreo y análisis de métricas para identificar oportunidades de mejora en la disponibilidad, eficiencia y seguridad de los datos ")</f>
        <v>Supervisa el desempeño de sistemas de almacenamiento masivo mediante el uso de herramientas de monitoreo y análisis de métricas para identificar oportunidades de mejora en la disponibilidad, eficiencia y seguridad de los datos </v>
      </c>
      <c r="C8" s="70" t="str">
        <f>IFERROR(__xludf.DUMMYFUNCTION("""COMPUTED_VALUE"""),"1. Introducción a las tecnologías de almacenamiento y arquitecturas de los sistemas de 
almacenamiento enfocadas en GNU/LINUX")</f>
        <v>1. Introducción a las tecnologías de almacenamiento y arquitecturas de los sistemas de 
almacenamiento enfocadas en GNU/LINUX</v>
      </c>
      <c r="D8" s="70" t="str">
        <f>IFERROR(__xludf.DUMMYFUNCTION("""COMPUTED_VALUE"""),"Elementos básicos de Almacenamiento")</f>
        <v>Elementos básicos de Almacenamiento</v>
      </c>
      <c r="E8" s="70" t="str">
        <f>IFERROR(__xludf.DUMMYFUNCTION("""COMPUTED_VALUE"""),"La variabilidad de los datos en su valor y su uso a lo largo del tiempo")</f>
        <v>La variabilidad de los datos en su valor y su uso a lo largo del tiempo</v>
      </c>
      <c r="F8" s="70" t="str">
        <f>IFERROR(__xludf.DUMMYFUNCTION("""COMPUTED_VALUE"""),"Julio")</f>
        <v>Julio</v>
      </c>
      <c r="G8" s="70">
        <f>IFERROR(__xludf.DUMMYFUNCTION("""COMPUTED_VALUE"""),1.0)</f>
        <v>1</v>
      </c>
    </row>
    <row r="9">
      <c r="A9" s="70">
        <f>IFERROR(__xludf.DUMMYFUNCTION("""COMPUTED_VALUE"""),4.0)</f>
        <v>4</v>
      </c>
      <c r="B9" s="61" t="str">
        <f>IFERROR(__xludf.DUMMYFUNCTION("""COMPUTED_VALUE"""),"Supervisa el desempeño de sistemas de almacenamiento masivo mediante el uso de herramientas de monitoreo y análisis de métricas para identificar oportunidades de mejora en la disponibilidad, eficiencia y seguridad de los datos ")</f>
        <v>Supervisa el desempeño de sistemas de almacenamiento masivo mediante el uso de herramientas de monitoreo y análisis de métricas para identificar oportunidades de mejora en la disponibilidad, eficiencia y seguridad de los datos </v>
      </c>
      <c r="C9" s="70" t="str">
        <f>IFERROR(__xludf.DUMMYFUNCTION("""COMPUTED_VALUE"""),"1. Introducción a las tecnologías de almacenamiento y arquitecturas de los sistemas de 
almacenamiento enfocadas en GNU/LINUX")</f>
        <v>1. Introducción a las tecnologías de almacenamiento y arquitecturas de los sistemas de 
almacenamiento enfocadas en GNU/LINUX</v>
      </c>
      <c r="D9" s="70" t="str">
        <f>IFERROR(__xludf.DUMMYFUNCTION("""COMPUTED_VALUE"""),"Elementos básicos de Almacenamiento")</f>
        <v>Elementos básicos de Almacenamiento</v>
      </c>
      <c r="E9" s="70" t="str">
        <f>IFERROR(__xludf.DUMMYFUNCTION("""COMPUTED_VALUE"""),"Fuentes de datos")</f>
        <v>Fuentes de datos</v>
      </c>
      <c r="F9" s="70" t="str">
        <f>IFERROR(__xludf.DUMMYFUNCTION("""COMPUTED_VALUE"""),"Julio")</f>
        <v>Julio</v>
      </c>
      <c r="G9" s="70">
        <f>IFERROR(__xludf.DUMMYFUNCTION("""COMPUTED_VALUE"""),1.0)</f>
        <v>1</v>
      </c>
    </row>
    <row r="10">
      <c r="A10" s="70">
        <f>IFERROR(__xludf.DUMMYFUNCTION("""COMPUTED_VALUE"""),5.0)</f>
        <v>5</v>
      </c>
      <c r="B10" s="61" t="str">
        <f>IFERROR(__xludf.DUMMYFUNCTION("""COMPUTED_VALUE"""),"Supervisa el desempeño de sistemas de almacenamiento masivo mediante el uso de herramientas de monitoreo y análisis de métricas para identificar oportunidades de mejora en la disponibilidad, eficiencia y seguridad de los datos ")</f>
        <v>Supervisa el desempeño de sistemas de almacenamiento masivo mediante el uso de herramientas de monitoreo y análisis de métricas para identificar oportunidades de mejora en la disponibilidad, eficiencia y seguridad de los datos </v>
      </c>
      <c r="C10" s="70" t="str">
        <f>IFERROR(__xludf.DUMMYFUNCTION("""COMPUTED_VALUE"""),"1. Introducción a las tecnologías de almacenamiento y arquitecturas de los sistemas de 
almacenamiento enfocadas en GNU/LINUX")</f>
        <v>1. Introducción a las tecnologías de almacenamiento y arquitecturas de los sistemas de 
almacenamiento enfocadas en GNU/LINUX</v>
      </c>
      <c r="D10" s="70" t="str">
        <f>IFERROR(__xludf.DUMMYFUNCTION("""COMPUTED_VALUE"""),"Elementos básicos de Almacenamiento")</f>
        <v>Elementos básicos de Almacenamiento</v>
      </c>
      <c r="E10" s="70" t="str">
        <f>IFERROR(__xludf.DUMMYFUNCTION("""COMPUTED_VALUE"""),"Tipos de Fuentes de datos")</f>
        <v>Tipos de Fuentes de datos</v>
      </c>
      <c r="F10" s="70" t="str">
        <f>IFERROR(__xludf.DUMMYFUNCTION("""COMPUTED_VALUE"""),"Julio")</f>
        <v>Julio</v>
      </c>
      <c r="G10" s="70">
        <f>IFERROR(__xludf.DUMMYFUNCTION("""COMPUTED_VALUE"""),1.0)</f>
        <v>1</v>
      </c>
    </row>
    <row r="11">
      <c r="A11" s="70">
        <f>IFERROR(__xludf.DUMMYFUNCTION("""COMPUTED_VALUE"""),6.0)</f>
        <v>6</v>
      </c>
      <c r="B11" s="61" t="str">
        <f>IFERROR(__xludf.DUMMYFUNCTION("""COMPUTED_VALUE"""),"Supervisa el desempeño de sistemas de almacenamiento masivo mediante el uso de herramientas de monitoreo y análisis de métricas para identificar oportunidades de mejora en la disponibilidad, eficiencia y seguridad de los datos ")</f>
        <v>Supervisa el desempeño de sistemas de almacenamiento masivo mediante el uso de herramientas de monitoreo y análisis de métricas para identificar oportunidades de mejora en la disponibilidad, eficiencia y seguridad de los datos </v>
      </c>
      <c r="C11" s="70" t="str">
        <f>IFERROR(__xludf.DUMMYFUNCTION("""COMPUTED_VALUE"""),"1. Introducción a las tecnologías de almacenamiento y arquitecturas de los sistemas de 
almacenamiento enfocadas en GNU/LINUX")</f>
        <v>1. Introducción a las tecnologías de almacenamiento y arquitecturas de los sistemas de 
almacenamiento enfocadas en GNU/LINUX</v>
      </c>
      <c r="D11" s="70" t="str">
        <f>IFERROR(__xludf.DUMMYFUNCTION("""COMPUTED_VALUE"""),"Elementos básicos de Almacenamiento")</f>
        <v>Elementos básicos de Almacenamiento</v>
      </c>
      <c r="E11" s="70" t="str">
        <f>IFERROR(__xludf.DUMMYFUNCTION("""COMPUTED_VALUE"""),"Fuentes comunes de datos")</f>
        <v>Fuentes comunes de datos</v>
      </c>
      <c r="F11" s="70" t="str">
        <f>IFERROR(__xludf.DUMMYFUNCTION("""COMPUTED_VALUE"""),"Julio")</f>
        <v>Julio</v>
      </c>
      <c r="G11" s="70">
        <f>IFERROR(__xludf.DUMMYFUNCTION("""COMPUTED_VALUE"""),1.0)</f>
        <v>1</v>
      </c>
    </row>
    <row r="12">
      <c r="A12" s="70">
        <f>IFERROR(__xludf.DUMMYFUNCTION("""COMPUTED_VALUE"""),7.0)</f>
        <v>7</v>
      </c>
      <c r="B12" s="61" t="str">
        <f>IFERROR(__xludf.DUMMYFUNCTION("""COMPUTED_VALUE"""),"Supervisa el desempeño de sistemas de almacenamiento masivo mediante el uso de herramientas de monitoreo y análisis de métricas para identificar oportunidades de mejora en la disponibilidad, eficiencia y seguridad de los datos ")</f>
        <v>Supervisa el desempeño de sistemas de almacenamiento masivo mediante el uso de herramientas de monitoreo y análisis de métricas para identificar oportunidades de mejora en la disponibilidad, eficiencia y seguridad de los datos </v>
      </c>
      <c r="C12" s="70" t="str">
        <f>IFERROR(__xludf.DUMMYFUNCTION("""COMPUTED_VALUE"""),"1. Introducción a las tecnologías de almacenamiento y arquitecturas de los sistemas de 
almacenamiento enfocadas en GNU/LINUX")</f>
        <v>1. Introducción a las tecnologías de almacenamiento y arquitecturas de los sistemas de 
almacenamiento enfocadas en GNU/LINUX</v>
      </c>
      <c r="D12" s="70" t="str">
        <f>IFERROR(__xludf.DUMMYFUNCTION("""COMPUTED_VALUE"""),"Elementos básicos de Almacenamiento")</f>
        <v>Elementos básicos de Almacenamiento</v>
      </c>
      <c r="E12" s="70" t="str">
        <f>IFERROR(__xludf.DUMMYFUNCTION("""COMPUTED_VALUE"""),"El ciclo de vida de los datos")</f>
        <v>El ciclo de vida de los datos</v>
      </c>
      <c r="F12" s="70" t="str">
        <f>IFERROR(__xludf.DUMMYFUNCTION("""COMPUTED_VALUE"""),"Julio")</f>
        <v>Julio</v>
      </c>
      <c r="G12" s="70">
        <f>IFERROR(__xludf.DUMMYFUNCTION("""COMPUTED_VALUE"""),1.0)</f>
        <v>1</v>
      </c>
    </row>
    <row r="13">
      <c r="A13" s="70">
        <f>IFERROR(__xludf.DUMMYFUNCTION("""COMPUTED_VALUE"""),8.0)</f>
        <v>8</v>
      </c>
      <c r="B13" s="61" t="str">
        <f>IFERROR(__xludf.DUMMYFUNCTION("""COMPUTED_VALUE"""),"Comprende el modelo de seguridad integral para almacenamiento de datos mediante el análisis de amenazas, controles de acceso y técnicas de respaldo para garantizar la confidencialidad, integridad y disponibilidad de la información ")</f>
        <v>Comprende el modelo de seguridad integral para almacenamiento de datos mediante el análisis de amenazas, controles de acceso y técnicas de respaldo para garantizar la confidencialidad, integridad y disponibilidad de la información </v>
      </c>
      <c r="C13" s="70" t="str">
        <f>IFERROR(__xludf.DUMMYFUNCTION("""COMPUTED_VALUE"""),"1. Introducción a las tecnologías de almacenamiento y arquitecturas de los sistemas de 
almacenamiento enfocadas en GNU/LINUX")</f>
        <v>1. Introducción a las tecnologías de almacenamiento y arquitecturas de los sistemas de 
almacenamiento enfocadas en GNU/LINUX</v>
      </c>
      <c r="D13" s="70" t="str">
        <f>IFERROR(__xludf.DUMMYFUNCTION("""COMPUTED_VALUE"""),"Tipos de almacenamiento")</f>
        <v>Tipos de almacenamiento</v>
      </c>
      <c r="E13" s="70" t="str">
        <f>IFERROR(__xludf.DUMMYFUNCTION("""COMPUTED_VALUE"""),"Almacenamiento distribuido")</f>
        <v>Almacenamiento distribuido</v>
      </c>
      <c r="F13" s="70" t="str">
        <f>IFERROR(__xludf.DUMMYFUNCTION("""COMPUTED_VALUE"""),"Agosto")</f>
        <v>Agosto</v>
      </c>
      <c r="G13" s="70">
        <f>IFERROR(__xludf.DUMMYFUNCTION("""COMPUTED_VALUE"""),2.0)</f>
        <v>2</v>
      </c>
    </row>
    <row r="14">
      <c r="A14" s="70">
        <f>IFERROR(__xludf.DUMMYFUNCTION("""COMPUTED_VALUE"""),9.0)</f>
        <v>9</v>
      </c>
      <c r="B14" s="61" t="str">
        <f>IFERROR(__xludf.DUMMYFUNCTION("""COMPUTED_VALUE"""),"Comprende el modelo de seguridad integral para almacenamiento de datos mediante el análisis de amenazas, controles de acceso y técnicas de respaldo para garantizar la confidencialidad, integridad y disponibilidad de la información ")</f>
        <v>Comprende el modelo de seguridad integral para almacenamiento de datos mediante el análisis de amenazas, controles de acceso y técnicas de respaldo para garantizar la confidencialidad, integridad y disponibilidad de la información </v>
      </c>
      <c r="C14" s="70" t="str">
        <f>IFERROR(__xludf.DUMMYFUNCTION("""COMPUTED_VALUE"""),"1. Introducción a las tecnologías de almacenamiento y arquitecturas de los sistemas de 
almacenamiento enfocadas en GNU/LINUX")</f>
        <v>1. Introducción a las tecnologías de almacenamiento y arquitecturas de los sistemas de 
almacenamiento enfocadas en GNU/LINUX</v>
      </c>
      <c r="D14" s="70" t="str">
        <f>IFERROR(__xludf.DUMMYFUNCTION("""COMPUTED_VALUE"""),"Tipos de almacenamiento")</f>
        <v>Tipos de almacenamiento</v>
      </c>
      <c r="E14" s="70" t="str">
        <f>IFERROR(__xludf.DUMMYFUNCTION("""COMPUTED_VALUE"""),"Dispositivos de almacenamiento secundario")</f>
        <v>Dispositivos de almacenamiento secundario</v>
      </c>
      <c r="F14" s="70" t="str">
        <f>IFERROR(__xludf.DUMMYFUNCTION("""COMPUTED_VALUE"""),"Agosto")</f>
        <v>Agosto</v>
      </c>
      <c r="G14" s="70">
        <f>IFERROR(__xludf.DUMMYFUNCTION("""COMPUTED_VALUE"""),2.0)</f>
        <v>2</v>
      </c>
    </row>
    <row r="15">
      <c r="A15" s="70">
        <f>IFERROR(__xludf.DUMMYFUNCTION("""COMPUTED_VALUE"""),10.0)</f>
        <v>10</v>
      </c>
      <c r="B15" s="61" t="str">
        <f>IFERROR(__xludf.DUMMYFUNCTION("""COMPUTED_VALUE"""),"Comprende el modelo de seguridad integral para almacenamiento de datos mediante el análisis de amenazas, controles de acceso y técnicas de respaldo para garantizar la confidencialidad, integridad y disponibilidad de la información ")</f>
        <v>Comprende el modelo de seguridad integral para almacenamiento de datos mediante el análisis de amenazas, controles de acceso y técnicas de respaldo para garantizar la confidencialidad, integridad y disponibilidad de la información </v>
      </c>
      <c r="C15" s="70" t="str">
        <f>IFERROR(__xludf.DUMMYFUNCTION("""COMPUTED_VALUE"""),"1. Introducción a las tecnologías de almacenamiento y arquitecturas de los sistemas de 
almacenamiento enfocadas en GNU/LINUX")</f>
        <v>1. Introducción a las tecnologías de almacenamiento y arquitecturas de los sistemas de 
almacenamiento enfocadas en GNU/LINUX</v>
      </c>
      <c r="D15" s="70" t="str">
        <f>IFERROR(__xludf.DUMMYFUNCTION("""COMPUTED_VALUE"""),"Tipos de almacenamiento")</f>
        <v>Tipos de almacenamiento</v>
      </c>
      <c r="E15" s="70" t="str">
        <f>IFERROR(__xludf.DUMMYFUNCTION("""COMPUTED_VALUE"""),"Ventajas y desventajas de los dispositivos de almacenamiento")</f>
        <v>Ventajas y desventajas de los dispositivos de almacenamiento</v>
      </c>
      <c r="F15" s="70" t="str">
        <f>IFERROR(__xludf.DUMMYFUNCTION("""COMPUTED_VALUE"""),"Agosto")</f>
        <v>Agosto</v>
      </c>
      <c r="G15" s="70">
        <f>IFERROR(__xludf.DUMMYFUNCTION("""COMPUTED_VALUE"""),2.0)</f>
        <v>2</v>
      </c>
    </row>
    <row r="16">
      <c r="A16" s="70">
        <f>IFERROR(__xludf.DUMMYFUNCTION("""COMPUTED_VALUE"""),11.0)</f>
        <v>11</v>
      </c>
      <c r="B16" s="61" t="str">
        <f>IFERROR(__xludf.DUMMYFUNCTION("""COMPUTED_VALUE"""),"Comprende el modelo de seguridad integral para almacenamiento de datos mediante el análisis de amenazas, controles de acceso y técnicas de respaldo para garantizar la confidencialidad, integridad y disponibilidad de la información ")</f>
        <v>Comprende el modelo de seguridad integral para almacenamiento de datos mediante el análisis de amenazas, controles de acceso y técnicas de respaldo para garantizar la confidencialidad, integridad y disponibilidad de la información </v>
      </c>
      <c r="C16" s="70" t="str">
        <f>IFERROR(__xludf.DUMMYFUNCTION("""COMPUTED_VALUE"""),"1. Introducción a las tecnologías de almacenamiento y arquitecturas de los sistemas de 
almacenamiento enfocadas en GNU/LINUX")</f>
        <v>1. Introducción a las tecnologías de almacenamiento y arquitecturas de los sistemas de 
almacenamiento enfocadas en GNU/LINUX</v>
      </c>
      <c r="D16" s="70" t="str">
        <f>IFERROR(__xludf.DUMMYFUNCTION("""COMPUTED_VALUE"""),"Tipos de almacenamiento")</f>
        <v>Tipos de almacenamiento</v>
      </c>
      <c r="E16" s="70" t="str">
        <f>IFERROR(__xludf.DUMMYFUNCTION("""COMPUTED_VALUE"""),"La evolución de los dispositivos de almacenamiento")</f>
        <v>La evolución de los dispositivos de almacenamiento</v>
      </c>
      <c r="F16" s="70" t="str">
        <f>IFERROR(__xludf.DUMMYFUNCTION("""COMPUTED_VALUE"""),"Agosto")</f>
        <v>Agosto</v>
      </c>
      <c r="G16" s="70">
        <f>IFERROR(__xludf.DUMMYFUNCTION("""COMPUTED_VALUE"""),2.0)</f>
        <v>2</v>
      </c>
    </row>
    <row r="17">
      <c r="A17" s="70">
        <f>IFERROR(__xludf.DUMMYFUNCTION("""COMPUTED_VALUE"""),12.0)</f>
        <v>12</v>
      </c>
      <c r="B17" s="61" t="str">
        <f>IFERROR(__xludf.DUMMYFUNCTION("""COMPUTED_VALUE"""),"Comprende el modelo de seguridad integral para almacenamiento de datos mediante el análisis de amenazas, controles de acceso y técnicas de respaldo para garantizar la confidencialidad, integridad y disponibilidad de la información ")</f>
        <v>Comprende el modelo de seguridad integral para almacenamiento de datos mediante el análisis de amenazas, controles de acceso y técnicas de respaldo para garantizar la confidencialidad, integridad y disponibilidad de la información </v>
      </c>
      <c r="C17" s="70" t="str">
        <f>IFERROR(__xludf.DUMMYFUNCTION("""COMPUTED_VALUE"""),"1. Introducción a las tecnologías de almacenamiento y arquitecturas de los sistemas de 
almacenamiento enfocadas en GNU/LINUX")</f>
        <v>1. Introducción a las tecnologías de almacenamiento y arquitecturas de los sistemas de 
almacenamiento enfocadas en GNU/LINUX</v>
      </c>
      <c r="D17" s="70" t="str">
        <f>IFERROR(__xludf.DUMMYFUNCTION("""COMPUTED_VALUE"""),"Tipos de almacenamiento")</f>
        <v>Tipos de almacenamiento</v>
      </c>
      <c r="E17" s="70" t="str">
        <f>IFERROR(__xludf.DUMMYFUNCTION("""COMPUTED_VALUE"""),"Comparativa entre HDD y SDD")</f>
        <v>Comparativa entre HDD y SDD</v>
      </c>
      <c r="F17" s="70" t="str">
        <f>IFERROR(__xludf.DUMMYFUNCTION("""COMPUTED_VALUE"""),"Agosto")</f>
        <v>Agosto</v>
      </c>
      <c r="G17" s="70">
        <f>IFERROR(__xludf.DUMMYFUNCTION("""COMPUTED_VALUE"""),2.0)</f>
        <v>2</v>
      </c>
    </row>
    <row r="18">
      <c r="A18" s="70">
        <f>IFERROR(__xludf.DUMMYFUNCTION("""COMPUTED_VALUE"""),13.0)</f>
        <v>13</v>
      </c>
      <c r="B18" s="61" t="str">
        <f>IFERROR(__xludf.DUMMYFUNCTION("""COMPUTED_VALUE"""),"Comprende el modelo de seguridad integral para almacenamiento de datos mediante el análisis de amenazas, controles de acceso y técnicas de respaldo para garantizar la confidencialidad, integridad y disponibilidad de la información ")</f>
        <v>Comprende el modelo de seguridad integral para almacenamiento de datos mediante el análisis de amenazas, controles de acceso y técnicas de respaldo para garantizar la confidencialidad, integridad y disponibilidad de la información </v>
      </c>
      <c r="C18" s="70" t="str">
        <f>IFERROR(__xludf.DUMMYFUNCTION("""COMPUTED_VALUE"""),"1. Introducción a las tecnologías de almacenamiento y arquitecturas de los sistemas de 
almacenamiento enfocadas en GNU/LINUX")</f>
        <v>1. Introducción a las tecnologías de almacenamiento y arquitecturas de los sistemas de 
almacenamiento enfocadas en GNU/LINUX</v>
      </c>
      <c r="D18" s="70" t="str">
        <f>IFERROR(__xludf.DUMMYFUNCTION("""COMPUTED_VALUE"""),"Tipos de almacenamiento")</f>
        <v>Tipos de almacenamiento</v>
      </c>
      <c r="E18" s="70" t="str">
        <f>IFERROR(__xludf.DUMMYFUNCTION("""COMPUTED_VALUE"""),"Comparativa entre el almacenamiento en red y en la nube")</f>
        <v>Comparativa entre el almacenamiento en red y en la nube</v>
      </c>
      <c r="F18" s="70" t="str">
        <f>IFERROR(__xludf.DUMMYFUNCTION("""COMPUTED_VALUE"""),"Agosto")</f>
        <v>Agosto</v>
      </c>
      <c r="G18" s="70">
        <f>IFERROR(__xludf.DUMMYFUNCTION("""COMPUTED_VALUE"""),2.0)</f>
        <v>2</v>
      </c>
    </row>
    <row r="19">
      <c r="A19" s="70">
        <f>IFERROR(__xludf.DUMMYFUNCTION("""COMPUTED_VALUE"""),14.0)</f>
        <v>14</v>
      </c>
      <c r="B19" s="61" t="str">
        <f>IFERROR(__xludf.DUMMYFUNCTION("""COMPUTED_VALUE"""),"Comprende el modelo de seguridad integral para almacenamiento de datos mediante el análisis de amenazas, controles de acceso y técnicas de respaldo para garantizar la confidencialidad, integridad y disponibilidad de la información ")</f>
        <v>Comprende el modelo de seguridad integral para almacenamiento de datos mediante el análisis de amenazas, controles de acceso y técnicas de respaldo para garantizar la confidencialidad, integridad y disponibilidad de la información </v>
      </c>
      <c r="C19" s="70" t="str">
        <f>IFERROR(__xludf.DUMMYFUNCTION("""COMPUTED_VALUE"""),"1. Introducción a las tecnologías de almacenamiento y arquitecturas de los sistemas de 
almacenamiento enfocadas en GNU/LINUX")</f>
        <v>1. Introducción a las tecnologías de almacenamiento y arquitecturas de los sistemas de 
almacenamiento enfocadas en GNU/LINUX</v>
      </c>
      <c r="D19" s="70" t="str">
        <f>IFERROR(__xludf.DUMMYFUNCTION("""COMPUTED_VALUE"""),"RAID")</f>
        <v>RAID</v>
      </c>
      <c r="E19" s="70" t="str">
        <f>IFERROR(__xludf.DUMMYFUNCTION("""COMPUTED_VALUE"""),"Conceptos fundamentales del manejo de archivos")</f>
        <v>Conceptos fundamentales del manejo de archivos</v>
      </c>
      <c r="F19" s="70" t="str">
        <f>IFERROR(__xludf.DUMMYFUNCTION("""COMPUTED_VALUE"""),"Agosto")</f>
        <v>Agosto</v>
      </c>
      <c r="G19" s="70">
        <f>IFERROR(__xludf.DUMMYFUNCTION("""COMPUTED_VALUE"""),2.0)</f>
        <v>2</v>
      </c>
    </row>
    <row r="20">
      <c r="A20" s="70">
        <f>IFERROR(__xludf.DUMMYFUNCTION("""COMPUTED_VALUE"""),15.0)</f>
        <v>15</v>
      </c>
      <c r="B20" s="61" t="str">
        <f>IFERROR(__xludf.DUMMYFUNCTION("""COMPUTED_VALUE"""),"Comprende el modelo de seguridad integral para almacenamiento de datos mediante el análisis de amenazas, controles de acceso y técnicas de respaldo para garantizar la confidencialidad, integridad y disponibilidad de la información ")</f>
        <v>Comprende el modelo de seguridad integral para almacenamiento de datos mediante el análisis de amenazas, controles de acceso y técnicas de respaldo para garantizar la confidencialidad, integridad y disponibilidad de la información </v>
      </c>
      <c r="C20" s="70" t="str">
        <f>IFERROR(__xludf.DUMMYFUNCTION("""COMPUTED_VALUE"""),"1. Introducción a las tecnologías de almacenamiento y arquitecturas de los sistemas de 
almacenamiento enfocadas en GNU/LINUX")</f>
        <v>1. Introducción a las tecnologías de almacenamiento y arquitecturas de los sistemas de 
almacenamiento enfocadas en GNU/LINUX</v>
      </c>
      <c r="D20" s="70" t="str">
        <f>IFERROR(__xludf.DUMMYFUNCTION("""COMPUTED_VALUE"""),"Manejo de archivos")</f>
        <v>Manejo de archivos</v>
      </c>
      <c r="E20" s="70" t="str">
        <f>IFERROR(__xludf.DUMMYFUNCTION("""COMPUTED_VALUE"""),"Introducción a RAID: Concepto y Tipos")</f>
        <v>Introducción a RAID: Concepto y Tipos</v>
      </c>
      <c r="F20" s="70" t="str">
        <f>IFERROR(__xludf.DUMMYFUNCTION("""COMPUTED_VALUE"""),"Agosto")</f>
        <v>Agosto</v>
      </c>
      <c r="G20" s="70">
        <f>IFERROR(__xludf.DUMMYFUNCTION("""COMPUTED_VALUE"""),3.0)</f>
        <v>3</v>
      </c>
    </row>
    <row r="21">
      <c r="A21" s="70">
        <f>IFERROR(__xludf.DUMMYFUNCTION("""COMPUTED_VALUE"""),16.0)</f>
        <v>16</v>
      </c>
      <c r="B21" s="61" t="str">
        <f>IFERROR(__xludf.DUMMYFUNCTION("""COMPUTED_VALUE"""),"Comprende el modelo de seguridad integral para almacenamiento de datos mediante el análisis de amenazas, controles de acceso y técnicas de respaldo para garantizar la confidencialidad, integridad y disponibilidad de la información ")</f>
        <v>Comprende el modelo de seguridad integral para almacenamiento de datos mediante el análisis de amenazas, controles de acceso y técnicas de respaldo para garantizar la confidencialidad, integridad y disponibilidad de la información </v>
      </c>
      <c r="C21" s="70" t="str">
        <f>IFERROR(__xludf.DUMMYFUNCTION("""COMPUTED_VALUE"""),"1. Introducción a las tecnologías de almacenamiento y arquitecturas de los sistemas de 
almacenamiento enfocadas en GNU/LINUX")</f>
        <v>1. Introducción a las tecnologías de almacenamiento y arquitecturas de los sistemas de 
almacenamiento enfocadas en GNU/LINUX</v>
      </c>
      <c r="D21" s="70" t="str">
        <f>IFERROR(__xludf.DUMMYFUNCTION("""COMPUTED_VALUE"""),"Manejo de archivos")</f>
        <v>Manejo de archivos</v>
      </c>
      <c r="E21" s="70" t="str">
        <f>IFERROR(__xludf.DUMMYFUNCTION("""COMPUTED_VALUE"""),"Operaciones básicas de archivos")</f>
        <v>Operaciones básicas de archivos</v>
      </c>
      <c r="F21" s="70" t="str">
        <f>IFERROR(__xludf.DUMMYFUNCTION("""COMPUTED_VALUE"""),"Agosto")</f>
        <v>Agosto</v>
      </c>
      <c r="G21" s="70">
        <f>IFERROR(__xludf.DUMMYFUNCTION("""COMPUTED_VALUE"""),3.0)</f>
        <v>3</v>
      </c>
    </row>
    <row r="22">
      <c r="A22" s="70">
        <f>IFERROR(__xludf.DUMMYFUNCTION("""COMPUTED_VALUE"""),17.0)</f>
        <v>17</v>
      </c>
      <c r="B22" s="61" t="str">
        <f>IFERROR(__xludf.DUMMYFUNCTION("""COMPUTED_VALUE"""),"Comprende el modelo de seguridad integral para almacenamiento de datos mediante el análisis de amenazas, controles de acceso y técnicas de respaldo para garantizar la confidencialidad, integridad y disponibilidad de la información ")</f>
        <v>Comprende el modelo de seguridad integral para almacenamiento de datos mediante el análisis de amenazas, controles de acceso y técnicas de respaldo para garantizar la confidencialidad, integridad y disponibilidad de la información </v>
      </c>
      <c r="C22" s="70" t="str">
        <f>IFERROR(__xludf.DUMMYFUNCTION("""COMPUTED_VALUE"""),"1. Introducción a las tecnologías de almacenamiento y arquitecturas de los sistemas de 
almacenamiento enfocadas en GNU/LINUX")</f>
        <v>1. Introducción a las tecnologías de almacenamiento y arquitecturas de los sistemas de 
almacenamiento enfocadas en GNU/LINUX</v>
      </c>
      <c r="D22" s="70" t="str">
        <f>IFERROR(__xludf.DUMMYFUNCTION("""COMPUTED_VALUE"""),"Manejo de archivos")</f>
        <v>Manejo de archivos</v>
      </c>
      <c r="E22" s="70" t="str">
        <f>IFERROR(__xludf.DUMMYFUNCTION("""COMPUTED_VALUE"""),"Permisos y Seguridad en Archivos")</f>
        <v>Permisos y Seguridad en Archivos</v>
      </c>
      <c r="F22" s="70" t="str">
        <f>IFERROR(__xludf.DUMMYFUNCTION("""COMPUTED_VALUE"""),"Agosto")</f>
        <v>Agosto</v>
      </c>
      <c r="G22" s="70">
        <f>IFERROR(__xludf.DUMMYFUNCTION("""COMPUTED_VALUE"""),3.0)</f>
        <v>3</v>
      </c>
    </row>
    <row r="23">
      <c r="A23" s="70">
        <f>IFERROR(__xludf.DUMMYFUNCTION("""COMPUTED_VALUE"""),18.0)</f>
        <v>18</v>
      </c>
      <c r="B23" s="61" t="str">
        <f>IFERROR(__xludf.DUMMYFUNCTION("""COMPUTED_VALUE"""),"Comprende el modelo de seguridad integral para almacenamiento de datos mediante el análisis de amenazas, controles de acceso y técnicas de respaldo para garantizar la confidencialidad, integridad y disponibilidad de la información ")</f>
        <v>Comprende el modelo de seguridad integral para almacenamiento de datos mediante el análisis de amenazas, controles de acceso y técnicas de respaldo para garantizar la confidencialidad, integridad y disponibilidad de la información </v>
      </c>
      <c r="C23" s="70" t="str">
        <f>IFERROR(__xludf.DUMMYFUNCTION("""COMPUTED_VALUE"""),"1. Introducción a las tecnologías de almacenamiento y arquitecturas de los sistemas de 
almacenamiento enfocadas en GNU/LINUX")</f>
        <v>1. Introducción a las tecnologías de almacenamiento y arquitecturas de los sistemas de 
almacenamiento enfocadas en GNU/LINUX</v>
      </c>
      <c r="D23" s="70" t="str">
        <f>IFERROR(__xludf.DUMMYFUNCTION("""COMPUTED_VALUE"""),"Manejo de archivos")</f>
        <v>Manejo de archivos</v>
      </c>
      <c r="E23" s="70" t="str">
        <f>IFERROR(__xludf.DUMMYFUNCTION("""COMPUTED_VALUE"""),"Niveles de archivo")</f>
        <v>Niveles de archivo</v>
      </c>
      <c r="F23" s="70" t="str">
        <f>IFERROR(__xludf.DUMMYFUNCTION("""COMPUTED_VALUE"""),"Agosto")</f>
        <v>Agosto</v>
      </c>
      <c r="G23" s="70">
        <f>IFERROR(__xludf.DUMMYFUNCTION("""COMPUTED_VALUE"""),3.0)</f>
        <v>3</v>
      </c>
    </row>
    <row r="24">
      <c r="A24" s="70">
        <f>IFERROR(__xludf.DUMMYFUNCTION("""COMPUTED_VALUE"""),19.0)</f>
        <v>19</v>
      </c>
      <c r="B24" s="61" t="str">
        <f>IFERROR(__xludf.DUMMYFUNCTION("""COMPUTED_VALUE"""),"Comprende el modelo de seguridad integral para almacenamiento de datos mediante el análisis de amenazas, controles de acceso y técnicas de respaldo para garantizar la confidencialidad, integridad y disponibilidad de la información ")</f>
        <v>Comprende el modelo de seguridad integral para almacenamiento de datos mediante el análisis de amenazas, controles de acceso y técnicas de respaldo para garantizar la confidencialidad, integridad y disponibilidad de la información </v>
      </c>
      <c r="C24" s="70" t="str">
        <f>IFERROR(__xludf.DUMMYFUNCTION("""COMPUTED_VALUE"""),"1. Introducción a las tecnologías de almacenamiento y arquitecturas de los sistemas de 
almacenamiento enfocadas en GNU/LINUX")</f>
        <v>1. Introducción a las tecnologías de almacenamiento y arquitecturas de los sistemas de 
almacenamiento enfocadas en GNU/LINUX</v>
      </c>
      <c r="D24" s="70" t="str">
        <f>IFERROR(__xludf.DUMMYFUNCTION("""COMPUTED_VALUE"""),"Manejo de archivos")</f>
        <v>Manejo de archivos</v>
      </c>
      <c r="E24" s="70" t="str">
        <f>IFERROR(__xludf.DUMMYFUNCTION("""COMPUTED_VALUE"""),"Particiones")</f>
        <v>Particiones</v>
      </c>
      <c r="F24" s="70" t="str">
        <f>IFERROR(__xludf.DUMMYFUNCTION("""COMPUTED_VALUE"""),"Agosto")</f>
        <v>Agosto</v>
      </c>
      <c r="G24" s="70">
        <f>IFERROR(__xludf.DUMMYFUNCTION("""COMPUTED_VALUE"""),3.0)</f>
        <v>3</v>
      </c>
    </row>
    <row r="25">
      <c r="A25" s="70">
        <f>IFERROR(__xludf.DUMMYFUNCTION("""COMPUTED_VALUE"""),20.0)</f>
        <v>20</v>
      </c>
      <c r="B25" s="61" t="str">
        <f>IFERROR(__xludf.DUMMYFUNCTION("""COMPUTED_VALUE"""),"Comprende el modelo de seguridad integral para almacenamiento de datos mediante el análisis de amenazas, controles de acceso y técnicas de respaldo para garantizar la confidencialidad, integridad y disponibilidad de la información ")</f>
        <v>Comprende el modelo de seguridad integral para almacenamiento de datos mediante el análisis de amenazas, controles de acceso y técnicas de respaldo para garantizar la confidencialidad, integridad y disponibilidad de la información </v>
      </c>
      <c r="C25" s="70" t="str">
        <f>IFERROR(__xludf.DUMMYFUNCTION("""COMPUTED_VALUE"""),"1. Introducción a las tecnologías de almacenamiento y arquitecturas de los sistemas de 
almacenamiento enfocadas en GNU/LINUX")</f>
        <v>1. Introducción a las tecnologías de almacenamiento y arquitecturas de los sistemas de 
almacenamiento enfocadas en GNU/LINUX</v>
      </c>
      <c r="D25" s="70" t="str">
        <f>IFERROR(__xludf.DUMMYFUNCTION("""COMPUTED_VALUE"""),"Manejo de archivos")</f>
        <v>Manejo de archivos</v>
      </c>
      <c r="E25" s="70" t="str">
        <f>IFERROR(__xludf.DUMMYFUNCTION("""COMPUTED_VALUE"""),"Estrategias de colocación")</f>
        <v>Estrategias de colocación</v>
      </c>
      <c r="F25" s="70" t="str">
        <f>IFERROR(__xludf.DUMMYFUNCTION("""COMPUTED_VALUE"""),"Agosto")</f>
        <v>Agosto</v>
      </c>
      <c r="G25" s="70">
        <f>IFERROR(__xludf.DUMMYFUNCTION("""COMPUTED_VALUE"""),3.0)</f>
        <v>3</v>
      </c>
    </row>
    <row r="26">
      <c r="A26" s="70">
        <f>IFERROR(__xludf.DUMMYFUNCTION("""COMPUTED_VALUE"""),21.0)</f>
        <v>21</v>
      </c>
      <c r="B26" s="61" t="str">
        <f>IFERROR(__xludf.DUMMYFUNCTION("""COMPUTED_VALUE"""),"Comprende el modelo de seguridad integral para almacenamiento de datos mediante el análisis de amenazas, controles de acceso y técnicas de respaldo para garantizar la confidencialidad, integridad y disponibilidad de la información ")</f>
        <v>Comprende el modelo de seguridad integral para almacenamiento de datos mediante el análisis de amenazas, controles de acceso y técnicas de respaldo para garantizar la confidencialidad, integridad y disponibilidad de la información </v>
      </c>
      <c r="C26" s="70" t="str">
        <f>IFERROR(__xludf.DUMMYFUNCTION("""COMPUTED_VALUE"""),"1. Introducción a las tecnologías de almacenamiento y arquitecturas de los sistemas de 
almacenamiento enfocadas en GNU/LINUX")</f>
        <v>1. Introducción a las tecnologías de almacenamiento y arquitecturas de los sistemas de 
almacenamiento enfocadas en GNU/LINUX</v>
      </c>
      <c r="D26" s="70" t="str">
        <f>IFERROR(__xludf.DUMMYFUNCTION("""COMPUTED_VALUE"""),"Manejo de archivos")</f>
        <v>Manejo de archivos</v>
      </c>
      <c r="E26" s="70" t="str">
        <f>IFERROR(__xludf.DUMMYFUNCTION("""COMPUTED_VALUE"""),"Fragmentación")</f>
        <v>Fragmentación</v>
      </c>
      <c r="F26" s="70" t="str">
        <f>IFERROR(__xludf.DUMMYFUNCTION("""COMPUTED_VALUE"""),"Agosto")</f>
        <v>Agosto</v>
      </c>
      <c r="G26" s="70">
        <f>IFERROR(__xludf.DUMMYFUNCTION("""COMPUTED_VALUE"""),3.0)</f>
        <v>3</v>
      </c>
    </row>
    <row r="27">
      <c r="A27" s="70">
        <f>IFERROR(__xludf.DUMMYFUNCTION("""COMPUTED_VALUE"""),22.0)</f>
        <v>22</v>
      </c>
      <c r="B27" s="61" t="str">
        <f>IFERROR(__xludf.DUMMYFUNCTION("""COMPUTED_VALUE"""),"Implementa un sistema de archivos con estructuras ext2/ext3 expuesto mediante una API e interfaz grafica mediante la integración de funciones del backend y visualización de resultados en el frontend para gestionar operaciones relacionadas a la construcció"&amp;"n y manejo de un sistema de archivos ")</f>
        <v>Implementa un sistema de archivos con estructuras ext2/ext3 expuesto mediante una API e interfaz grafica mediante la integración de funciones del backend y visualización de resultados en el frontend para gestionar operaciones relacionadas a la construcción y manejo de un sistema de archivos </v>
      </c>
      <c r="C27" s="70" t="str">
        <f>IFERROR(__xludf.DUMMYFUNCTION("""COMPUTED_VALUE"""),"1. Introducción a las tecnologías de almacenamiento y arquitecturas de los sistemas de 
almacenamiento enfocadas en GNU/LINUX")</f>
        <v>1. Introducción a las tecnologías de almacenamiento y arquitecturas de los sistemas de 
almacenamiento enfocadas en GNU/LINUX</v>
      </c>
      <c r="D27" s="70" t="str">
        <f>IFERROR(__xludf.DUMMYFUNCTION("""COMPUTED_VALUE"""),"Sistemas de archivos")</f>
        <v>Sistemas de archivos</v>
      </c>
      <c r="E27" s="70" t="str">
        <f>IFERROR(__xludf.DUMMYFUNCTION("""COMPUTED_VALUE"""),"Fundamentos de los sistemas de archivos")</f>
        <v>Fundamentos de los sistemas de archivos</v>
      </c>
      <c r="F27" s="70" t="str">
        <f>IFERROR(__xludf.DUMMYFUNCTION("""COMPUTED_VALUE"""),"Agosto")</f>
        <v>Agosto</v>
      </c>
      <c r="G27" s="70">
        <f>IFERROR(__xludf.DUMMYFUNCTION("""COMPUTED_VALUE"""),4.0)</f>
        <v>4</v>
      </c>
    </row>
    <row r="28">
      <c r="A28" s="70">
        <f>IFERROR(__xludf.DUMMYFUNCTION("""COMPUTED_VALUE"""),23.0)</f>
        <v>23</v>
      </c>
      <c r="B28" s="61" t="str">
        <f>IFERROR(__xludf.DUMMYFUNCTION("""COMPUTED_VALUE"""),"Implementa un sistema de archivos con estructuras ext2/ext3 expuesto mediante una API e interfaz grafica mediante la integración de funciones del backend y visualización de resultados en el frontend para gestionar operaciones relacionadas a la construcció"&amp;"n y manejo de un sistema de archivos ")</f>
        <v>Implementa un sistema de archivos con estructuras ext2/ext3 expuesto mediante una API e interfaz grafica mediante la integración de funciones del backend y visualización de resultados en el frontend para gestionar operaciones relacionadas a la construcción y manejo de un sistema de archivos </v>
      </c>
      <c r="C28" s="70" t="str">
        <f>IFERROR(__xludf.DUMMYFUNCTION("""COMPUTED_VALUE"""),"1. Introducción a las tecnologías de almacenamiento y arquitecturas de los sistemas de 
almacenamiento enfocadas en GNU/LINUX")</f>
        <v>1. Introducción a las tecnologías de almacenamiento y arquitecturas de los sistemas de 
almacenamiento enfocadas en GNU/LINUX</v>
      </c>
      <c r="D28" s="70" t="str">
        <f>IFERROR(__xludf.DUMMYFUNCTION("""COMPUTED_VALUE"""),"Sistemas de archivos")</f>
        <v>Sistemas de archivos</v>
      </c>
      <c r="E28" s="70" t="str">
        <f>IFERROR(__xludf.DUMMYFUNCTION("""COMPUTED_VALUE"""),"Tipos de sistemas de archivos")</f>
        <v>Tipos de sistemas de archivos</v>
      </c>
      <c r="F28" s="70" t="str">
        <f>IFERROR(__xludf.DUMMYFUNCTION("""COMPUTED_VALUE"""),"Agosto")</f>
        <v>Agosto</v>
      </c>
      <c r="G28" s="70">
        <f>IFERROR(__xludf.DUMMYFUNCTION("""COMPUTED_VALUE"""),4.0)</f>
        <v>4</v>
      </c>
    </row>
    <row r="29">
      <c r="A29" s="70">
        <f>IFERROR(__xludf.DUMMYFUNCTION("""COMPUTED_VALUE"""),24.0)</f>
        <v>24</v>
      </c>
      <c r="B29" s="61" t="str">
        <f>IFERROR(__xludf.DUMMYFUNCTION("""COMPUTED_VALUE"""),"Implementa un sistema de archivos con estructuras ext2/ext3 expuesto mediante una API e interfaz grafica mediante la integración de funciones del backend y visualización de resultados en el frontend para gestionar operaciones relacionadas a la construcció"&amp;"n y manejo de un sistema de archivos ")</f>
        <v>Implementa un sistema de archivos con estructuras ext2/ext3 expuesto mediante una API e interfaz grafica mediante la integración de funciones del backend y visualización de resultados en el frontend para gestionar operaciones relacionadas a la construcción y manejo de un sistema de archivos </v>
      </c>
      <c r="C29" s="70" t="str">
        <f>IFERROR(__xludf.DUMMYFUNCTION("""COMPUTED_VALUE"""),"1. Introducción a las tecnologías de almacenamiento y arquitecturas de los sistemas de 
almacenamiento enfocadas en GNU/LINUX")</f>
        <v>1. Introducción a las tecnologías de almacenamiento y arquitecturas de los sistemas de 
almacenamiento enfocadas en GNU/LINUX</v>
      </c>
      <c r="D29" s="70" t="str">
        <f>IFERROR(__xludf.DUMMYFUNCTION("""COMPUTED_VALUE"""),"Sistemas de archivos")</f>
        <v>Sistemas de archivos</v>
      </c>
      <c r="E29" s="70" t="str">
        <f>IFERROR(__xludf.DUMMYFUNCTION("""COMPUTED_VALUE"""),"Montaje y Desmontaje de Sistemas de Archivos")</f>
        <v>Montaje y Desmontaje de Sistemas de Archivos</v>
      </c>
      <c r="F29" s="70" t="str">
        <f>IFERROR(__xludf.DUMMYFUNCTION("""COMPUTED_VALUE"""),"Agosto")</f>
        <v>Agosto</v>
      </c>
      <c r="G29" s="70">
        <f>IFERROR(__xludf.DUMMYFUNCTION("""COMPUTED_VALUE"""),4.0)</f>
        <v>4</v>
      </c>
    </row>
    <row r="30">
      <c r="A30" s="70">
        <f>IFERROR(__xludf.DUMMYFUNCTION("""COMPUTED_VALUE"""),25.0)</f>
        <v>25</v>
      </c>
      <c r="B30" s="61" t="str">
        <f>IFERROR(__xludf.DUMMYFUNCTION("""COMPUTED_VALUE"""),"Implementa un sistema de archivos con estructuras ext2/ext3 expuesto mediante una API e interfaz grafica mediante la integración de funciones del backend y visualización de resultados en el frontend para gestionar operaciones relacionadas a la construcció"&amp;"n y manejo de un sistema de archivos ")</f>
        <v>Implementa un sistema de archivos con estructuras ext2/ext3 expuesto mediante una API e interfaz grafica mediante la integración de funciones del backend y visualización de resultados en el frontend para gestionar operaciones relacionadas a la construcción y manejo de un sistema de archivos </v>
      </c>
      <c r="C30" s="70" t="str">
        <f>IFERROR(__xludf.DUMMYFUNCTION("""COMPUTED_VALUE"""),"1. Introducción a las tecnologías de almacenamiento y arquitecturas de los sistemas de 
almacenamiento enfocadas en GNU/LINUX")</f>
        <v>1. Introducción a las tecnologías de almacenamiento y arquitecturas de los sistemas de 
almacenamiento enfocadas en GNU/LINUX</v>
      </c>
      <c r="D30" s="70" t="str">
        <f>IFERROR(__xludf.DUMMYFUNCTION("""COMPUTED_VALUE"""),"Sistemas de archivos")</f>
        <v>Sistemas de archivos</v>
      </c>
      <c r="E30" s="70" t="str">
        <f>IFERROR(__xludf.DUMMYFUNCTION("""COMPUTED_VALUE"""),"Journaling y Sistemas de Archivos de Alta Disponibilidad")</f>
        <v>Journaling y Sistemas de Archivos de Alta Disponibilidad</v>
      </c>
      <c r="F30" s="70" t="str">
        <f>IFERROR(__xludf.DUMMYFUNCTION("""COMPUTED_VALUE"""),"Agosto")</f>
        <v>Agosto</v>
      </c>
      <c r="G30" s="70">
        <f>IFERROR(__xludf.DUMMYFUNCTION("""COMPUTED_VALUE"""),4.0)</f>
        <v>4</v>
      </c>
    </row>
    <row r="31">
      <c r="A31" s="70">
        <f>IFERROR(__xludf.DUMMYFUNCTION("""COMPUTED_VALUE"""),26.0)</f>
        <v>26</v>
      </c>
      <c r="B31" s="61" t="str">
        <f>IFERROR(__xludf.DUMMYFUNCTION("""COMPUTED_VALUE"""),"Implementa un sistema de archivos con estructuras ext2/ext3 expuesto mediante una API e interfaz grafica mediante la integración de funciones del backend y visualización de resultados en el frontend para gestionar operaciones relacionadas a la construcció"&amp;"n y manejo de un sistema de archivos ")</f>
        <v>Implementa un sistema de archivos con estructuras ext2/ext3 expuesto mediante una API e interfaz grafica mediante la integración de funciones del backend y visualización de resultados en el frontend para gestionar operaciones relacionadas a la construcción y manejo de un sistema de archivos </v>
      </c>
      <c r="C31" s="70" t="str">
        <f>IFERROR(__xludf.DUMMYFUNCTION("""COMPUTED_VALUE"""),"1. Introducción a las tecnologías de almacenamiento y arquitecturas de los sistemas de 
almacenamiento enfocadas en GNU/LINUX")</f>
        <v>1. Introducción a las tecnologías de almacenamiento y arquitecturas de los sistemas de 
almacenamiento enfocadas en GNU/LINUX</v>
      </c>
      <c r="D31" s="70" t="str">
        <f>IFERROR(__xludf.DUMMYFUNCTION("""COMPUTED_VALUE"""),"Sistemas de archivos")</f>
        <v>Sistemas de archivos</v>
      </c>
      <c r="E31" s="70" t="str">
        <f>IFERROR(__xludf.DUMMYFUNCTION("""COMPUTED_VALUE"""),"Gestión de espacio y fragmentación")</f>
        <v>Gestión de espacio y fragmentación</v>
      </c>
      <c r="F31" s="70" t="str">
        <f>IFERROR(__xludf.DUMMYFUNCTION("""COMPUTED_VALUE"""),"Agosto")</f>
        <v>Agosto</v>
      </c>
      <c r="G31" s="70">
        <f>IFERROR(__xludf.DUMMYFUNCTION("""COMPUTED_VALUE"""),4.0)</f>
        <v>4</v>
      </c>
    </row>
    <row r="32">
      <c r="A32" s="70">
        <f>IFERROR(__xludf.DUMMYFUNCTION("""COMPUTED_VALUE"""),27.0)</f>
        <v>27</v>
      </c>
      <c r="B32" s="61" t="str">
        <f>IFERROR(__xludf.DUMMYFUNCTION("""COMPUTED_VALUE"""),"Implementa un sistema de archivos con estructuras ext2/ext3 expuesto mediante una API e interfaz grafica mediante la integración de funciones del backend y visualización de resultados en el frontend para gestionar operaciones relacionadas a la construcció"&amp;"n y manejo de un sistema de archivos ")</f>
        <v>Implementa un sistema de archivos con estructuras ext2/ext3 expuesto mediante una API e interfaz grafica mediante la integración de funciones del backend y visualización de resultados en el frontend para gestionar operaciones relacionadas a la construcción y manejo de un sistema de archivos </v>
      </c>
      <c r="C32" s="70" t="str">
        <f>IFERROR(__xludf.DUMMYFUNCTION("""COMPUTED_VALUE"""),"1. Introducción a las tecnologías de almacenamiento y arquitecturas de los sistemas de 
almacenamiento enfocadas en GNU/LINUX")</f>
        <v>1. Introducción a las tecnologías de almacenamiento y arquitecturas de los sistemas de 
almacenamiento enfocadas en GNU/LINUX</v>
      </c>
      <c r="D32" s="70" t="str">
        <f>IFERROR(__xludf.DUMMYFUNCTION("""COMPUTED_VALUE"""),"Sistemas de archivos")</f>
        <v>Sistemas de archivos</v>
      </c>
      <c r="E32" s="70" t="str">
        <f>IFERROR(__xludf.DUMMYFUNCTION("""COMPUTED_VALUE"""),"Recuperación y reparación de sistemas de archivos")</f>
        <v>Recuperación y reparación de sistemas de archivos</v>
      </c>
      <c r="F32" s="70" t="str">
        <f>IFERROR(__xludf.DUMMYFUNCTION("""COMPUTED_VALUE"""),"Agosto")</f>
        <v>Agosto</v>
      </c>
      <c r="G32" s="70">
        <f>IFERROR(__xludf.DUMMYFUNCTION("""COMPUTED_VALUE"""),4.0)</f>
        <v>4</v>
      </c>
    </row>
    <row r="33">
      <c r="A33" s="70">
        <f>IFERROR(__xludf.DUMMYFUNCTION("""COMPUTED_VALUE"""),28.0)</f>
        <v>28</v>
      </c>
      <c r="B33" s="61" t="str">
        <f>IFERROR(__xludf.DUMMYFUNCTION("""COMPUTED_VALUE"""),"Implementa un sistema de archivos con estructuras ext2/ext3 expuesto mediante una API e interfaz grafica mediante la integración de funciones del backend y visualización de resultados en el frontend para gestionar operaciones relacionadas a la construcció"&amp;"n y manejo de un sistema de archivos ")</f>
        <v>Implementa un sistema de archivos con estructuras ext2/ext3 expuesto mediante una API e interfaz grafica mediante la integración de funciones del backend y visualización de resultados en el frontend para gestionar operaciones relacionadas a la construcción y manejo de un sistema de archivos </v>
      </c>
      <c r="C33" s="70" t="str">
        <f>IFERROR(__xludf.DUMMYFUNCTION("""COMPUTED_VALUE"""),"1. Introducción a las tecnologías de almacenamiento y arquitecturas de los sistemas de 
almacenamiento enfocadas en GNU/LINUX")</f>
        <v>1. Introducción a las tecnologías de almacenamiento y arquitecturas de los sistemas de 
almacenamiento enfocadas en GNU/LINUX</v>
      </c>
      <c r="D33" s="70" t="str">
        <f>IFERROR(__xludf.DUMMYFUNCTION("""COMPUTED_VALUE"""),"Sistemas de archivos")</f>
        <v>Sistemas de archivos</v>
      </c>
      <c r="E33" s="70" t="str">
        <f>IFERROR(__xludf.DUMMYFUNCTION("""COMPUTED_VALUE"""),"Tendencias futuras en sistemas de archivos")</f>
        <v>Tendencias futuras en sistemas de archivos</v>
      </c>
      <c r="F33" s="70" t="str">
        <f>IFERROR(__xludf.DUMMYFUNCTION("""COMPUTED_VALUE"""),"Agosto")</f>
        <v>Agosto</v>
      </c>
      <c r="G33" s="70">
        <f>IFERROR(__xludf.DUMMYFUNCTION("""COMPUTED_VALUE"""),4.0)</f>
        <v>4</v>
      </c>
    </row>
    <row r="34">
      <c r="A34" s="70">
        <f>IFERROR(__xludf.DUMMYFUNCTION("""COMPUTED_VALUE"""),29.0)</f>
        <v>29</v>
      </c>
      <c r="B34" s="61" t="str">
        <f>IFERROR(__xludf.DUMMYFUNCTION("""COMPUTED_VALUE"""),"Analiza arquitecturas de virtualización de almacenamiento mediante la comparación de modelos y evaluación de retos operativos para optimizar la administración de recursos en entornos virtualizados ")</f>
        <v>Analiza arquitecturas de virtualización de almacenamiento mediante la comparación de modelos y evaluación de retos operativos para optimizar la administración de recursos en entornos virtualizados </v>
      </c>
      <c r="C34" s="70" t="str">
        <f>IFERROR(__xludf.DUMMYFUNCTION("""COMPUTED_VALUE"""),"1. Introducción a las tecnologías de almacenamiento y arquitecturas de los sistemas de 
almacenamiento enfocadas en GNU/LINUX")</f>
        <v>1. Introducción a las tecnologías de almacenamiento y arquitecturas de los sistemas de 
almacenamiento enfocadas en GNU/LINUX</v>
      </c>
      <c r="D34" s="70" t="str">
        <f>IFERROR(__xludf.DUMMYFUNCTION("""COMPUTED_VALUE"""),"GNU/Linux y Organización de Archivos")</f>
        <v>GNU/Linux y Organización de Archivos</v>
      </c>
      <c r="E34" s="70" t="str">
        <f>IFERROR(__xludf.DUMMYFUNCTION("""COMPUTED_VALUE"""),"Filosofía y estructura libre")</f>
        <v>Filosofía y estructura libre</v>
      </c>
      <c r="F34" s="70" t="str">
        <f>IFERROR(__xludf.DUMMYFUNCTION("""COMPUTED_VALUE"""),"Agosto")</f>
        <v>Agosto</v>
      </c>
      <c r="G34" s="70">
        <f>IFERROR(__xludf.DUMMYFUNCTION("""COMPUTED_VALUE"""),5.0)</f>
        <v>5</v>
      </c>
    </row>
    <row r="35">
      <c r="A35" s="70">
        <f>IFERROR(__xludf.DUMMYFUNCTION("""COMPUTED_VALUE"""),30.0)</f>
        <v>30</v>
      </c>
      <c r="B35" s="61" t="str">
        <f>IFERROR(__xludf.DUMMYFUNCTION("""COMPUTED_VALUE"""),"Analiza arquitecturas de virtualización de almacenamiento mediante la comparación de modelos y evaluación de retos operativos para optimizar la administración de recursos en entornos virtualizados ")</f>
        <v>Analiza arquitecturas de virtualización de almacenamiento mediante la comparación de modelos y evaluación de retos operativos para optimizar la administración de recursos en entornos virtualizados </v>
      </c>
      <c r="C35" s="70" t="str">
        <f>IFERROR(__xludf.DUMMYFUNCTION("""COMPUTED_VALUE"""),"1. Introducción a las tecnologías de almacenamiento y arquitecturas de los sistemas de 
almacenamiento enfocadas en GNU/LINUX")</f>
        <v>1. Introducción a las tecnologías de almacenamiento y arquitecturas de los sistemas de 
almacenamiento enfocadas en GNU/LINUX</v>
      </c>
      <c r="D35" s="70" t="str">
        <f>IFERROR(__xludf.DUMMYFUNCTION("""COMPUTED_VALUE"""),"GNU/Linux y Organización de Archivos")</f>
        <v>GNU/Linux y Organización de Archivos</v>
      </c>
      <c r="E35" s="70" t="str">
        <f>IFERROR(__xludf.DUMMYFUNCTION("""COMPUTED_VALUE"""),"Arquitectura y sistema de archivos")</f>
        <v>Arquitectura y sistema de archivos</v>
      </c>
      <c r="F35" s="70" t="str">
        <f>IFERROR(__xludf.DUMMYFUNCTION("""COMPUTED_VALUE"""),"Agosto")</f>
        <v>Agosto</v>
      </c>
      <c r="G35" s="70">
        <f>IFERROR(__xludf.DUMMYFUNCTION("""COMPUTED_VALUE"""),5.0)</f>
        <v>5</v>
      </c>
    </row>
    <row r="36">
      <c r="A36" s="70">
        <f>IFERROR(__xludf.DUMMYFUNCTION("""COMPUTED_VALUE"""),31.0)</f>
        <v>31</v>
      </c>
      <c r="B36" s="61" t="str">
        <f>IFERROR(__xludf.DUMMYFUNCTION("""COMPUTED_VALUE"""),"Analiza arquitecturas de virtualización de almacenamiento mediante la comparación de modelos y evaluación de retos operativos para optimizar la administración de recursos en entornos virtualizados ")</f>
        <v>Analiza arquitecturas de virtualización de almacenamiento mediante la comparación de modelos y evaluación de retos operativos para optimizar la administración de recursos en entornos virtualizados </v>
      </c>
      <c r="C36" s="70" t="str">
        <f>IFERROR(__xludf.DUMMYFUNCTION("""COMPUTED_VALUE"""),"1. Introducción a las tecnologías de almacenamiento y arquitecturas de los sistemas de 
almacenamiento enfocadas en GNU/LINUX")</f>
        <v>1. Introducción a las tecnologías de almacenamiento y arquitecturas de los sistemas de 
almacenamiento enfocadas en GNU/LINUX</v>
      </c>
      <c r="D36" s="70" t="str">
        <f>IFERROR(__xludf.DUMMYFUNCTION("""COMPUTED_VALUE"""),"GNU/Linux y Organización de Archivos")</f>
        <v>GNU/Linux y Organización de Archivos</v>
      </c>
      <c r="E36" s="70" t="str">
        <f>IFERROR(__xludf.DUMMYFUNCTION("""COMPUTED_VALUE"""),"Procesos y estructuras en memoria")</f>
        <v>Procesos y estructuras en memoria</v>
      </c>
      <c r="F36" s="70" t="str">
        <f>IFERROR(__xludf.DUMMYFUNCTION("""COMPUTED_VALUE"""),"Agosto")</f>
        <v>Agosto</v>
      </c>
      <c r="G36" s="70">
        <f>IFERROR(__xludf.DUMMYFUNCTION("""COMPUTED_VALUE"""),5.0)</f>
        <v>5</v>
      </c>
    </row>
    <row r="37">
      <c r="A37" s="70">
        <f>IFERROR(__xludf.DUMMYFUNCTION("""COMPUTED_VALUE"""),32.0)</f>
        <v>32</v>
      </c>
      <c r="B37" s="61" t="str">
        <f>IFERROR(__xludf.DUMMYFUNCTION("""COMPUTED_VALUE"""),"Analiza arquitecturas de virtualización de almacenamiento mediante la comparación de modelos y evaluación de retos operativos para optimizar la administración de recursos en entornos virtualizados ")</f>
        <v>Analiza arquitecturas de virtualización de almacenamiento mediante la comparación de modelos y evaluación de retos operativos para optimizar la administración de recursos en entornos virtualizados </v>
      </c>
      <c r="C37" s="70" t="str">
        <f>IFERROR(__xludf.DUMMYFUNCTION("""COMPUTED_VALUE"""),"1. Introducción a las tecnologías de almacenamiento y arquitecturas de los sistemas de 
almacenamiento enfocadas en GNU/LINUX")</f>
        <v>1. Introducción a las tecnologías de almacenamiento y arquitecturas de los sistemas de 
almacenamiento enfocadas en GNU/LINUX</v>
      </c>
      <c r="D37" s="70" t="str">
        <f>IFERROR(__xludf.DUMMYFUNCTION("""COMPUTED_VALUE"""),"GNU/Linux y Organización de Archivos")</f>
        <v>GNU/Linux y Organización de Archivos</v>
      </c>
      <c r="E37" s="70" t="str">
        <f>IFERROR(__xludf.DUMMYFUNCTION("""COMPUTED_VALUE"""),"Tipos de archivos y modelos lógicos")</f>
        <v>Tipos de archivos y modelos lógicos</v>
      </c>
      <c r="F37" s="70" t="str">
        <f>IFERROR(__xludf.DUMMYFUNCTION("""COMPUTED_VALUE"""),"Agosto")</f>
        <v>Agosto</v>
      </c>
      <c r="G37" s="70">
        <f>IFERROR(__xludf.DUMMYFUNCTION("""COMPUTED_VALUE"""),5.0)</f>
        <v>5</v>
      </c>
    </row>
    <row r="38">
      <c r="A38" s="70">
        <f>IFERROR(__xludf.DUMMYFUNCTION("""COMPUTED_VALUE"""),33.0)</f>
        <v>33</v>
      </c>
      <c r="B38" s="61" t="str">
        <f>IFERROR(__xludf.DUMMYFUNCTION("""COMPUTED_VALUE"""),"Analiza arquitecturas de virtualización de almacenamiento mediante la comparación de modelos y evaluación de retos operativos para optimizar la administración de recursos en entornos virtualizados ")</f>
        <v>Analiza arquitecturas de virtualización de almacenamiento mediante la comparación de modelos y evaluación de retos operativos para optimizar la administración de recursos en entornos virtualizados </v>
      </c>
      <c r="C38" s="70" t="str">
        <f>IFERROR(__xludf.DUMMYFUNCTION("""COMPUTED_VALUE"""),"1. Introducción a las tecnologías de almacenamiento y arquitecturas de los sistemas de 
almacenamiento enfocadas en GNU/LINUX")</f>
        <v>1. Introducción a las tecnologías de almacenamiento y arquitecturas de los sistemas de 
almacenamiento enfocadas en GNU/LINUX</v>
      </c>
      <c r="D38" s="70" t="str">
        <f>IFERROR(__xludf.DUMMYFUNCTION("""COMPUTED_VALUE"""),"GNU/Linux y Organización de Archivos")</f>
        <v>GNU/Linux y Organización de Archivos</v>
      </c>
      <c r="E38" s="70" t="str">
        <f>IFERROR(__xludf.DUMMYFUNCTION("""COMPUTED_VALUE"""),"Sistemas de archivos en Linux")</f>
        <v>Sistemas de archivos en Linux</v>
      </c>
      <c r="F38" s="70" t="str">
        <f>IFERROR(__xludf.DUMMYFUNCTION("""COMPUTED_VALUE"""),"Agosto")</f>
        <v>Agosto</v>
      </c>
      <c r="G38" s="70">
        <f>IFERROR(__xludf.DUMMYFUNCTION("""COMPUTED_VALUE"""),5.0)</f>
        <v>5</v>
      </c>
    </row>
    <row r="39">
      <c r="A39" s="70">
        <f>IFERROR(__xludf.DUMMYFUNCTION("""COMPUTED_VALUE"""),34.0)</f>
        <v>34</v>
      </c>
      <c r="B39" s="61" t="str">
        <f>IFERROR(__xludf.DUMMYFUNCTION("""COMPUTED_VALUE"""),"Analiza arquitecturas de virtualización de almacenamiento mediante la comparación de modelos y evaluación de retos operativos para optimizar la administración de recursos en entornos virtualizados ")</f>
        <v>Analiza arquitecturas de virtualización de almacenamiento mediante la comparación de modelos y evaluación de retos operativos para optimizar la administración de recursos en entornos virtualizados </v>
      </c>
      <c r="C39" s="70" t="str">
        <f>IFERROR(__xludf.DUMMYFUNCTION("""COMPUTED_VALUE"""),"1. Introducción a las tecnologías de almacenamiento y arquitecturas de los sistemas de 
almacenamiento enfocadas en GNU/LINUX")</f>
        <v>1. Introducción a las tecnologías de almacenamiento y arquitecturas de los sistemas de 
almacenamiento enfocadas en GNU/LINUX</v>
      </c>
      <c r="D39" s="70" t="str">
        <f>IFERROR(__xludf.DUMMYFUNCTION("""COMPUTED_VALUE"""),"GNU/Linux y Organización de Archivos")</f>
        <v>GNU/Linux y Organización de Archivos</v>
      </c>
      <c r="E39" s="70" t="str">
        <f>IFERROR(__xludf.DUMMYFUNCTION("""COMPUTED_VALUE"""),"Paquetes e indexación")</f>
        <v>Paquetes e indexación</v>
      </c>
      <c r="F39" s="70" t="str">
        <f>IFERROR(__xludf.DUMMYFUNCTION("""COMPUTED_VALUE"""),"Agosto")</f>
        <v>Agosto</v>
      </c>
      <c r="G39" s="70">
        <f>IFERROR(__xludf.DUMMYFUNCTION("""COMPUTED_VALUE"""),5.0)</f>
        <v>5</v>
      </c>
    </row>
    <row r="40">
      <c r="A40" s="70">
        <f>IFERROR(__xludf.DUMMYFUNCTION("""COMPUTED_VALUE"""),35.0)</f>
        <v>35</v>
      </c>
      <c r="B40" s="61" t="str">
        <f>IFERROR(__xludf.DUMMYFUNCTION("""COMPUTED_VALUE"""),"Analiza arquitecturas de virtualización de almacenamiento mediante la comparación de modelos y evaluación de retos operativos para optimizar la administración de recursos en entornos virtualizados ")</f>
        <v>Analiza arquitecturas de virtualización de almacenamiento mediante la comparación de modelos y evaluación de retos operativos para optimizar la administración de recursos en entornos virtualizados </v>
      </c>
      <c r="C40" s="70" t="str">
        <f>IFERROR(__xludf.DUMMYFUNCTION("""COMPUTED_VALUE"""),"1. Introducción a las tecnologías de almacenamiento y arquitecturas de los sistemas de 
almacenamiento enfocadas en GNU/LINUX")</f>
        <v>1. Introducción a las tecnologías de almacenamiento y arquitecturas de los sistemas de 
almacenamiento enfocadas en GNU/LINUX</v>
      </c>
      <c r="D40" s="70" t="str">
        <f>IFERROR(__xludf.DUMMYFUNCTION("""COMPUTED_VALUE"""),"GNU/Linux y Organización de Archivos")</f>
        <v>GNU/Linux y Organización de Archivos</v>
      </c>
      <c r="E40" s="70" t="str">
        <f>IFERROR(__xludf.DUMMYFUNCTION("""COMPUTED_VALUE"""),"Linux en empresas y nube")</f>
        <v>Linux en empresas y nube</v>
      </c>
      <c r="F40" s="70" t="str">
        <f>IFERROR(__xludf.DUMMYFUNCTION("""COMPUTED_VALUE"""),"Agosto")</f>
        <v>Agosto</v>
      </c>
      <c r="G40" s="70">
        <f>IFERROR(__xludf.DUMMYFUNCTION("""COMPUTED_VALUE"""),5.0)</f>
        <v>5</v>
      </c>
    </row>
    <row r="41">
      <c r="A41" s="70">
        <f>IFERROR(__xludf.DUMMYFUNCTION("""COMPUTED_VALUE"""),36.0)</f>
        <v>36</v>
      </c>
      <c r="B41" s="61" t="str">
        <f>IFERROR(__xludf.DUMMYFUNCTION("""COMPUTED_VALUE"""),"Integra soluciones de almacenamiento local y en la nube mediante la selección y combinación de tecnologías de almacenamiento físico y virtualizado para diseñar infraestructuras eficientes, seguras y escalables ")</f>
        <v>Integra soluciones de almacenamiento local y en la nube mediante la selección y combinación de tecnologías de almacenamiento físico y virtualizado para diseñar infraestructuras eficientes, seguras y escalables </v>
      </c>
      <c r="C41" s="70" t="str">
        <f>IFERROR(__xludf.DUMMYFUNCTION("""COMPUTED_VALUE"""),"¡")</f>
        <v>¡</v>
      </c>
      <c r="D41" s="70" t="str">
        <f>IFERROR(__xludf.DUMMYFUNCTION("""COMPUTED_VALUE"""),"RAID")</f>
        <v>RAID</v>
      </c>
      <c r="E41" s="70" t="str">
        <f>IFERROR(__xludf.DUMMYFUNCTION("""COMPUTED_VALUE"""),"Introducción a RAID: Concepto y Tipos")</f>
        <v>Introducción a RAID: Concepto y Tipos</v>
      </c>
      <c r="F41" s="70" t="str">
        <f>IFERROR(__xludf.DUMMYFUNCTION("""COMPUTED_VALUE"""),"Septiembre")</f>
        <v>Septiembre</v>
      </c>
      <c r="G41" s="70">
        <f>IFERROR(__xludf.DUMMYFUNCTION("""COMPUTED_VALUE"""),6.0)</f>
        <v>6</v>
      </c>
    </row>
    <row r="42">
      <c r="A42" s="70">
        <f>IFERROR(__xludf.DUMMYFUNCTION("""COMPUTED_VALUE"""),37.0)</f>
        <v>37</v>
      </c>
      <c r="B42" s="61" t="str">
        <f>IFERROR(__xludf.DUMMYFUNCTION("""COMPUTED_VALUE"""),"Integra soluciones de almacenamiento local y en la nube mediante la selección y combinación de tecnologías de almacenamiento físico y virtualizado para diseñar infraestructuras eficientes, seguras y escalables ")</f>
        <v>Integra soluciones de almacenamiento local y en la nube mediante la selección y combinación de tecnologías de almacenamiento físico y virtualizado para diseñar infraestructuras eficientes, seguras y escalables </v>
      </c>
      <c r="C42" s="70" t="str">
        <f>IFERROR(__xludf.DUMMYFUNCTION("""COMPUTED_VALUE"""),"1. Introducción a las tecnologías de almacenamiento y arquitecturas de los sistemas de 
almacenamiento enfocadas en GNU/LINUX")</f>
        <v>1. Introducción a las tecnologías de almacenamiento y arquitecturas de los sistemas de 
almacenamiento enfocadas en GNU/LINUX</v>
      </c>
      <c r="D42" s="70" t="str">
        <f>IFERROR(__xludf.DUMMYFUNCTION("""COMPUTED_VALUE"""),"RAID")</f>
        <v>RAID</v>
      </c>
      <c r="E42" s="70" t="str">
        <f>IFERROR(__xludf.DUMMYFUNCTION("""COMPUTED_VALUE"""),"Niveles RAID: RAID 0, 1, 5, 6, 10, 50 y más")</f>
        <v>Niveles RAID: RAID 0, 1, 5, 6, 10, 50 y más</v>
      </c>
      <c r="F42" s="70" t="str">
        <f>IFERROR(__xludf.DUMMYFUNCTION("""COMPUTED_VALUE"""),"Septiembre")</f>
        <v>Septiembre</v>
      </c>
      <c r="G42" s="70">
        <f>IFERROR(__xludf.DUMMYFUNCTION("""COMPUTED_VALUE"""),6.0)</f>
        <v>6</v>
      </c>
    </row>
    <row r="43">
      <c r="A43" s="70">
        <f>IFERROR(__xludf.DUMMYFUNCTION("""COMPUTED_VALUE"""),38.0)</f>
        <v>38</v>
      </c>
      <c r="B43" s="61" t="str">
        <f>IFERROR(__xludf.DUMMYFUNCTION("""COMPUTED_VALUE"""),"Integra soluciones de almacenamiento local y en la nube mediante la selección y combinación de tecnologías de almacenamiento físico y virtualizado para diseñar infraestructuras eficientes, seguras y escalables ")</f>
        <v>Integra soluciones de almacenamiento local y en la nube mediante la selección y combinación de tecnologías de almacenamiento físico y virtualizado para diseñar infraestructuras eficientes, seguras y escalables </v>
      </c>
      <c r="C43" s="70" t="str">
        <f>IFERROR(__xludf.DUMMYFUNCTION("""COMPUTED_VALUE"""),"1. Introducción a las tecnologías de almacenamiento y arquitecturas de los sistemas de 
almacenamiento enfocadas en GNU/LINUX")</f>
        <v>1. Introducción a las tecnologías de almacenamiento y arquitecturas de los sistemas de 
almacenamiento enfocadas en GNU/LINUX</v>
      </c>
      <c r="D43" s="70" t="str">
        <f>IFERROR(__xludf.DUMMYFUNCTION("""COMPUTED_VALUE"""),"RAID")</f>
        <v>RAID</v>
      </c>
      <c r="E43" s="70" t="str">
        <f>IFERROR(__xludf.DUMMYFUNCTION("""COMPUTED_VALUE"""),"Rendimiento y Fiabilidad en RAID")</f>
        <v>Rendimiento y Fiabilidad en RAID</v>
      </c>
      <c r="F43" s="70" t="str">
        <f>IFERROR(__xludf.DUMMYFUNCTION("""COMPUTED_VALUE"""),"Septiembre")</f>
        <v>Septiembre</v>
      </c>
      <c r="G43" s="70">
        <f>IFERROR(__xludf.DUMMYFUNCTION("""COMPUTED_VALUE"""),6.0)</f>
        <v>6</v>
      </c>
    </row>
    <row r="44">
      <c r="A44" s="70">
        <f>IFERROR(__xludf.DUMMYFUNCTION("""COMPUTED_VALUE"""),39.0)</f>
        <v>39</v>
      </c>
      <c r="B44" s="61" t="str">
        <f>IFERROR(__xludf.DUMMYFUNCTION("""COMPUTED_VALUE"""),"Integra soluciones de almacenamiento local y en la nube mediante la selección y combinación de tecnologías de almacenamiento físico y virtualizado para diseñar infraestructuras eficientes, seguras y escalables ")</f>
        <v>Integra soluciones de almacenamiento local y en la nube mediante la selección y combinación de tecnologías de almacenamiento físico y virtualizado para diseñar infraestructuras eficientes, seguras y escalables </v>
      </c>
      <c r="C44" s="70" t="str">
        <f>IFERROR(__xludf.DUMMYFUNCTION("""COMPUTED_VALUE"""),"1. Introducción a las tecnologías de almacenamiento y arquitecturas de los sistemas de 
almacenamiento enfocadas en GNU/LINUX")</f>
        <v>1. Introducción a las tecnologías de almacenamiento y arquitecturas de los sistemas de 
almacenamiento enfocadas en GNU/LINUX</v>
      </c>
      <c r="D44" s="70" t="str">
        <f>IFERROR(__xludf.DUMMYFUNCTION("""COMPUTED_VALUE"""),"RAID")</f>
        <v>RAID</v>
      </c>
      <c r="E44" s="70" t="str">
        <f>IFERROR(__xludf.DUMMYFUNCTION("""COMPUTED_VALUE"""),"RAID y Tecnologías de Almacenamiento Actuales")</f>
        <v>RAID y Tecnologías de Almacenamiento Actuales</v>
      </c>
      <c r="F44" s="70" t="str">
        <f>IFERROR(__xludf.DUMMYFUNCTION("""COMPUTED_VALUE"""),"Septiembre")</f>
        <v>Septiembre</v>
      </c>
      <c r="G44" s="70">
        <f>IFERROR(__xludf.DUMMYFUNCTION("""COMPUTED_VALUE"""),6.0)</f>
        <v>6</v>
      </c>
    </row>
    <row r="45">
      <c r="A45" s="70">
        <f>IFERROR(__xludf.DUMMYFUNCTION("""COMPUTED_VALUE"""),40.0)</f>
        <v>40</v>
      </c>
      <c r="B45" s="61" t="str">
        <f>IFERROR(__xludf.DUMMYFUNCTION("""COMPUTED_VALUE"""),"Integra soluciones de almacenamiento local y en la nube mediante la selección y combinación de tecnologías de almacenamiento físico y virtualizado para diseñar infraestructuras eficientes, seguras y escalables ")</f>
        <v>Integra soluciones de almacenamiento local y en la nube mediante la selección y combinación de tecnologías de almacenamiento físico y virtualizado para diseñar infraestructuras eficientes, seguras y escalables </v>
      </c>
      <c r="C45" s="70" t="str">
        <f>IFERROR(__xludf.DUMMYFUNCTION("""COMPUTED_VALUE"""),"1. Introducción a las tecnologías de almacenamiento y arquitecturas de los sistemas de 
almacenamiento enfocadas en GNU/LINUX")</f>
        <v>1. Introducción a las tecnologías de almacenamiento y arquitecturas de los sistemas de 
almacenamiento enfocadas en GNU/LINUX</v>
      </c>
      <c r="D45" s="70" t="str">
        <f>IFERROR(__xludf.DUMMYFUNCTION("""COMPUTED_VALUE"""),"RAID")</f>
        <v>RAID</v>
      </c>
      <c r="E45" s="70" t="str">
        <f>IFERROR(__xludf.DUMMYFUNCTION("""COMPUTED_VALUE"""),"Implementación de RAID por software vs hardware")</f>
        <v>Implementación de RAID por software vs hardware</v>
      </c>
      <c r="F45" s="70" t="str">
        <f>IFERROR(__xludf.DUMMYFUNCTION("""COMPUTED_VALUE"""),"Septiembre")</f>
        <v>Septiembre</v>
      </c>
      <c r="G45" s="70">
        <f>IFERROR(__xludf.DUMMYFUNCTION("""COMPUTED_VALUE"""),6.0)</f>
        <v>6</v>
      </c>
    </row>
    <row r="46">
      <c r="A46" s="70">
        <f>IFERROR(__xludf.DUMMYFUNCTION("""COMPUTED_VALUE"""),41.0)</f>
        <v>41</v>
      </c>
      <c r="B46" s="61" t="str">
        <f>IFERROR(__xludf.DUMMYFUNCTION("""COMPUTED_VALUE"""),"Integra soluciones de almacenamiento local y en la nube mediante la selección y combinación de tecnologías de almacenamiento físico y virtualizado para diseñar infraestructuras eficientes, seguras y escalables ")</f>
        <v>Integra soluciones de almacenamiento local y en la nube mediante la selección y combinación de tecnologías de almacenamiento físico y virtualizado para diseñar infraestructuras eficientes, seguras y escalables </v>
      </c>
      <c r="C46" s="70" t="str">
        <f>IFERROR(__xludf.DUMMYFUNCTION("""COMPUTED_VALUE"""),"1. Introducción a las tecnologías de almacenamiento y arquitecturas de los sistemas de 
almacenamiento enfocadas en GNU/LINUX")</f>
        <v>1. Introducción a las tecnologías de almacenamiento y arquitecturas de los sistemas de 
almacenamiento enfocadas en GNU/LINUX</v>
      </c>
      <c r="D46" s="70" t="str">
        <f>IFERROR(__xludf.DUMMYFUNCTION("""COMPUTED_VALUE"""),"RAID")</f>
        <v>RAID</v>
      </c>
      <c r="E46" s="70" t="str">
        <f>IFERROR(__xludf.DUMMYFUNCTION("""COMPUTED_VALUE"""),"RAID en entornos virtualizados")</f>
        <v>RAID en entornos virtualizados</v>
      </c>
      <c r="F46" s="70" t="str">
        <f>IFERROR(__xludf.DUMMYFUNCTION("""COMPUTED_VALUE"""),"Septiembre")</f>
        <v>Septiembre</v>
      </c>
      <c r="G46" s="70">
        <f>IFERROR(__xludf.DUMMYFUNCTION("""COMPUTED_VALUE"""),6.0)</f>
        <v>6</v>
      </c>
    </row>
    <row r="47">
      <c r="A47" s="70">
        <f>IFERROR(__xludf.DUMMYFUNCTION("""COMPUTED_VALUE"""),42.0)</f>
        <v>42</v>
      </c>
      <c r="B47" s="61" t="str">
        <f>IFERROR(__xludf.DUMMYFUNCTION("""COMPUTED_VALUE"""),"Integra soluciones de almacenamiento local y en la nube mediante la selección y combinación de tecnologías de almacenamiento físico y virtualizado para diseñar infraestructuras eficientes, seguras y escalables ")</f>
        <v>Integra soluciones de almacenamiento local y en la nube mediante la selección y combinación de tecnologías de almacenamiento físico y virtualizado para diseñar infraestructuras eficientes, seguras y escalables </v>
      </c>
      <c r="C47" s="70" t="str">
        <f>IFERROR(__xludf.DUMMYFUNCTION("""COMPUTED_VALUE"""),"1. Introducción a las tecnologías de almacenamiento y arquitecturas de los sistemas de 
almacenamiento enfocadas en GNU/LINUX")</f>
        <v>1. Introducción a las tecnologías de almacenamiento y arquitecturas de los sistemas de 
almacenamiento enfocadas en GNU/LINUX</v>
      </c>
      <c r="D47" s="70" t="str">
        <f>IFERROR(__xludf.DUMMYFUNCTION("""COMPUTED_VALUE"""),"RAID")</f>
        <v>RAID</v>
      </c>
      <c r="E47" s="70" t="str">
        <f>IFERROR(__xludf.DUMMYFUNCTION("""COMPUTED_VALUE"""),"RAID en Entornos Empresariales y Personales")</f>
        <v>RAID en Entornos Empresariales y Personales</v>
      </c>
      <c r="F47" s="70" t="str">
        <f>IFERROR(__xludf.DUMMYFUNCTION("""COMPUTED_VALUE"""),"Septiembre")</f>
        <v>Septiembre</v>
      </c>
      <c r="G47" s="70">
        <f>IFERROR(__xludf.DUMMYFUNCTION("""COMPUTED_VALUE"""),6.0)</f>
        <v>6</v>
      </c>
    </row>
    <row r="48">
      <c r="A48" s="70">
        <f>IFERROR(__xludf.DUMMYFUNCTION("""COMPUTED_VALUE"""),43.0)</f>
        <v>43</v>
      </c>
      <c r="B48" s="61" t="str">
        <f>IFERROR(__xludf.DUMMYFUNCTION("""COMPUTED_VALUE"""),"Explica los fundamentos de conectividad, administración y evolución de tecnologías de red y almacenamiento mediante la identificación de componentes clave y su interacción funcional para comprender su rol en infraestructuras tecnológicas actuales ")</f>
        <v>Explica los fundamentos de conectividad, administración y evolución de tecnologías de red y almacenamiento mediante la identificación de componentes clave y su interacción funcional para comprender su rol en infraestructuras tecnológicas actuales </v>
      </c>
      <c r="C48" s="70" t="str">
        <f>IFERROR(__xludf.DUMMYFUNCTION("""COMPUTED_VALUE"""),"2. Introducción a los almacenamientos en red y en la nube")</f>
        <v>2. Introducción a los almacenamientos en red y en la nube</v>
      </c>
      <c r="D48" s="70" t="str">
        <f>IFERROR(__xludf.DUMMYFUNCTION("""COMPUTED_VALUE"""),"Conceptos basicos
")</f>
        <v>Conceptos basicos
</v>
      </c>
      <c r="E48" s="70" t="str">
        <f>IFERROR(__xludf.DUMMYFUNCTION("""COMPUTED_VALUE"""),"Evolución de los Sistemas de Almacenamiento en Red")</f>
        <v>Evolución de los Sistemas de Almacenamiento en Red</v>
      </c>
      <c r="F48" s="70" t="str">
        <f>IFERROR(__xludf.DUMMYFUNCTION("""COMPUTED_VALUE"""),"Septiembre")</f>
        <v>Septiembre</v>
      </c>
      <c r="G48" s="70">
        <f>IFERROR(__xludf.DUMMYFUNCTION("""COMPUTED_VALUE"""),7.0)</f>
        <v>7</v>
      </c>
    </row>
    <row r="49">
      <c r="A49" s="70">
        <f>IFERROR(__xludf.DUMMYFUNCTION("""COMPUTED_VALUE"""),44.0)</f>
        <v>44</v>
      </c>
      <c r="B49" s="61" t="str">
        <f>IFERROR(__xludf.DUMMYFUNCTION("""COMPUTED_VALUE"""),"Explica los fundamentos de conectividad, administración y evolución de tecnologías de red y almacenamiento mediante la identificación de componentes clave y su interacción funcional para comprender su rol en infraestructuras tecnológicas actuales ")</f>
        <v>Explica los fundamentos de conectividad, administración y evolución de tecnologías de red y almacenamiento mediante la identificación de componentes clave y su interacción funcional para comprender su rol en infraestructuras tecnológicas actuales </v>
      </c>
      <c r="C49" s="70" t="str">
        <f>IFERROR(__xludf.DUMMYFUNCTION("""COMPUTED_VALUE"""),"2. Introducción a los almacenamientos en red y en la nube")</f>
        <v>2. Introducción a los almacenamientos en red y en la nube</v>
      </c>
      <c r="D49" s="70" t="str">
        <f>IFERROR(__xludf.DUMMYFUNCTION("""COMPUTED_VALUE"""),"Beneficios del alamacenamiento en red")</f>
        <v>Beneficios del alamacenamiento en red</v>
      </c>
      <c r="E49" s="70" t="str">
        <f>IFERROR(__xludf.DUMMYFUNCTION("""COMPUTED_VALUE"""),"Direct Attached Storage (DAS)")</f>
        <v>Direct Attached Storage (DAS)</v>
      </c>
      <c r="F49" s="70" t="str">
        <f>IFERROR(__xludf.DUMMYFUNCTION("""COMPUTED_VALUE"""),"Septiembre")</f>
        <v>Septiembre</v>
      </c>
      <c r="G49" s="70">
        <f>IFERROR(__xludf.DUMMYFUNCTION("""COMPUTED_VALUE"""),7.0)</f>
        <v>7</v>
      </c>
    </row>
    <row r="50">
      <c r="A50" s="70">
        <f>IFERROR(__xludf.DUMMYFUNCTION("""COMPUTED_VALUE"""),45.0)</f>
        <v>45</v>
      </c>
      <c r="B50" s="61" t="str">
        <f>IFERROR(__xludf.DUMMYFUNCTION("""COMPUTED_VALUE"""),"Explica los fundamentos de conectividad, administración y evolución de tecnologías de red y almacenamiento mediante la identificación de componentes clave y su interacción funcional para comprender su rol en infraestructuras tecnológicas actuales ")</f>
        <v>Explica los fundamentos de conectividad, administración y evolución de tecnologías de red y almacenamiento mediante la identificación de componentes clave y su interacción funcional para comprender su rol en infraestructuras tecnológicas actuales </v>
      </c>
      <c r="C50" s="70" t="str">
        <f>IFERROR(__xludf.DUMMYFUNCTION("""COMPUTED_VALUE"""),"2. Introducción a los almacenamientos en red y en la nube")</f>
        <v>2. Introducción a los almacenamientos en red y en la nube</v>
      </c>
      <c r="D50" s="70" t="str">
        <f>IFERROR(__xludf.DUMMYFUNCTION("""COMPUTED_VALUE"""),"Desafios del almacenamiento en red
")</f>
        <v>Desafios del almacenamiento en red
</v>
      </c>
      <c r="E50" s="70" t="str">
        <f>IFERROR(__xludf.DUMMYFUNCTION("""COMPUTED_VALUE"""),"Storage Area Networks (SAN)")</f>
        <v>Storage Area Networks (SAN)</v>
      </c>
      <c r="F50" s="70" t="str">
        <f>IFERROR(__xludf.DUMMYFUNCTION("""COMPUTED_VALUE"""),"Septiembre")</f>
        <v>Septiembre</v>
      </c>
      <c r="G50" s="70">
        <f>IFERROR(__xludf.DUMMYFUNCTION("""COMPUTED_VALUE"""),7.0)</f>
        <v>7</v>
      </c>
    </row>
    <row r="51">
      <c r="A51" s="70">
        <f>IFERROR(__xludf.DUMMYFUNCTION("""COMPUTED_VALUE"""),46.0)</f>
        <v>46</v>
      </c>
      <c r="B51" s="61" t="str">
        <f>IFERROR(__xludf.DUMMYFUNCTION("""COMPUTED_VALUE"""),"Explica los fundamentos de conectividad, administración y evolución de tecnologías de red y almacenamiento mediante la identificación de componentes clave y su interacción funcional para comprender su rol en infraestructuras tecnológicas actuales ")</f>
        <v>Explica los fundamentos de conectividad, administración y evolución de tecnologías de red y almacenamiento mediante la identificación de componentes clave y su interacción funcional para comprender su rol en infraestructuras tecnológicas actuales </v>
      </c>
      <c r="C51" s="70" t="str">
        <f>IFERROR(__xludf.DUMMYFUNCTION("""COMPUTED_VALUE"""),"2. Introducción a los almacenamientos en red y en la nube")</f>
        <v>2. Introducción a los almacenamientos en red y en la nube</v>
      </c>
      <c r="D51" s="70" t="str">
        <f>IFERROR(__xludf.DUMMYFUNCTION("""COMPUTED_VALUE"""),"NAS (Network-attached Storgae)")</f>
        <v>NAS (Network-attached Storgae)</v>
      </c>
      <c r="E51" s="70" t="str">
        <f>IFERROR(__xludf.DUMMYFUNCTION("""COMPUTED_VALUE"""),"Protocolos de Almacenamiento en Red")</f>
        <v>Protocolos de Almacenamiento en Red</v>
      </c>
      <c r="F51" s="70" t="str">
        <f>IFERROR(__xludf.DUMMYFUNCTION("""COMPUTED_VALUE"""),"Septiembre")</f>
        <v>Septiembre</v>
      </c>
      <c r="G51" s="70">
        <f>IFERROR(__xludf.DUMMYFUNCTION("""COMPUTED_VALUE"""),7.0)</f>
        <v>7</v>
      </c>
    </row>
    <row r="52">
      <c r="A52" s="70">
        <f>IFERROR(__xludf.DUMMYFUNCTION("""COMPUTED_VALUE"""),47.0)</f>
        <v>47</v>
      </c>
      <c r="B52" s="61" t="str">
        <f>IFERROR(__xludf.DUMMYFUNCTION("""COMPUTED_VALUE"""),"Explica los fundamentos de conectividad, administración y evolución de tecnologías de red y almacenamiento mediante la identificación de componentes clave y su interacción funcional para comprender su rol en infraestructuras tecnológicas actuales ")</f>
        <v>Explica los fundamentos de conectividad, administración y evolución de tecnologías de red y almacenamiento mediante la identificación de componentes clave y su interacción funcional para comprender su rol en infraestructuras tecnológicas actuales </v>
      </c>
      <c r="C52" s="70" t="str">
        <f>IFERROR(__xludf.DUMMYFUNCTION("""COMPUTED_VALUE"""),"2. Introducción a los almacenamientos en red y en la nube")</f>
        <v>2. Introducción a los almacenamientos en red y en la nube</v>
      </c>
      <c r="D52" s="70" t="str">
        <f>IFERROR(__xludf.DUMMYFUNCTION("""COMPUTED_VALUE"""),"SAN (Storage Area Network)
")</f>
        <v>SAN (Storage Area Network)
</v>
      </c>
      <c r="E52" s="70" t="str">
        <f>IFERROR(__xludf.DUMMYFUNCTION("""COMPUTED_VALUE"""),"Principios de Fibra Óptica en Redes de Almacenamiento")</f>
        <v>Principios de Fibra Óptica en Redes de Almacenamiento</v>
      </c>
      <c r="F52" s="70" t="str">
        <f>IFERROR(__xludf.DUMMYFUNCTION("""COMPUTED_VALUE"""),"Septiembre")</f>
        <v>Septiembre</v>
      </c>
      <c r="G52" s="70">
        <f>IFERROR(__xludf.DUMMYFUNCTION("""COMPUTED_VALUE"""),7.0)</f>
        <v>7</v>
      </c>
    </row>
    <row r="53">
      <c r="A53" s="70">
        <f>IFERROR(__xludf.DUMMYFUNCTION("""COMPUTED_VALUE"""),48.0)</f>
        <v>48</v>
      </c>
      <c r="B53" s="61" t="str">
        <f>IFERROR(__xludf.DUMMYFUNCTION("""COMPUTED_VALUE"""),"Explica los fundamentos de conectividad, administración y evolución de tecnologías de red y almacenamiento mediante la identificación de componentes clave y su interacción funcional para comprender su rol en infraestructuras tecnológicas actuales ")</f>
        <v>Explica los fundamentos de conectividad, administración y evolución de tecnologías de red y almacenamiento mediante la identificación de componentes clave y su interacción funcional para comprender su rol en infraestructuras tecnológicas actuales </v>
      </c>
      <c r="C53" s="70" t="str">
        <f>IFERROR(__xludf.DUMMYFUNCTION("""COMPUTED_VALUE"""),"2. Introducción a los almacenamientos en red y en la nube")</f>
        <v>2. Introducción a los almacenamientos en red y en la nube</v>
      </c>
      <c r="D53" s="70" t="str">
        <f>IFERROR(__xludf.DUMMYFUNCTION("""COMPUTED_VALUE"""),"Almacenamiento para big data
")</f>
        <v>Almacenamiento para big data
</v>
      </c>
      <c r="E53" s="70" t="str">
        <f>IFERROR(__xludf.DUMMYFUNCTION("""COMPUTED_VALUE"""),"Administración de Redes de Almacenamiento")</f>
        <v>Administración de Redes de Almacenamiento</v>
      </c>
      <c r="F53" s="70" t="str">
        <f>IFERROR(__xludf.DUMMYFUNCTION("""COMPUTED_VALUE"""),"Septiembre")</f>
        <v>Septiembre</v>
      </c>
      <c r="G53" s="70">
        <f>IFERROR(__xludf.DUMMYFUNCTION("""COMPUTED_VALUE"""),7.0)</f>
        <v>7</v>
      </c>
    </row>
    <row r="54">
      <c r="A54" s="70">
        <f>IFERROR(__xludf.DUMMYFUNCTION("""COMPUTED_VALUE"""),49.0)</f>
        <v>49</v>
      </c>
      <c r="B54" s="61" t="str">
        <f>IFERROR(__xludf.DUMMYFUNCTION("""COMPUTED_VALUE"""),"Explica los fundamentos de conectividad, administración y evolución de tecnologías de red y almacenamiento mediante la identificación de componentes clave y su interacción funcional para comprender su rol en infraestructuras tecnológicas actuales ")</f>
        <v>Explica los fundamentos de conectividad, administración y evolución de tecnologías de red y almacenamiento mediante la identificación de componentes clave y su interacción funcional para comprender su rol en infraestructuras tecnológicas actuales </v>
      </c>
      <c r="C54" s="70" t="str">
        <f>IFERROR(__xludf.DUMMYFUNCTION("""COMPUTED_VALUE"""),"2. Introducción a los almacenamientos en red y en la nube")</f>
        <v>2. Introducción a los almacenamientos en red y en la nube</v>
      </c>
      <c r="D54" s="70" t="str">
        <f>IFERROR(__xludf.DUMMYFUNCTION("""COMPUTED_VALUE"""),"Almacenamiento en red para tipos de redes
")</f>
        <v>Almacenamiento en red para tipos de redes
</v>
      </c>
      <c r="E54" s="70" t="str">
        <f>IFERROR(__xludf.DUMMYFUNCTION("""COMPUTED_VALUE"""),"Comparación y Selección de Soluciones de Almacenamiento")</f>
        <v>Comparación y Selección de Soluciones de Almacenamiento</v>
      </c>
      <c r="F54" s="70" t="str">
        <f>IFERROR(__xludf.DUMMYFUNCTION("""COMPUTED_VALUE"""),"Septiembre")</f>
        <v>Septiembre</v>
      </c>
      <c r="G54" s="70">
        <f>IFERROR(__xludf.DUMMYFUNCTION("""COMPUTED_VALUE"""),7.0)</f>
        <v>7</v>
      </c>
    </row>
    <row r="55">
      <c r="A55" s="70">
        <f>IFERROR(__xludf.DUMMYFUNCTION("""COMPUTED_VALUE"""),50.0)</f>
        <v>50</v>
      </c>
      <c r="B55" s="61" t="str">
        <f>IFERROR(__xludf.DUMMYFUNCTION("""COMPUTED_VALUE"""),"Explica los fundamentos de conectividad, administración y evolución de tecnologías de red y almacenamiento mediante la identificación de componentes clave y su interacción funcional para comprender su rol en infraestructuras tecnológicas actuales ")</f>
        <v>Explica los fundamentos de conectividad, administración y evolución de tecnologías de red y almacenamiento mediante la identificación de componentes clave y su interacción funcional para comprender su rol en infraestructuras tecnológicas actuales </v>
      </c>
      <c r="C55" s="70" t="str">
        <f>IFERROR(__xludf.DUMMYFUNCTION("""COMPUTED_VALUE"""),"2. Introducción a los almacenamientos en red y en la nube")</f>
        <v>2. Introducción a los almacenamientos en red y en la nube</v>
      </c>
      <c r="D55" s="70" t="str">
        <f>IFERROR(__xludf.DUMMYFUNCTION("""COMPUTED_VALUE"""),"Historia y origenes")</f>
        <v>Historia y origenes</v>
      </c>
      <c r="E55" s="70" t="str">
        <f>IFERROR(__xludf.DUMMYFUNCTION("""COMPUTED_VALUE"""),"Introducción al Almacenamiento en la Nube")</f>
        <v>Introducción al Almacenamiento en la Nube</v>
      </c>
      <c r="F55" s="70" t="str">
        <f>IFERROR(__xludf.DUMMYFUNCTION("""COMPUTED_VALUE"""),"Septiembre")</f>
        <v>Septiembre</v>
      </c>
      <c r="G55" s="70">
        <f>IFERROR(__xludf.DUMMYFUNCTION("""COMPUTED_VALUE"""),8.0)</f>
        <v>8</v>
      </c>
    </row>
    <row r="56">
      <c r="A56" s="70">
        <f>IFERROR(__xludf.DUMMYFUNCTION("""COMPUTED_VALUE"""),51.0)</f>
        <v>51</v>
      </c>
      <c r="B56" s="61" t="str">
        <f>IFERROR(__xludf.DUMMYFUNCTION("""COMPUTED_VALUE"""),"Explica los fundamentos de conectividad, administración y evolución de tecnologías de red y almacenamiento mediante la identificación de componentes clave y su interacción funcional para comprender su rol en infraestructuras tecnológicas actuales ")</f>
        <v>Explica los fundamentos de conectividad, administración y evolución de tecnologías de red y almacenamiento mediante la identificación de componentes clave y su interacción funcional para comprender su rol en infraestructuras tecnológicas actuales </v>
      </c>
      <c r="C56" s="70" t="str">
        <f>IFERROR(__xludf.DUMMYFUNCTION("""COMPUTED_VALUE"""),"2. Introducción a los almacenamientos en red y en la nube")</f>
        <v>2. Introducción a los almacenamientos en red y en la nube</v>
      </c>
      <c r="D56" s="70" t="str">
        <f>IFERROR(__xludf.DUMMYFUNCTION("""COMPUTED_VALUE"""),"Tipos de almacenamiento en la nube")</f>
        <v>Tipos de almacenamiento en la nube</v>
      </c>
      <c r="E56" s="70" t="str">
        <f>IFERROR(__xludf.DUMMYFUNCTION("""COMPUTED_VALUE"""),"Modelos de Almacenamiento en la Nube")</f>
        <v>Modelos de Almacenamiento en la Nube</v>
      </c>
      <c r="F56" s="70" t="str">
        <f>IFERROR(__xludf.DUMMYFUNCTION("""COMPUTED_VALUE"""),"Septiembre")</f>
        <v>Septiembre</v>
      </c>
      <c r="G56" s="70">
        <f>IFERROR(__xludf.DUMMYFUNCTION("""COMPUTED_VALUE"""),8.0)</f>
        <v>8</v>
      </c>
    </row>
    <row r="57">
      <c r="A57" s="70">
        <f>IFERROR(__xludf.DUMMYFUNCTION("""COMPUTED_VALUE"""),52.0)</f>
        <v>52</v>
      </c>
      <c r="B57" s="61" t="str">
        <f>IFERROR(__xludf.DUMMYFUNCTION("""COMPUTED_VALUE"""),"Explica los fundamentos de conectividad, administración y evolución de tecnologías de red y almacenamiento mediante la identificación de componentes clave y su interacción funcional para comprender su rol en infraestructuras tecnológicas actuales ")</f>
        <v>Explica los fundamentos de conectividad, administración y evolución de tecnologías de red y almacenamiento mediante la identificación de componentes clave y su interacción funcional para comprender su rol en infraestructuras tecnológicas actuales </v>
      </c>
      <c r="C57" s="70" t="str">
        <f>IFERROR(__xludf.DUMMYFUNCTION("""COMPUTED_VALUE"""),"2. Introducción a los almacenamientos en red y en la nube")</f>
        <v>2. Introducción a los almacenamientos en red y en la nube</v>
      </c>
      <c r="D57" s="70" t="str">
        <f>IFERROR(__xludf.DUMMYFUNCTION("""COMPUTED_VALUE"""),"Almacenamiento en la nuebe para empresas")</f>
        <v>Almacenamiento en la nuebe para empresas</v>
      </c>
      <c r="E57" s="70" t="str">
        <f>IFERROR(__xludf.DUMMYFUNCTION("""COMPUTED_VALUE"""),"Tipos de Servicios de Almacenamiento en la Nube")</f>
        <v>Tipos de Servicios de Almacenamiento en la Nube</v>
      </c>
      <c r="F57" s="70" t="str">
        <f>IFERROR(__xludf.DUMMYFUNCTION("""COMPUTED_VALUE"""),"Septiembre")</f>
        <v>Septiembre</v>
      </c>
      <c r="G57" s="70">
        <f>IFERROR(__xludf.DUMMYFUNCTION("""COMPUTED_VALUE"""),8.0)</f>
        <v>8</v>
      </c>
    </row>
    <row r="58">
      <c r="A58" s="70">
        <f>IFERROR(__xludf.DUMMYFUNCTION("""COMPUTED_VALUE"""),53.0)</f>
        <v>53</v>
      </c>
      <c r="B58" s="61" t="str">
        <f>IFERROR(__xludf.DUMMYFUNCTION("""COMPUTED_VALUE"""),"Explica los fundamentos de conectividad, administración y evolución de tecnologías de red y almacenamiento mediante la identificación de componentes clave y su interacción funcional para comprender su rol en infraestructuras tecnológicas actuales ")</f>
        <v>Explica los fundamentos de conectividad, administración y evolución de tecnologías de red y almacenamiento mediante la identificación de componentes clave y su interacción funcional para comprender su rol en infraestructuras tecnológicas actuales </v>
      </c>
      <c r="C58" s="70" t="str">
        <f>IFERROR(__xludf.DUMMYFUNCTION("""COMPUTED_VALUE"""),"2. Introducción a los almacenamientos en red y en la nube")</f>
        <v>2. Introducción a los almacenamientos en red y en la nube</v>
      </c>
      <c r="D58" s="70" t="str">
        <f>IFERROR(__xludf.DUMMYFUNCTION("""COMPUTED_VALUE"""),"Almacenamiento en la nube para usuarios finales ")</f>
        <v>Almacenamiento en la nube para usuarios finales </v>
      </c>
      <c r="E58" s="70" t="str">
        <f>IFERROR(__xludf.DUMMYFUNCTION("""COMPUTED_VALUE"""),"Seguridad en el Almacenamiento en la Nube")</f>
        <v>Seguridad en el Almacenamiento en la Nube</v>
      </c>
      <c r="F58" s="70" t="str">
        <f>IFERROR(__xludf.DUMMYFUNCTION("""COMPUTED_VALUE"""),"Septiembre")</f>
        <v>Septiembre</v>
      </c>
      <c r="G58" s="70">
        <f>IFERROR(__xludf.DUMMYFUNCTION("""COMPUTED_VALUE"""),8.0)</f>
        <v>8</v>
      </c>
    </row>
    <row r="59">
      <c r="A59" s="70">
        <f>IFERROR(__xludf.DUMMYFUNCTION("""COMPUTED_VALUE"""),54.0)</f>
        <v>54</v>
      </c>
      <c r="B59" s="61" t="str">
        <f>IFERROR(__xludf.DUMMYFUNCTION("""COMPUTED_VALUE"""),"Explica los fundamentos de conectividad, administración y evolución de tecnologías de red y almacenamiento mediante la identificación de componentes clave y su interacción funcional para comprender su rol en infraestructuras tecnológicas actuales ")</f>
        <v>Explica los fundamentos de conectividad, administración y evolución de tecnologías de red y almacenamiento mediante la identificación de componentes clave y su interacción funcional para comprender su rol en infraestructuras tecnológicas actuales </v>
      </c>
      <c r="C59" s="70" t="str">
        <f>IFERROR(__xludf.DUMMYFUNCTION("""COMPUTED_VALUE"""),"2. Introducción a los almacenamientos en red y en la nube")</f>
        <v>2. Introducción a los almacenamientos en red y en la nube</v>
      </c>
      <c r="D59" s="70" t="str">
        <f>IFERROR(__xludf.DUMMYFUNCTION("""COMPUTED_VALUE"""),"Almacenamiento en la nube para desarrolladores ")</f>
        <v>Almacenamiento en la nube para desarrolladores </v>
      </c>
      <c r="E59" s="70" t="str">
        <f>IFERROR(__xludf.DUMMYFUNCTION("""COMPUTED_VALUE"""),"Escalabilidad y Rendimiento del Almacenamiento en la Nube")</f>
        <v>Escalabilidad y Rendimiento del Almacenamiento en la Nube</v>
      </c>
      <c r="F59" s="70" t="str">
        <f>IFERROR(__xludf.DUMMYFUNCTION("""COMPUTED_VALUE"""),"Septiembre")</f>
        <v>Septiembre</v>
      </c>
      <c r="G59" s="70">
        <f>IFERROR(__xludf.DUMMYFUNCTION("""COMPUTED_VALUE"""),8.0)</f>
        <v>8</v>
      </c>
    </row>
    <row r="60">
      <c r="A60" s="70">
        <f>IFERROR(__xludf.DUMMYFUNCTION("""COMPUTED_VALUE"""),55.0)</f>
        <v>55</v>
      </c>
      <c r="B60" s="61" t="str">
        <f>IFERROR(__xludf.DUMMYFUNCTION("""COMPUTED_VALUE"""),"Analiza soluciones de almacenamiento en entornos híbridos mediante la comparación de sus características operativas y criterios de implementación para seleccionar alternativas que respondan a necesidades de eficiencia, escalabilidad y disponibilidad ")</f>
        <v>Analiza soluciones de almacenamiento en entornos híbridos mediante la comparación de sus características operativas y criterios de implementación para seleccionar alternativas que respondan a necesidades de eficiencia, escalabilidad y disponibilidad </v>
      </c>
      <c r="C60" s="70" t="str">
        <f>IFERROR(__xludf.DUMMYFUNCTION("""COMPUTED_VALUE"""),"2. Introducción a los almacenamientos en red y en la nube")</f>
        <v>2. Introducción a los almacenamientos en red y en la nube</v>
      </c>
      <c r="D60" s="70" t="str">
        <f>IFERROR(__xludf.DUMMYFUNCTION("""COMPUTED_VALUE"""),"Precios en almacenamiento para la nube")</f>
        <v>Precios en almacenamiento para la nube</v>
      </c>
      <c r="E60" s="70" t="str">
        <f>IFERROR(__xludf.DUMMYFUNCTION("""COMPUTED_VALUE"""),"Costos y Modelos de Precios del Almacenamiento en la Nube")</f>
        <v>Costos y Modelos de Precios del Almacenamiento en la Nube</v>
      </c>
      <c r="F60" s="70" t="str">
        <f>IFERROR(__xludf.DUMMYFUNCTION("""COMPUTED_VALUE"""),"Septiembre")</f>
        <v>Septiembre</v>
      </c>
      <c r="G60" s="70">
        <f>IFERROR(__xludf.DUMMYFUNCTION("""COMPUTED_VALUE"""),8.0)</f>
        <v>8</v>
      </c>
    </row>
    <row r="61">
      <c r="A61" s="70">
        <f>IFERROR(__xludf.DUMMYFUNCTION("""COMPUTED_VALUE"""),56.0)</f>
        <v>56</v>
      </c>
      <c r="B61" s="61" t="str">
        <f>IFERROR(__xludf.DUMMYFUNCTION("""COMPUTED_VALUE"""),"Explica los fundamentos de conectividad, administración y evolución de tecnologías de red y almacenamiento mediante la identificación de componentes clave y su interacción funcional para comprender su rol en infraestructuras tecnológicas actuales ")</f>
        <v>Explica los fundamentos de conectividad, administración y evolución de tecnologías de red y almacenamiento mediante la identificación de componentes clave y su interacción funcional para comprender su rol en infraestructuras tecnológicas actuales </v>
      </c>
      <c r="C61" s="70" t="str">
        <f>IFERROR(__xludf.DUMMYFUNCTION("""COMPUTED_VALUE"""),"2. Introducción a los almacenamientos en red y en la nube")</f>
        <v>2. Introducción a los almacenamientos en red y en la nube</v>
      </c>
      <c r="D61" s="70" t="str">
        <f>IFERROR(__xludf.DUMMYFUNCTION("""COMPUTED_VALUE"""),"Tipos de almacenamiento en la nube")</f>
        <v>Tipos de almacenamiento en la nube</v>
      </c>
      <c r="E61" s="70" t="str">
        <f>IFERROR(__xludf.DUMMYFUNCTION("""COMPUTED_VALUE"""),"Tendencias Futuras en el Almacenamiento en la Nube")</f>
        <v>Tendencias Futuras en el Almacenamiento en la Nube</v>
      </c>
      <c r="F61" s="70" t="str">
        <f>IFERROR(__xludf.DUMMYFUNCTION("""COMPUTED_VALUE"""),"Septiembre")</f>
        <v>Septiembre</v>
      </c>
      <c r="G61" s="70">
        <f>IFERROR(__xludf.DUMMYFUNCTION("""COMPUTED_VALUE"""),8.0)</f>
        <v>8</v>
      </c>
    </row>
    <row r="62">
      <c r="A62" s="70">
        <f>IFERROR(__xludf.DUMMYFUNCTION("""COMPUTED_VALUE"""),57.0)</f>
        <v>57</v>
      </c>
      <c r="B62" s="61" t="str">
        <f>IFERROR(__xludf.DUMMYFUNCTION("""COMPUTED_VALUE"""),"Analiza soluciones de almacenamiento en entornos híbridos mediante la comparación de sus características operativas y criterios de implementación para seleccionar alternativas que respondan a necesidades de eficiencia, escalabilidad y disponibilidad ")</f>
        <v>Analiza soluciones de almacenamiento en entornos híbridos mediante la comparación de sus características operativas y criterios de implementación para seleccionar alternativas que respondan a necesidades de eficiencia, escalabilidad y disponibilidad </v>
      </c>
      <c r="C62" s="70" t="str">
        <f>IFERROR(__xludf.DUMMYFUNCTION("""COMPUTED_VALUE"""),"3. Introducción a la disponibilidad de información, a la seguridad y virtualización")</f>
        <v>3. Introducción a la disponibilidad de información, a la seguridad y virtualización</v>
      </c>
      <c r="D62" s="70" t="str">
        <f>IFERROR(__xludf.DUMMYFUNCTION("""COMPUTED_VALUE"""),"Disponibilidad de la información
")</f>
        <v>Disponibilidad de la información
</v>
      </c>
      <c r="E62" s="70" t="str">
        <f>IFERROR(__xludf.DUMMYFUNCTION("""COMPUTED_VALUE"""),"Plan de Continuidad de Negocio (BCP)")</f>
        <v>Plan de Continuidad de Negocio (BCP)</v>
      </c>
      <c r="F62" s="70" t="str">
        <f>IFERROR(__xludf.DUMMYFUNCTION("""COMPUTED_VALUE"""),"Octubre")</f>
        <v>Octubre</v>
      </c>
      <c r="G62" s="70">
        <f>IFERROR(__xludf.DUMMYFUNCTION("""COMPUTED_VALUE"""),9.0)</f>
        <v>9</v>
      </c>
    </row>
    <row r="63">
      <c r="A63" s="70">
        <f>IFERROR(__xludf.DUMMYFUNCTION("""COMPUTED_VALUE"""),58.0)</f>
        <v>58</v>
      </c>
      <c r="B63" s="61" t="str">
        <f>IFERROR(__xludf.DUMMYFUNCTION("""COMPUTED_VALUE"""),"Analiza arquitecturas de virtualización de almacenamiento mediante la comparación de modelos y evaluación de retos operativos para optimizar la administración de recursos en entornos virtualizados ")</f>
        <v>Analiza arquitecturas de virtualización de almacenamiento mediante la comparación de modelos y evaluación de retos operativos para optimizar la administración de recursos en entornos virtualizados </v>
      </c>
      <c r="C63" s="70" t="str">
        <f>IFERROR(__xludf.DUMMYFUNCTION("""COMPUTED_VALUE"""),"3. Introducción a la disponibilidad de información, a la seguridad y virtualización")</f>
        <v>3. Introducción a la disponibilidad de información, a la seguridad y virtualización</v>
      </c>
      <c r="D63" s="70" t="str">
        <f>IFERROR(__xludf.DUMMYFUNCTION("""COMPUTED_VALUE"""),"Disponibilidad de la información
")</f>
        <v>Disponibilidad de la información
</v>
      </c>
      <c r="E63" s="70" t="str">
        <f>IFERROR(__xludf.DUMMYFUNCTION("""COMPUTED_VALUE"""),"Pasos para Desarrollar un Plan de Continuidad de Negocio")</f>
        <v>Pasos para Desarrollar un Plan de Continuidad de Negocio</v>
      </c>
      <c r="F63" s="70" t="str">
        <f>IFERROR(__xludf.DUMMYFUNCTION("""COMPUTED_VALUE"""),"Octubre")</f>
        <v>Octubre</v>
      </c>
      <c r="G63" s="70">
        <f>IFERROR(__xludf.DUMMYFUNCTION("""COMPUTED_VALUE"""),9.0)</f>
        <v>9</v>
      </c>
    </row>
    <row r="64">
      <c r="A64" s="70">
        <f>IFERROR(__xludf.DUMMYFUNCTION("""COMPUTED_VALUE"""),59.0)</f>
        <v>59</v>
      </c>
      <c r="B64" s="61" t="str">
        <f>IFERROR(__xludf.DUMMYFUNCTION("""COMPUTED_VALUE"""),"Explica los fundamentos de conectividad, administración y evolución de tecnologías de red y almacenamiento mediante la identificación de componentes clave y su interacción funcional para comprender su rol en infraestructuras tecnológicas actuales ")</f>
        <v>Explica los fundamentos de conectividad, administración y evolución de tecnologías de red y almacenamiento mediante la identificación de componentes clave y su interacción funcional para comprender su rol en infraestructuras tecnológicas actuales </v>
      </c>
      <c r="C64" s="70" t="str">
        <f>IFERROR(__xludf.DUMMYFUNCTION("""COMPUTED_VALUE"""),"3. Introducción a la disponibilidad de información, a la seguridad y virtualización")</f>
        <v>3. Introducción a la disponibilidad de información, a la seguridad y virtualización</v>
      </c>
      <c r="D64" s="70" t="str">
        <f>IFERROR(__xludf.DUMMYFUNCTION("""COMPUTED_VALUE"""),"Disponibilidad de la información
")</f>
        <v>Disponibilidad de la información
</v>
      </c>
      <c r="E64" s="70" t="str">
        <f>IFERROR(__xludf.DUMMYFUNCTION("""COMPUTED_VALUE"""),"Recuperación de Desastres (DR)")</f>
        <v>Recuperación de Desastres (DR)</v>
      </c>
      <c r="F64" s="70" t="str">
        <f>IFERROR(__xludf.DUMMYFUNCTION("""COMPUTED_VALUE"""),"Octubre")</f>
        <v>Octubre</v>
      </c>
      <c r="G64" s="70">
        <f>IFERROR(__xludf.DUMMYFUNCTION("""COMPUTED_VALUE"""),9.0)</f>
        <v>9</v>
      </c>
    </row>
    <row r="65">
      <c r="A65" s="70">
        <f>IFERROR(__xludf.DUMMYFUNCTION("""COMPUTED_VALUE"""),60.0)</f>
        <v>60</v>
      </c>
      <c r="B65" s="61" t="str">
        <f>IFERROR(__xludf.DUMMYFUNCTION("""COMPUTED_VALUE"""),"Supervisa el desempeño de sistemas de almacenamiento masivo mediante el uso de herramientas de monitoreo y análisis de métricas para identificar oportunidades de mejora en la disponibilidad, eficiencia y seguridad de los datos ")</f>
        <v>Supervisa el desempeño de sistemas de almacenamiento masivo mediante el uso de herramientas de monitoreo y análisis de métricas para identificar oportunidades de mejora en la disponibilidad, eficiencia y seguridad de los datos </v>
      </c>
      <c r="C65" s="70" t="str">
        <f>IFERROR(__xludf.DUMMYFUNCTION("""COMPUTED_VALUE"""),"3. Introducción a la disponibilidad de información, a la seguridad y virtualización")</f>
        <v>3. Introducción a la disponibilidad de información, a la seguridad y virtualización</v>
      </c>
      <c r="D65" s="70" t="str">
        <f>IFERROR(__xludf.DUMMYFUNCTION("""COMPUTED_VALUE"""),"Disponibilidad de la información
")</f>
        <v>Disponibilidad de la información
</v>
      </c>
      <c r="E65" s="70" t="str">
        <f>IFERROR(__xludf.DUMMYFUNCTION("""COMPUTED_VALUE"""),"Diferencias entre Continuidad de Negocio y Recuperación de Desastres")</f>
        <v>Diferencias entre Continuidad de Negocio y Recuperación de Desastres</v>
      </c>
      <c r="F65" s="70" t="str">
        <f>IFERROR(__xludf.DUMMYFUNCTION("""COMPUTED_VALUE"""),"Octubre")</f>
        <v>Octubre</v>
      </c>
      <c r="G65" s="70">
        <f>IFERROR(__xludf.DUMMYFUNCTION("""COMPUTED_VALUE"""),9.0)</f>
        <v>9</v>
      </c>
    </row>
    <row r="66">
      <c r="A66" s="70">
        <f>IFERROR(__xludf.DUMMYFUNCTION("""COMPUTED_VALUE"""),61.0)</f>
        <v>61</v>
      </c>
      <c r="B66" s="61" t="str">
        <f>IFERROR(__xludf.DUMMYFUNCTION("""COMPUTED_VALUE"""),"Explica los fundamentos de conectividad, administración y evolución de tecnologías de red y almacenamiento mediante la identificación de componentes clave y su interacción funcional para comprender su rol en infraestructuras tecnológicas actuales ")</f>
        <v>Explica los fundamentos de conectividad, administración y evolución de tecnologías de red y almacenamiento mediante la identificación de componentes clave y su interacción funcional para comprender su rol en infraestructuras tecnológicas actuales </v>
      </c>
      <c r="C66" s="70" t="str">
        <f>IFERROR(__xludf.DUMMYFUNCTION("""COMPUTED_VALUE"""),"3. Introducción a la disponibilidad de información, a la seguridad y virtualización")</f>
        <v>3. Introducción a la disponibilidad de información, a la seguridad y virtualización</v>
      </c>
      <c r="D66" s="70" t="str">
        <f>IFERROR(__xludf.DUMMYFUNCTION("""COMPUTED_VALUE"""),"Disponibilidad de la información
")</f>
        <v>Disponibilidad de la información
</v>
      </c>
      <c r="E66" s="70" t="str">
        <f>IFERROR(__xludf.DUMMYFUNCTION("""COMPUTED_VALUE"""),"Análisis de Riesgos y Análisis de Impacto")</f>
        <v>Análisis de Riesgos y Análisis de Impacto</v>
      </c>
      <c r="F66" s="70" t="str">
        <f>IFERROR(__xludf.DUMMYFUNCTION("""COMPUTED_VALUE"""),"Octubre")</f>
        <v>Octubre</v>
      </c>
      <c r="G66" s="70">
        <f>IFERROR(__xludf.DUMMYFUNCTION("""COMPUTED_VALUE"""),9.0)</f>
        <v>9</v>
      </c>
    </row>
    <row r="67">
      <c r="A67" s="70">
        <f>IFERROR(__xludf.DUMMYFUNCTION("""COMPUTED_VALUE"""),62.0)</f>
        <v>62</v>
      </c>
      <c r="B67" s="61" t="str">
        <f>IFERROR(__xludf.DUMMYFUNCTION("""COMPUTED_VALUE"""),"Comprende el modelo de seguridad integral para almacenamiento de datos mediante el análisis de amenazas, controles de acceso y técnicas de respaldo para garantizar la confidencialidad, integridad y disponibilidad de la información ")</f>
        <v>Comprende el modelo de seguridad integral para almacenamiento de datos mediante el análisis de amenazas, controles de acceso y técnicas de respaldo para garantizar la confidencialidad, integridad y disponibilidad de la información </v>
      </c>
      <c r="C67" s="70" t="str">
        <f>IFERROR(__xludf.DUMMYFUNCTION("""COMPUTED_VALUE"""),"3. Introducción a la disponibilidad de información, a la seguridad y virtualización")</f>
        <v>3. Introducción a la disponibilidad de información, a la seguridad y virtualización</v>
      </c>
      <c r="D67" s="70" t="str">
        <f>IFERROR(__xludf.DUMMYFUNCTION("""COMPUTED_VALUE"""),"Disponibilidad de la información
")</f>
        <v>Disponibilidad de la información
</v>
      </c>
      <c r="E67" s="70" t="str">
        <f>IFERROR(__xludf.DUMMYFUNCTION("""COMPUTED_VALUE"""),"Estrategias de Continuidad y Recuperación")</f>
        <v>Estrategias de Continuidad y Recuperación</v>
      </c>
      <c r="F67" s="70" t="str">
        <f>IFERROR(__xludf.DUMMYFUNCTION("""COMPUTED_VALUE"""),"Octubre")</f>
        <v>Octubre</v>
      </c>
      <c r="G67" s="70">
        <f>IFERROR(__xludf.DUMMYFUNCTION("""COMPUTED_VALUE"""),9.0)</f>
        <v>9</v>
      </c>
    </row>
    <row r="68">
      <c r="A68" s="70">
        <f>IFERROR(__xludf.DUMMYFUNCTION("""COMPUTED_VALUE"""),63.0)</f>
        <v>63</v>
      </c>
      <c r="B68" s="61" t="str">
        <f>IFERROR(__xludf.DUMMYFUNCTION("""COMPUTED_VALUE"""),"Explica los fundamentos de conectividad, administración y evolución de tecnologías de red y almacenamiento mediante la identificación de componentes clave y su interacción funcional para comprender su rol en infraestructuras tecnológicas actuales ")</f>
        <v>Explica los fundamentos de conectividad, administración y evolución de tecnologías de red y almacenamiento mediante la identificación de componentes clave y su interacción funcional para comprender su rol en infraestructuras tecnológicas actuales </v>
      </c>
      <c r="C68" s="70" t="str">
        <f>IFERROR(__xludf.DUMMYFUNCTION("""COMPUTED_VALUE"""),"3. Introducción a la disponibilidad de información, a la seguridad y virtualización")</f>
        <v>3. Introducción a la disponibilidad de información, a la seguridad y virtualización</v>
      </c>
      <c r="D68" s="70" t="str">
        <f>IFERROR(__xludf.DUMMYFUNCTION("""COMPUTED_VALUE"""),"Disponibilidad de la información
")</f>
        <v>Disponibilidad de la información
</v>
      </c>
      <c r="E68" s="70" t="str">
        <f>IFERROR(__xludf.DUMMYFUNCTION("""COMPUTED_VALUE"""),"Enfoque Tecnológico en la Recuperación de Desastres")</f>
        <v>Enfoque Tecnológico en la Recuperación de Desastres</v>
      </c>
      <c r="F68" s="70" t="str">
        <f>IFERROR(__xludf.DUMMYFUNCTION("""COMPUTED_VALUE"""),"Octubre")</f>
        <v>Octubre</v>
      </c>
      <c r="G68" s="70">
        <f>IFERROR(__xludf.DUMMYFUNCTION("""COMPUTED_VALUE"""),9.0)</f>
        <v>9</v>
      </c>
    </row>
    <row r="69">
      <c r="A69" s="70">
        <f>IFERROR(__xludf.DUMMYFUNCTION("""COMPUTED_VALUE"""),64.0)</f>
        <v>64</v>
      </c>
      <c r="B69" s="61" t="str">
        <f>IFERROR(__xludf.DUMMYFUNCTION("""COMPUTED_VALUE"""),"Comprende el modelo de seguridad integral para almacenamiento de datos mediante el análisis de amenazas, controles de acceso y técnicas de respaldo para garantizar la confidencialidad, integridad y disponibilidad de la información ")</f>
        <v>Comprende el modelo de seguridad integral para almacenamiento de datos mediante el análisis de amenazas, controles de acceso y técnicas de respaldo para garantizar la confidencialidad, integridad y disponibilidad de la información </v>
      </c>
      <c r="C69" s="70" t="str">
        <f>IFERROR(__xludf.DUMMYFUNCTION("""COMPUTED_VALUE"""),"3. Introducción a la disponibilidad de información, a la seguridad y virtualización")</f>
        <v>3. Introducción a la disponibilidad de información, a la seguridad y virtualización</v>
      </c>
      <c r="D69" s="70" t="str">
        <f>IFERROR(__xludf.DUMMYFUNCTION("""COMPUTED_VALUE"""),"Seguridad de la información")</f>
        <v>Seguridad de la información</v>
      </c>
      <c r="E69" s="70" t="str">
        <f>IFERROR(__xludf.DUMMYFUNCTION("""COMPUTED_VALUE"""),"Importancia de la seguridad de la información en almacenamiento")</f>
        <v>Importancia de la seguridad de la información en almacenamiento</v>
      </c>
      <c r="F69" s="70" t="str">
        <f>IFERROR(__xludf.DUMMYFUNCTION("""COMPUTED_VALUE"""),"Octubre")</f>
        <v>Octubre</v>
      </c>
      <c r="G69" s="70">
        <f>IFERROR(__xludf.DUMMYFUNCTION("""COMPUTED_VALUE"""),10.0)</f>
        <v>10</v>
      </c>
    </row>
    <row r="70">
      <c r="A70" s="70">
        <f>IFERROR(__xludf.DUMMYFUNCTION("""COMPUTED_VALUE"""),65.0)</f>
        <v>65</v>
      </c>
      <c r="B70" s="61" t="str">
        <f>IFERROR(__xludf.DUMMYFUNCTION("""COMPUTED_VALUE"""),"Comprende el modelo de seguridad integral para almacenamiento de datos mediante el análisis de amenazas, controles de acceso y técnicas de respaldo para garantizar la confidencialidad, integridad y disponibilidad de la información ")</f>
        <v>Comprende el modelo de seguridad integral para almacenamiento de datos mediante el análisis de amenazas, controles de acceso y técnicas de respaldo para garantizar la confidencialidad, integridad y disponibilidad de la información </v>
      </c>
      <c r="C70" s="70" t="str">
        <f>IFERROR(__xludf.DUMMYFUNCTION("""COMPUTED_VALUE"""),"3. Introducción a la disponibilidad de información, a la seguridad y virtualización")</f>
        <v>3. Introducción a la disponibilidad de información, a la seguridad y virtualización</v>
      </c>
      <c r="D70" s="70" t="str">
        <f>IFERROR(__xludf.DUMMYFUNCTION("""COMPUTED_VALUE"""),"Seguridad de la información")</f>
        <v>Seguridad de la información</v>
      </c>
      <c r="E70" s="70" t="str">
        <f>IFERROR(__xludf.DUMMYFUNCTION("""COMPUTED_VALUE"""),"Elementos clave de la seguridad")</f>
        <v>Elementos clave de la seguridad</v>
      </c>
      <c r="F70" s="70" t="str">
        <f>IFERROR(__xludf.DUMMYFUNCTION("""COMPUTED_VALUE"""),"Octubre")</f>
        <v>Octubre</v>
      </c>
      <c r="G70" s="70">
        <f>IFERROR(__xludf.DUMMYFUNCTION("""COMPUTED_VALUE"""),10.0)</f>
        <v>10</v>
      </c>
    </row>
    <row r="71">
      <c r="A71" s="70">
        <f>IFERROR(__xludf.DUMMYFUNCTION("""COMPUTED_VALUE"""),66.0)</f>
        <v>66</v>
      </c>
      <c r="B71" s="61" t="str">
        <f>IFERROR(__xludf.DUMMYFUNCTION("""COMPUTED_VALUE"""),"Comprende el modelo de seguridad integral para almacenamiento de datos mediante el análisis de amenazas, controles de acceso y técnicas de respaldo para garantizar la confidencialidad, integridad y disponibilidad de la información ")</f>
        <v>Comprende el modelo de seguridad integral para almacenamiento de datos mediante el análisis de amenazas, controles de acceso y técnicas de respaldo para garantizar la confidencialidad, integridad y disponibilidad de la información </v>
      </c>
      <c r="C71" s="70" t="str">
        <f>IFERROR(__xludf.DUMMYFUNCTION("""COMPUTED_VALUE"""),"3. Introducción a la disponibilidad de información, a la seguridad y virtualización")</f>
        <v>3. Introducción a la disponibilidad de información, a la seguridad y virtualización</v>
      </c>
      <c r="D71" s="70" t="str">
        <f>IFERROR(__xludf.DUMMYFUNCTION("""COMPUTED_VALUE"""),"Seguridad de la información")</f>
        <v>Seguridad de la información</v>
      </c>
      <c r="E71" s="70" t="str">
        <f>IFERROR(__xludf.DUMMYFUNCTION("""COMPUTED_VALUE"""),"Amenazas comunes a la seguridad")</f>
        <v>Amenazas comunes a la seguridad</v>
      </c>
      <c r="F71" s="70" t="str">
        <f>IFERROR(__xludf.DUMMYFUNCTION("""COMPUTED_VALUE"""),"Octubre")</f>
        <v>Octubre</v>
      </c>
      <c r="G71" s="70">
        <f>IFERROR(__xludf.DUMMYFUNCTION("""COMPUTED_VALUE"""),10.0)</f>
        <v>10</v>
      </c>
    </row>
    <row r="72">
      <c r="A72" s="70">
        <f>IFERROR(__xludf.DUMMYFUNCTION("""COMPUTED_VALUE"""),67.0)</f>
        <v>67</v>
      </c>
      <c r="B72" s="61" t="str">
        <f>IFERROR(__xludf.DUMMYFUNCTION("""COMPUTED_VALUE"""),"Explica los fundamentos de conectividad, administración y evolución de tecnologías de red y almacenamiento mediante la identificación de componentes clave y su interacción funcional para comprender su rol en infraestructuras tecnológicas actuales ")</f>
        <v>Explica los fundamentos de conectividad, administración y evolución de tecnologías de red y almacenamiento mediante la identificación de componentes clave y su interacción funcional para comprender su rol en infraestructuras tecnológicas actuales </v>
      </c>
      <c r="C72" s="70" t="str">
        <f>IFERROR(__xludf.DUMMYFUNCTION("""COMPUTED_VALUE"""),"3. Introducción a la disponibilidad de información, a la seguridad y virtualización")</f>
        <v>3. Introducción a la disponibilidad de información, a la seguridad y virtualización</v>
      </c>
      <c r="D72" s="70" t="str">
        <f>IFERROR(__xludf.DUMMYFUNCTION("""COMPUTED_VALUE"""),"Seguridad de la información")</f>
        <v>Seguridad de la información</v>
      </c>
      <c r="E72" s="70" t="str">
        <f>IFERROR(__xludf.DUMMYFUNCTION("""COMPUTED_VALUE"""),"Desarrollo de un modelo de seguridad para almacenamiento")</f>
        <v>Desarrollo de un modelo de seguridad para almacenamiento</v>
      </c>
      <c r="F72" s="70" t="str">
        <f>IFERROR(__xludf.DUMMYFUNCTION("""COMPUTED_VALUE"""),"Octubre")</f>
        <v>Octubre</v>
      </c>
      <c r="G72" s="70">
        <f>IFERROR(__xludf.DUMMYFUNCTION("""COMPUTED_VALUE"""),10.0)</f>
        <v>10</v>
      </c>
    </row>
    <row r="73">
      <c r="A73" s="70">
        <f>IFERROR(__xludf.DUMMYFUNCTION("""COMPUTED_VALUE"""),68.0)</f>
        <v>68</v>
      </c>
      <c r="B73" s="61" t="str">
        <f>IFERROR(__xludf.DUMMYFUNCTION("""COMPUTED_VALUE"""),"Explica los fundamentos de conectividad, administración y evolución de tecnologías de red y almacenamiento mediante la identificación de componentes clave y su interacción funcional para comprender su rol en infraestructuras tecnológicas actuales ")</f>
        <v>Explica los fundamentos de conectividad, administración y evolución de tecnologías de red y almacenamiento mediante la identificación de componentes clave y su interacción funcional para comprender su rol en infraestructuras tecnológicas actuales </v>
      </c>
      <c r="C73" s="70" t="str">
        <f>IFERROR(__xludf.DUMMYFUNCTION("""COMPUTED_VALUE"""),"3. Introducción a la disponibilidad de información, a la seguridad y virtualización")</f>
        <v>3. Introducción a la disponibilidad de información, a la seguridad y virtualización</v>
      </c>
      <c r="D73" s="70" t="str">
        <f>IFERROR(__xludf.DUMMYFUNCTION("""COMPUTED_VALUE"""),"Seguridad de la información")</f>
        <v>Seguridad de la información</v>
      </c>
      <c r="E73" s="70" t="str">
        <f>IFERROR(__xludf.DUMMYFUNCTION("""COMPUTED_VALUE"""),"Control de acceso de usuarios a los datos")</f>
        <v>Control de acceso de usuarios a los datos</v>
      </c>
      <c r="F73" s="70" t="str">
        <f>IFERROR(__xludf.DUMMYFUNCTION("""COMPUTED_VALUE"""),"Octubre")</f>
        <v>Octubre</v>
      </c>
      <c r="G73" s="70">
        <f>IFERROR(__xludf.DUMMYFUNCTION("""COMPUTED_VALUE"""),10.0)</f>
        <v>10</v>
      </c>
    </row>
    <row r="74">
      <c r="A74" s="70">
        <f>IFERROR(__xludf.DUMMYFUNCTION("""COMPUTED_VALUE"""),69.0)</f>
        <v>69</v>
      </c>
      <c r="B74" s="61" t="str">
        <f>IFERROR(__xludf.DUMMYFUNCTION("""COMPUTED_VALUE"""),"Explica los fundamentos de conectividad, administración y evolución de tecnologías de red y almacenamiento mediante la identificación de componentes clave y su interacción funcional para comprender su rol en infraestructuras tecnológicas actuales ")</f>
        <v>Explica los fundamentos de conectividad, administración y evolución de tecnologías de red y almacenamiento mediante la identificación de componentes clave y su interacción funcional para comprender su rol en infraestructuras tecnológicas actuales </v>
      </c>
      <c r="C74" s="70" t="str">
        <f>IFERROR(__xludf.DUMMYFUNCTION("""COMPUTED_VALUE"""),"3. Introducción a la disponibilidad de información, a la seguridad y virtualización")</f>
        <v>3. Introducción a la disponibilidad de información, a la seguridad y virtualización</v>
      </c>
      <c r="D74" s="70" t="str">
        <f>IFERROR(__xludf.DUMMYFUNCTION("""COMPUTED_VALUE"""),"Seguridad de la información")</f>
        <v>Seguridad de la información</v>
      </c>
      <c r="E74" s="70" t="str">
        <f>IFERROR(__xludf.DUMMYFUNCTION("""COMPUTED_VALUE"""),"Seguridad en el almacenamiento")</f>
        <v>Seguridad en el almacenamiento</v>
      </c>
      <c r="F74" s="70" t="str">
        <f>IFERROR(__xludf.DUMMYFUNCTION("""COMPUTED_VALUE"""),"Octubre")</f>
        <v>Octubre</v>
      </c>
      <c r="G74" s="70">
        <f>IFERROR(__xludf.DUMMYFUNCTION("""COMPUTED_VALUE"""),10.0)</f>
        <v>10</v>
      </c>
    </row>
    <row r="75">
      <c r="A75" s="70">
        <f>IFERROR(__xludf.DUMMYFUNCTION("""COMPUTED_VALUE"""),70.0)</f>
        <v>70</v>
      </c>
      <c r="B75" s="61" t="str">
        <f>IFERROR(__xludf.DUMMYFUNCTION("""COMPUTED_VALUE"""),"Explica los fundamentos de conectividad, administración y evolución de tecnologías de red y almacenamiento mediante la identificación de componentes clave y su interacción funcional para comprender su rol en infraestructuras tecnológicas actuales ")</f>
        <v>Explica los fundamentos de conectividad, administración y evolución de tecnologías de red y almacenamiento mediante la identificación de componentes clave y su interacción funcional para comprender su rol en infraestructuras tecnológicas actuales </v>
      </c>
      <c r="C75" s="70" t="str">
        <f>IFERROR(__xludf.DUMMYFUNCTION("""COMPUTED_VALUE"""),"3. Introducción a la disponibilidad de información, a la seguridad y virtualización")</f>
        <v>3. Introducción a la disponibilidad de información, a la seguridad y virtualización</v>
      </c>
      <c r="D75" s="70" t="str">
        <f>IFERROR(__xludf.DUMMYFUNCTION("""COMPUTED_VALUE"""),"Seguridad de la información")</f>
        <v>Seguridad de la información</v>
      </c>
      <c r="E75" s="70" t="str">
        <f>IFERROR(__xludf.DUMMYFUNCTION("""COMPUTED_VALUE"""),"Técnicas de respaldo y recuperación de archivos")</f>
        <v>Técnicas de respaldo y recuperación de archivos</v>
      </c>
      <c r="F75" s="70" t="str">
        <f>IFERROR(__xludf.DUMMYFUNCTION("""COMPUTED_VALUE"""),"Octubre")</f>
        <v>Octubre</v>
      </c>
      <c r="G75" s="70">
        <f>IFERROR(__xludf.DUMMYFUNCTION("""COMPUTED_VALUE"""),10.0)</f>
        <v>10</v>
      </c>
    </row>
    <row r="76">
      <c r="A76" s="70">
        <f>IFERROR(__xludf.DUMMYFUNCTION("""COMPUTED_VALUE"""),71.0)</f>
        <v>71</v>
      </c>
      <c r="B76" s="61" t="str">
        <f>IFERROR(__xludf.DUMMYFUNCTION("""COMPUTED_VALUE"""),"Analiza arquitecturas de virtualización de almacenamiento mediante la comparación de modelos y evaluación de retos operativos para optimizar la administración de recursos en entornos virtualizados ")</f>
        <v>Analiza arquitecturas de virtualización de almacenamiento mediante la comparación de modelos y evaluación de retos operativos para optimizar la administración de recursos en entornos virtualizados </v>
      </c>
      <c r="C76" s="70" t="str">
        <f>IFERROR(__xludf.DUMMYFUNCTION("""COMPUTED_VALUE"""),"3. Introducción a la disponibilidad de información, a la seguridad y virtualización")</f>
        <v>3. Introducción a la disponibilidad de información, a la seguridad y virtualización</v>
      </c>
      <c r="D76" s="70" t="str">
        <f>IFERROR(__xludf.DUMMYFUNCTION("""COMPUTED_VALUE"""),"Virtualización")</f>
        <v>Virtualización</v>
      </c>
      <c r="E76" s="70" t="str">
        <f>IFERROR(__xludf.DUMMYFUNCTION("""COMPUTED_VALUE"""),"Funcionalidad de almacenaje")</f>
        <v>Funcionalidad de almacenaje</v>
      </c>
      <c r="F76" s="70" t="str">
        <f>IFERROR(__xludf.DUMMYFUNCTION("""COMPUTED_VALUE"""),"Octubre")</f>
        <v>Octubre</v>
      </c>
      <c r="G76" s="70">
        <f>IFERROR(__xludf.DUMMYFUNCTION("""COMPUTED_VALUE"""),11.0)</f>
        <v>11</v>
      </c>
    </row>
    <row r="77">
      <c r="A77" s="70">
        <f>IFERROR(__xludf.DUMMYFUNCTION("""COMPUTED_VALUE"""),72.0)</f>
        <v>72</v>
      </c>
      <c r="B77" s="61" t="str">
        <f>IFERROR(__xludf.DUMMYFUNCTION("""COMPUTED_VALUE"""),"Analiza arquitecturas de virtualización de almacenamiento mediante la comparación de modelos y evaluación de retos operativos para optimizar la administración de recursos en entornos virtualizados ")</f>
        <v>Analiza arquitecturas de virtualización de almacenamiento mediante la comparación de modelos y evaluación de retos operativos para optimizar la administración de recursos en entornos virtualizados </v>
      </c>
      <c r="C77" s="70" t="str">
        <f>IFERROR(__xludf.DUMMYFUNCTION("""COMPUTED_VALUE"""),"3. Introducción a la disponibilidad de información, a la seguridad y virtualización")</f>
        <v>3. Introducción a la disponibilidad de información, a la seguridad y virtualización</v>
      </c>
      <c r="D77" s="70" t="str">
        <f>IFERROR(__xludf.DUMMYFUNCTION("""COMPUTED_VALUE"""),"Virtualización")</f>
        <v>Virtualización</v>
      </c>
      <c r="E77" s="70" t="str">
        <f>IFERROR(__xludf.DUMMYFUNCTION("""COMPUTED_VALUE"""),"Almacenamiento virtual")</f>
        <v>Almacenamiento virtual</v>
      </c>
      <c r="F77" s="70" t="str">
        <f>IFERROR(__xludf.DUMMYFUNCTION("""COMPUTED_VALUE"""),"Octubre")</f>
        <v>Octubre</v>
      </c>
      <c r="G77" s="70">
        <f>IFERROR(__xludf.DUMMYFUNCTION("""COMPUTED_VALUE"""),11.0)</f>
        <v>11</v>
      </c>
    </row>
    <row r="78">
      <c r="A78" s="70">
        <f>IFERROR(__xludf.DUMMYFUNCTION("""COMPUTED_VALUE"""),73.0)</f>
        <v>73</v>
      </c>
      <c r="B78" s="61" t="str">
        <f>IFERROR(__xludf.DUMMYFUNCTION("""COMPUTED_VALUE"""),"Analiza arquitecturas de virtualización de almacenamiento mediante la comparación de modelos y evaluación de retos operativos para optimizar la administración de recursos en entornos virtualizados ")</f>
        <v>Analiza arquitecturas de virtualización de almacenamiento mediante la comparación de modelos y evaluación de retos operativos para optimizar la administración de recursos en entornos virtualizados </v>
      </c>
      <c r="C78" s="70" t="str">
        <f>IFERROR(__xludf.DUMMYFUNCTION("""COMPUTED_VALUE"""),"3. Introducción a la disponibilidad de información, a la seguridad y virtualización")</f>
        <v>3. Introducción a la disponibilidad de información, a la seguridad y virtualización</v>
      </c>
      <c r="D78" s="70" t="str">
        <f>IFERROR(__xludf.DUMMYFUNCTION("""COMPUTED_VALUE"""),"Virtualización")</f>
        <v>Virtualización</v>
      </c>
      <c r="E78" s="70" t="str">
        <f>IFERROR(__xludf.DUMMYFUNCTION("""COMPUTED_VALUE"""),"Comparación de arquitecturas de virtualización")</f>
        <v>Comparación de arquitecturas de virtualización</v>
      </c>
      <c r="F78" s="70" t="str">
        <f>IFERROR(__xludf.DUMMYFUNCTION("""COMPUTED_VALUE"""),"Octubre")</f>
        <v>Octubre</v>
      </c>
      <c r="G78" s="70">
        <f>IFERROR(__xludf.DUMMYFUNCTION("""COMPUTED_VALUE"""),11.0)</f>
        <v>11</v>
      </c>
    </row>
    <row r="79">
      <c r="A79" s="70">
        <f>IFERROR(__xludf.DUMMYFUNCTION("""COMPUTED_VALUE"""),74.0)</f>
        <v>74</v>
      </c>
      <c r="B79" s="61" t="str">
        <f>IFERROR(__xludf.DUMMYFUNCTION("""COMPUTED_VALUE"""),"Analiza soluciones de almacenamiento en entornos híbridos mediante la comparación de sus características operativas y criterios de implementación para seleccionar alternativas que respondan a necesidades de eficiencia, escalabilidad y disponibilidad ")</f>
        <v>Analiza soluciones de almacenamiento en entornos híbridos mediante la comparación de sus características operativas y criterios de implementación para seleccionar alternativas que respondan a necesidades de eficiencia, escalabilidad y disponibilidad </v>
      </c>
      <c r="C79" s="70" t="str">
        <f>IFERROR(__xludf.DUMMYFUNCTION("""COMPUTED_VALUE"""),"3. Introducción a la disponibilidad de información, a la seguridad y virtualización")</f>
        <v>3. Introducción a la disponibilidad de información, a la seguridad y virtualización</v>
      </c>
      <c r="D79" s="70" t="str">
        <f>IFERROR(__xludf.DUMMYFUNCTION("""COMPUTED_VALUE"""),"Virtualización")</f>
        <v>Virtualización</v>
      </c>
      <c r="E79" s="70" t="str">
        <f>IFERROR(__xludf.DUMMYFUNCTION("""COMPUTED_VALUE"""),"Retos de la virtualización del almacenamiento")</f>
        <v>Retos de la virtualización del almacenamiento</v>
      </c>
      <c r="F79" s="70" t="str">
        <f>IFERROR(__xludf.DUMMYFUNCTION("""COMPUTED_VALUE"""),"Octubre")</f>
        <v>Octubre</v>
      </c>
      <c r="G79" s="70">
        <f>IFERROR(__xludf.DUMMYFUNCTION("""COMPUTED_VALUE"""),11.0)</f>
        <v>11</v>
      </c>
    </row>
    <row r="80">
      <c r="A80" s="70">
        <f>IFERROR(__xludf.DUMMYFUNCTION("""COMPUTED_VALUE"""),75.0)</f>
        <v>75</v>
      </c>
      <c r="B80" s="61" t="str">
        <f>IFERROR(__xludf.DUMMYFUNCTION("""COMPUTED_VALUE"""),"Analiza soluciones de almacenamiento en entornos híbridos mediante la comparación de sus características operativas y criterios de implementación para seleccionar alternativas que respondan a necesidades de eficiencia, escalabilidad y disponibilidad ")</f>
        <v>Analiza soluciones de almacenamiento en entornos híbridos mediante la comparación de sus características operativas y criterios de implementación para seleccionar alternativas que respondan a necesidades de eficiencia, escalabilidad y disponibilidad </v>
      </c>
      <c r="C80" s="70" t="str">
        <f>IFERROR(__xludf.DUMMYFUNCTION("""COMPUTED_VALUE"""),"3. Introducción a la disponibilidad de información, a la seguridad y virtualización")</f>
        <v>3. Introducción a la disponibilidad de información, a la seguridad y virtualización</v>
      </c>
      <c r="D80" s="70" t="str">
        <f>IFERROR(__xludf.DUMMYFUNCTION("""COMPUTED_VALUE"""),"Virtualización")</f>
        <v>Virtualización</v>
      </c>
      <c r="E80" s="70" t="str">
        <f>IFERROR(__xludf.DUMMYFUNCTION("""COMPUTED_VALUE"""),"Virtualización a nivel de bloque")</f>
        <v>Virtualización a nivel de bloque</v>
      </c>
      <c r="F80" s="70" t="str">
        <f>IFERROR(__xludf.DUMMYFUNCTION("""COMPUTED_VALUE"""),"Octubre")</f>
        <v>Octubre</v>
      </c>
      <c r="G80" s="70">
        <f>IFERROR(__xludf.DUMMYFUNCTION("""COMPUTED_VALUE"""),11.0)</f>
        <v>11</v>
      </c>
    </row>
    <row r="81">
      <c r="A81" s="70">
        <f>IFERROR(__xludf.DUMMYFUNCTION("""COMPUTED_VALUE"""),76.0)</f>
        <v>76</v>
      </c>
      <c r="B81" s="61" t="str">
        <f>IFERROR(__xludf.DUMMYFUNCTION("""COMPUTED_VALUE"""),"Analiza soluciones de almacenamiento en entornos híbridos mediante la comparación de sus características operativas y criterios de implementación para seleccionar alternativas que respondan a necesidades de eficiencia, escalabilidad y disponibilidad ")</f>
        <v>Analiza soluciones de almacenamiento en entornos híbridos mediante la comparación de sus características operativas y criterios de implementación para seleccionar alternativas que respondan a necesidades de eficiencia, escalabilidad y disponibilidad </v>
      </c>
      <c r="C81" s="70" t="str">
        <f>IFERROR(__xludf.DUMMYFUNCTION("""COMPUTED_VALUE"""),"3. Introducción a la disponibilidad de información, a la seguridad y virtualización")</f>
        <v>3. Introducción a la disponibilidad de información, a la seguridad y virtualización</v>
      </c>
      <c r="D81" s="70" t="str">
        <f>IFERROR(__xludf.DUMMYFUNCTION("""COMPUTED_VALUE"""),"Virtualización")</f>
        <v>Virtualización</v>
      </c>
      <c r="E81" s="70" t="str">
        <f>IFERROR(__xludf.DUMMYFUNCTION("""COMPUTED_VALUE"""),"Virtualización a nivel de archivo")</f>
        <v>Virtualización a nivel de archivo</v>
      </c>
      <c r="F81" s="70" t="str">
        <f>IFERROR(__xludf.DUMMYFUNCTION("""COMPUTED_VALUE"""),"Octubre")</f>
        <v>Octubre</v>
      </c>
      <c r="G81" s="70">
        <f>IFERROR(__xludf.DUMMYFUNCTION("""COMPUTED_VALUE"""),11.0)</f>
        <v>11</v>
      </c>
    </row>
    <row r="82">
      <c r="A82" s="70">
        <f>IFERROR(__xludf.DUMMYFUNCTION("""COMPUTED_VALUE"""),77.0)</f>
        <v>77</v>
      </c>
      <c r="B82" s="61" t="str">
        <f>IFERROR(__xludf.DUMMYFUNCTION("""COMPUTED_VALUE"""),"Supervisa el desempeño de sistemas de almacenamiento masivo mediante el uso de herramientas de monitoreo y análisis de métricas para identificar oportunidades de mejora en la disponibilidad, eficiencia y seguridad de los datos ")</f>
        <v>Supervisa el desempeño de sistemas de almacenamiento masivo mediante el uso de herramientas de monitoreo y análisis de métricas para identificar oportunidades de mejora en la disponibilidad, eficiencia y seguridad de los datos </v>
      </c>
      <c r="C82" s="70" t="str">
        <f>IFERROR(__xludf.DUMMYFUNCTION("""COMPUTED_VALUE"""),"3. Introducción a la disponibilidad de información, a la seguridad y virtualización")</f>
        <v>3. Introducción a la disponibilidad de información, a la seguridad y virtualización</v>
      </c>
      <c r="D82" s="70" t="str">
        <f>IFERROR(__xludf.DUMMYFUNCTION("""COMPUTED_VALUE"""),"Virtualización")</f>
        <v>Virtualización</v>
      </c>
      <c r="E82" s="70" t="str">
        <f>IFERROR(__xludf.DUMMYFUNCTION("""COMPUTED_VALUE"""),"Administración de recursos en entornos virtualizados")</f>
        <v>Administración de recursos en entornos virtualizados</v>
      </c>
      <c r="F82" s="70" t="str">
        <f>IFERROR(__xludf.DUMMYFUNCTION("""COMPUTED_VALUE"""),"Octubre")</f>
        <v>Octubre</v>
      </c>
      <c r="G82" s="70">
        <f>IFERROR(__xludf.DUMMYFUNCTION("""COMPUTED_VALUE"""),11.0)</f>
        <v>11</v>
      </c>
    </row>
    <row r="83">
      <c r="A83" s="70">
        <f>IFERROR(__xludf.DUMMYFUNCTION("""COMPUTED_VALUE"""),78.0)</f>
        <v>78</v>
      </c>
      <c r="B83" s="61"/>
      <c r="C83" s="70"/>
      <c r="D83" s="70"/>
      <c r="E83" s="70"/>
      <c r="F83" s="70"/>
      <c r="G83" s="70"/>
    </row>
    <row r="84">
      <c r="A84" s="70">
        <f>IFERROR(__xludf.DUMMYFUNCTION("""COMPUTED_VALUE"""),79.0)</f>
        <v>79</v>
      </c>
      <c r="B84" s="61"/>
      <c r="C84" s="70"/>
      <c r="D84" s="70"/>
      <c r="E84" s="70"/>
      <c r="F84" s="70"/>
      <c r="G84" s="70"/>
    </row>
    <row r="85">
      <c r="A85" s="70">
        <f>IFERROR(__xludf.DUMMYFUNCTION("""COMPUTED_VALUE"""),80.0)</f>
        <v>80</v>
      </c>
      <c r="B85" s="61"/>
      <c r="C85" s="70"/>
      <c r="D85" s="70"/>
      <c r="E85" s="70"/>
      <c r="F85" s="70"/>
      <c r="G85" s="70"/>
    </row>
    <row r="86">
      <c r="A86" s="70">
        <f>IFERROR(__xludf.DUMMYFUNCTION("""COMPUTED_VALUE"""),81.0)</f>
        <v>81</v>
      </c>
      <c r="B86" s="61"/>
      <c r="C86" s="70"/>
      <c r="D86" s="70"/>
      <c r="E86" s="70"/>
      <c r="F86" s="70"/>
      <c r="G86" s="70"/>
    </row>
    <row r="87">
      <c r="A87" s="70">
        <f>IFERROR(__xludf.DUMMYFUNCTION("""COMPUTED_VALUE"""),82.0)</f>
        <v>82</v>
      </c>
      <c r="B87" s="61"/>
      <c r="C87" s="70"/>
      <c r="D87" s="70"/>
      <c r="E87" s="70"/>
      <c r="F87" s="70"/>
      <c r="G87" s="70"/>
    </row>
    <row r="88">
      <c r="A88" s="70">
        <f>IFERROR(__xludf.DUMMYFUNCTION("""COMPUTED_VALUE"""),83.0)</f>
        <v>83</v>
      </c>
      <c r="B88" s="61"/>
      <c r="C88" s="70"/>
      <c r="D88" s="70"/>
      <c r="E88" s="70"/>
      <c r="F88" s="70"/>
      <c r="G88" s="70"/>
    </row>
    <row r="89">
      <c r="A89" s="70">
        <f>IFERROR(__xludf.DUMMYFUNCTION("""COMPUTED_VALUE"""),84.0)</f>
        <v>84</v>
      </c>
      <c r="B89" s="61"/>
      <c r="C89" s="70"/>
      <c r="D89" s="70"/>
      <c r="E89" s="70"/>
      <c r="F89" s="70"/>
      <c r="G89" s="70"/>
    </row>
    <row r="90">
      <c r="A90" s="70">
        <f>IFERROR(__xludf.DUMMYFUNCTION("""COMPUTED_VALUE"""),85.0)</f>
        <v>85</v>
      </c>
      <c r="B90" s="61"/>
      <c r="C90" s="70"/>
      <c r="D90" s="70"/>
      <c r="E90" s="70"/>
      <c r="F90" s="70"/>
      <c r="G90" s="70"/>
    </row>
    <row r="91">
      <c r="A91" s="70">
        <f>IFERROR(__xludf.DUMMYFUNCTION("""COMPUTED_VALUE"""),86.0)</f>
        <v>86</v>
      </c>
      <c r="B91" s="61"/>
      <c r="C91" s="70"/>
      <c r="D91" s="70"/>
      <c r="E91" s="70"/>
      <c r="F91" s="70"/>
      <c r="G91" s="70"/>
    </row>
    <row r="92">
      <c r="A92" s="70">
        <f>IFERROR(__xludf.DUMMYFUNCTION("""COMPUTED_VALUE"""),87.0)</f>
        <v>87</v>
      </c>
      <c r="B92" s="61"/>
      <c r="C92" s="70"/>
      <c r="D92" s="70"/>
      <c r="E92" s="70"/>
      <c r="F92" s="70"/>
      <c r="G92" s="70"/>
    </row>
    <row r="93">
      <c r="A93" s="70">
        <f>IFERROR(__xludf.DUMMYFUNCTION("""COMPUTED_VALUE"""),88.0)</f>
        <v>88</v>
      </c>
      <c r="B93" s="61"/>
      <c r="C93" s="70"/>
      <c r="D93" s="70"/>
      <c r="E93" s="70"/>
      <c r="F93" s="70"/>
      <c r="G93" s="70"/>
    </row>
    <row r="94">
      <c r="A94" s="70">
        <f>IFERROR(__xludf.DUMMYFUNCTION("""COMPUTED_VALUE"""),89.0)</f>
        <v>89</v>
      </c>
      <c r="B94" s="61"/>
      <c r="C94" s="70"/>
      <c r="D94" s="70"/>
      <c r="E94" s="70"/>
      <c r="F94" s="70"/>
      <c r="G94" s="70"/>
    </row>
    <row r="95">
      <c r="A95" s="70">
        <f>IFERROR(__xludf.DUMMYFUNCTION("""COMPUTED_VALUE"""),90.0)</f>
        <v>90</v>
      </c>
      <c r="B95" s="61"/>
      <c r="C95" s="70"/>
      <c r="D95" s="70"/>
      <c r="E95" s="70"/>
      <c r="F95" s="70"/>
      <c r="G95" s="70"/>
    </row>
    <row r="96">
      <c r="A96" s="70">
        <f>IFERROR(__xludf.DUMMYFUNCTION("""COMPUTED_VALUE"""),91.0)</f>
        <v>91</v>
      </c>
      <c r="B96" s="61"/>
      <c r="C96" s="70"/>
      <c r="D96" s="70"/>
      <c r="E96" s="70"/>
      <c r="F96" s="70"/>
      <c r="G96" s="70"/>
    </row>
    <row r="97">
      <c r="A97" s="70">
        <f>IFERROR(__xludf.DUMMYFUNCTION("""COMPUTED_VALUE"""),92.0)</f>
        <v>92</v>
      </c>
      <c r="B97" s="61"/>
      <c r="C97" s="70"/>
      <c r="D97" s="70"/>
      <c r="E97" s="70"/>
      <c r="F97" s="70"/>
      <c r="G97" s="70"/>
    </row>
    <row r="98">
      <c r="A98" s="70">
        <f>IFERROR(__xludf.DUMMYFUNCTION("""COMPUTED_VALUE"""),93.0)</f>
        <v>93</v>
      </c>
      <c r="B98" s="61"/>
      <c r="C98" s="70"/>
      <c r="D98" s="70"/>
      <c r="E98" s="70"/>
      <c r="F98" s="70"/>
      <c r="G98" s="70"/>
    </row>
    <row r="99">
      <c r="A99" s="70">
        <f>IFERROR(__xludf.DUMMYFUNCTION("""COMPUTED_VALUE"""),94.0)</f>
        <v>94</v>
      </c>
      <c r="B99" s="61"/>
      <c r="C99" s="70"/>
      <c r="D99" s="70"/>
      <c r="E99" s="70"/>
      <c r="F99" s="70"/>
      <c r="G99" s="70"/>
    </row>
    <row r="100">
      <c r="A100" s="70">
        <f>IFERROR(__xludf.DUMMYFUNCTION("""COMPUTED_VALUE"""),95.0)</f>
        <v>95</v>
      </c>
      <c r="B100" s="61"/>
      <c r="C100" s="70"/>
      <c r="D100" s="70"/>
      <c r="E100" s="70"/>
      <c r="F100" s="70"/>
      <c r="G100" s="70"/>
    </row>
    <row r="101">
      <c r="A101" s="70">
        <f>IFERROR(__xludf.DUMMYFUNCTION("""COMPUTED_VALUE"""),96.0)</f>
        <v>96</v>
      </c>
      <c r="B101" s="61"/>
      <c r="C101" s="70"/>
      <c r="D101" s="70"/>
      <c r="E101" s="70"/>
      <c r="F101" s="70"/>
      <c r="G101" s="70"/>
    </row>
    <row r="102">
      <c r="A102" s="70">
        <f>IFERROR(__xludf.DUMMYFUNCTION("""COMPUTED_VALUE"""),97.0)</f>
        <v>97</v>
      </c>
      <c r="B102" s="61"/>
      <c r="C102" s="70"/>
      <c r="D102" s="70"/>
      <c r="E102" s="70"/>
      <c r="F102" s="70"/>
      <c r="G102" s="70"/>
    </row>
    <row r="103">
      <c r="A103" s="70">
        <f>IFERROR(__xludf.DUMMYFUNCTION("""COMPUTED_VALUE"""),98.0)</f>
        <v>98</v>
      </c>
      <c r="B103" s="61"/>
      <c r="C103" s="70"/>
      <c r="D103" s="70"/>
      <c r="E103" s="70"/>
      <c r="F103" s="70"/>
      <c r="G103" s="70"/>
    </row>
    <row r="104">
      <c r="A104" s="70"/>
      <c r="B104" s="61"/>
      <c r="C104" s="70"/>
      <c r="D104" s="70"/>
      <c r="E104" s="70"/>
      <c r="F104" s="70"/>
      <c r="G104" s="70"/>
    </row>
    <row r="105">
      <c r="A105" s="70"/>
      <c r="B105" s="61"/>
      <c r="C105" s="70"/>
      <c r="D105" s="70"/>
      <c r="E105" s="70"/>
      <c r="F105" s="70"/>
      <c r="G105" s="70"/>
    </row>
    <row r="106">
      <c r="A106" s="70"/>
      <c r="B106" s="61"/>
      <c r="C106" s="70"/>
      <c r="D106" s="70"/>
      <c r="E106" s="70"/>
      <c r="F106" s="70"/>
      <c r="G106" s="70"/>
    </row>
    <row r="107">
      <c r="A107" s="70"/>
      <c r="B107" s="61"/>
      <c r="C107" s="70"/>
      <c r="D107" s="70"/>
      <c r="E107" s="70"/>
      <c r="F107" s="70"/>
      <c r="G107" s="70"/>
    </row>
    <row r="108">
      <c r="A108" s="70"/>
      <c r="B108" s="61"/>
      <c r="C108" s="70"/>
      <c r="D108" s="70"/>
      <c r="E108" s="70"/>
      <c r="F108" s="70"/>
      <c r="G108" s="70"/>
    </row>
    <row r="109">
      <c r="A109" s="70"/>
      <c r="B109" s="61"/>
      <c r="C109" s="70"/>
      <c r="D109" s="70"/>
      <c r="E109" s="70"/>
      <c r="F109" s="70"/>
      <c r="G109" s="70"/>
    </row>
    <row r="110">
      <c r="A110" s="70"/>
      <c r="B110" s="61"/>
      <c r="C110" s="70"/>
      <c r="D110" s="70"/>
      <c r="E110" s="70"/>
      <c r="F110" s="70"/>
      <c r="G110" s="70"/>
    </row>
    <row r="111">
      <c r="A111" s="70"/>
      <c r="B111" s="61"/>
      <c r="C111" s="70"/>
      <c r="D111" s="70"/>
      <c r="E111" s="70"/>
      <c r="F111" s="70"/>
      <c r="G111" s="70"/>
    </row>
    <row r="112">
      <c r="A112" s="70"/>
      <c r="B112" s="61"/>
      <c r="C112" s="70"/>
      <c r="D112" s="70"/>
      <c r="E112" s="70"/>
      <c r="F112" s="70"/>
      <c r="G112" s="70"/>
    </row>
    <row r="113">
      <c r="A113" s="70"/>
      <c r="B113" s="61"/>
      <c r="C113" s="70"/>
      <c r="D113" s="70"/>
      <c r="E113" s="70"/>
      <c r="F113" s="70"/>
      <c r="G113" s="70"/>
    </row>
    <row r="114">
      <c r="A114" s="70"/>
      <c r="B114" s="61"/>
      <c r="C114" s="70"/>
      <c r="D114" s="70"/>
      <c r="E114" s="70"/>
      <c r="F114" s="70"/>
      <c r="G114" s="70"/>
    </row>
    <row r="115">
      <c r="A115" s="70"/>
      <c r="B115" s="61"/>
      <c r="C115" s="70"/>
      <c r="D115" s="70"/>
      <c r="E115" s="70"/>
      <c r="F115" s="70"/>
      <c r="G115" s="70"/>
    </row>
    <row r="116">
      <c r="A116" s="70"/>
      <c r="B116" s="61"/>
      <c r="C116" s="70"/>
      <c r="D116" s="70"/>
      <c r="E116" s="70"/>
      <c r="F116" s="70"/>
      <c r="G116" s="70"/>
    </row>
    <row r="117">
      <c r="A117" s="70"/>
      <c r="B117" s="61"/>
      <c r="C117" s="70"/>
      <c r="D117" s="70"/>
      <c r="E117" s="70"/>
      <c r="F117" s="70"/>
      <c r="G117" s="70"/>
    </row>
    <row r="118">
      <c r="A118" s="70"/>
      <c r="B118" s="61"/>
      <c r="C118" s="70"/>
      <c r="D118" s="70"/>
      <c r="E118" s="70"/>
      <c r="F118" s="70"/>
      <c r="G118" s="70"/>
    </row>
    <row r="119">
      <c r="A119" s="70"/>
      <c r="B119" s="61"/>
      <c r="C119" s="70"/>
      <c r="D119" s="70"/>
      <c r="E119" s="70"/>
      <c r="F119" s="70"/>
      <c r="G119" s="70"/>
    </row>
    <row r="120">
      <c r="A120" s="70"/>
      <c r="B120" s="61"/>
      <c r="C120" s="70"/>
      <c r="D120" s="70"/>
      <c r="E120" s="70"/>
      <c r="F120" s="70"/>
      <c r="G120" s="70"/>
    </row>
    <row r="121">
      <c r="A121" s="70"/>
      <c r="B121" s="61"/>
      <c r="C121" s="70"/>
      <c r="D121" s="70"/>
      <c r="E121" s="70"/>
      <c r="F121" s="70"/>
      <c r="G121" s="70"/>
    </row>
    <row r="122">
      <c r="A122" s="70"/>
      <c r="B122" s="61"/>
      <c r="C122" s="70"/>
      <c r="D122" s="70"/>
      <c r="E122" s="70"/>
      <c r="F122" s="70"/>
      <c r="G122" s="70"/>
    </row>
    <row r="123">
      <c r="A123" s="70"/>
      <c r="B123" s="61"/>
      <c r="C123" s="70"/>
      <c r="D123" s="70"/>
      <c r="E123" s="70"/>
      <c r="F123" s="70"/>
      <c r="G123" s="70"/>
    </row>
    <row r="124">
      <c r="A124" s="70"/>
      <c r="B124" s="61"/>
      <c r="C124" s="70"/>
      <c r="D124" s="70"/>
      <c r="E124" s="70"/>
      <c r="F124" s="70"/>
      <c r="G124" s="70"/>
    </row>
    <row r="125">
      <c r="A125" s="70"/>
      <c r="B125" s="61"/>
      <c r="C125" s="70"/>
      <c r="D125" s="70"/>
      <c r="E125" s="70"/>
      <c r="F125" s="70"/>
      <c r="G125" s="70"/>
    </row>
    <row r="126">
      <c r="A126" s="70"/>
      <c r="B126" s="61"/>
      <c r="C126" s="70"/>
      <c r="D126" s="70"/>
      <c r="E126" s="70"/>
      <c r="F126" s="70"/>
      <c r="G126" s="70"/>
    </row>
    <row r="127">
      <c r="A127" s="70"/>
      <c r="B127" s="61"/>
      <c r="C127" s="70"/>
      <c r="D127" s="70"/>
      <c r="E127" s="70"/>
      <c r="F127" s="70"/>
      <c r="G127" s="70"/>
    </row>
    <row r="128">
      <c r="A128" s="70"/>
      <c r="B128" s="61"/>
      <c r="C128" s="70"/>
      <c r="D128" s="70"/>
      <c r="E128" s="70"/>
      <c r="F128" s="70"/>
      <c r="G128" s="70"/>
    </row>
    <row r="129">
      <c r="A129" s="70"/>
      <c r="B129" s="61"/>
      <c r="C129" s="70"/>
      <c r="D129" s="70"/>
      <c r="E129" s="70"/>
      <c r="F129" s="70"/>
      <c r="G129" s="70"/>
    </row>
    <row r="130">
      <c r="A130" s="70"/>
      <c r="B130" s="61"/>
      <c r="C130" s="70"/>
      <c r="D130" s="70"/>
      <c r="E130" s="70"/>
      <c r="F130" s="70"/>
      <c r="G130" s="70"/>
    </row>
    <row r="131">
      <c r="A131" s="70"/>
      <c r="B131" s="61"/>
      <c r="C131" s="70"/>
      <c r="D131" s="70"/>
      <c r="E131" s="70"/>
      <c r="F131" s="70"/>
      <c r="G131" s="70"/>
    </row>
    <row r="132">
      <c r="A132" s="70"/>
      <c r="B132" s="61"/>
      <c r="C132" s="70"/>
      <c r="D132" s="70"/>
      <c r="E132" s="70"/>
      <c r="F132" s="70"/>
      <c r="G132" s="70"/>
    </row>
    <row r="133">
      <c r="A133" s="70"/>
      <c r="B133" s="61"/>
      <c r="C133" s="70"/>
      <c r="D133" s="70"/>
      <c r="E133" s="70"/>
      <c r="F133" s="70"/>
      <c r="G133" s="70"/>
    </row>
    <row r="134">
      <c r="A134" s="70"/>
      <c r="B134" s="61"/>
      <c r="C134" s="70"/>
      <c r="D134" s="70"/>
      <c r="E134" s="70"/>
      <c r="F134" s="70"/>
      <c r="G134" s="70"/>
    </row>
    <row r="135">
      <c r="A135" s="70"/>
      <c r="B135" s="61"/>
      <c r="C135" s="70"/>
      <c r="D135" s="70"/>
      <c r="E135" s="70"/>
      <c r="F135" s="70"/>
      <c r="G135" s="70"/>
    </row>
    <row r="136">
      <c r="A136" s="70"/>
      <c r="B136" s="61"/>
      <c r="C136" s="70"/>
      <c r="D136" s="70"/>
      <c r="E136" s="70"/>
      <c r="F136" s="70"/>
      <c r="G136" s="70"/>
    </row>
    <row r="137">
      <c r="A137" s="70"/>
      <c r="B137" s="61"/>
      <c r="C137" s="70"/>
      <c r="D137" s="70"/>
      <c r="E137" s="70"/>
      <c r="F137" s="70"/>
      <c r="G137" s="70"/>
    </row>
    <row r="138">
      <c r="A138" s="70"/>
      <c r="B138" s="61"/>
      <c r="C138" s="70"/>
      <c r="D138" s="70"/>
      <c r="E138" s="70"/>
      <c r="F138" s="70"/>
      <c r="G138" s="70"/>
    </row>
    <row r="139">
      <c r="A139" s="70"/>
      <c r="B139" s="61"/>
      <c r="C139" s="70"/>
      <c r="D139" s="70"/>
      <c r="E139" s="70"/>
      <c r="F139" s="70"/>
      <c r="G139" s="70"/>
    </row>
    <row r="140">
      <c r="A140" s="70"/>
      <c r="B140" s="61"/>
      <c r="C140" s="70"/>
      <c r="D140" s="70"/>
      <c r="E140" s="70"/>
      <c r="F140" s="70"/>
      <c r="G140" s="70"/>
    </row>
    <row r="141">
      <c r="A141" s="70"/>
      <c r="B141" s="61"/>
      <c r="C141" s="70"/>
      <c r="D141" s="70"/>
      <c r="E141" s="70"/>
      <c r="F141" s="70"/>
      <c r="G141" s="70"/>
    </row>
    <row r="142">
      <c r="A142" s="70"/>
      <c r="B142" s="61"/>
      <c r="C142" s="70"/>
      <c r="D142" s="70"/>
      <c r="E142" s="70"/>
      <c r="F142" s="70"/>
      <c r="G142" s="70"/>
    </row>
    <row r="143">
      <c r="A143" s="70"/>
      <c r="B143" s="61"/>
      <c r="C143" s="70"/>
      <c r="D143" s="70"/>
      <c r="E143" s="70"/>
      <c r="F143" s="70"/>
      <c r="G143" s="70"/>
    </row>
    <row r="144">
      <c r="A144" s="70"/>
      <c r="B144" s="61"/>
      <c r="C144" s="70"/>
      <c r="D144" s="70"/>
      <c r="E144" s="70"/>
      <c r="F144" s="70"/>
      <c r="G144" s="70"/>
    </row>
    <row r="145">
      <c r="A145" s="70"/>
      <c r="B145" s="61"/>
      <c r="C145" s="70"/>
      <c r="D145" s="70"/>
      <c r="E145" s="70"/>
      <c r="F145" s="70"/>
      <c r="G145" s="70"/>
    </row>
    <row r="146">
      <c r="A146" s="70"/>
      <c r="B146" s="61"/>
      <c r="C146" s="70"/>
      <c r="D146" s="70"/>
      <c r="E146" s="70"/>
      <c r="F146" s="70"/>
      <c r="G146" s="70"/>
    </row>
    <row r="147">
      <c r="A147" s="70"/>
      <c r="B147" s="61"/>
      <c r="C147" s="70"/>
      <c r="D147" s="70"/>
      <c r="E147" s="70"/>
      <c r="F147" s="70"/>
      <c r="G147" s="70"/>
    </row>
    <row r="148">
      <c r="A148" s="70"/>
      <c r="B148" s="61"/>
      <c r="C148" s="70"/>
      <c r="D148" s="70"/>
      <c r="E148" s="70"/>
      <c r="F148" s="70"/>
      <c r="G148" s="70"/>
    </row>
    <row r="149">
      <c r="A149" s="70"/>
      <c r="B149" s="61"/>
      <c r="C149" s="70"/>
      <c r="D149" s="70"/>
      <c r="E149" s="70"/>
      <c r="F149" s="70"/>
      <c r="G149" s="70"/>
    </row>
    <row r="150">
      <c r="A150" s="70"/>
      <c r="B150" s="61"/>
      <c r="C150" s="70"/>
      <c r="D150" s="70"/>
      <c r="E150" s="70"/>
      <c r="F150" s="70"/>
      <c r="G150" s="70"/>
    </row>
    <row r="151">
      <c r="A151" s="70"/>
      <c r="B151" s="61"/>
      <c r="C151" s="70"/>
      <c r="D151" s="70"/>
      <c r="E151" s="70"/>
      <c r="F151" s="70"/>
      <c r="G151" s="70"/>
    </row>
    <row r="152">
      <c r="A152" s="70"/>
      <c r="B152" s="61"/>
      <c r="C152" s="70"/>
      <c r="D152" s="70"/>
      <c r="E152" s="70"/>
      <c r="F152" s="70"/>
      <c r="G152" s="70"/>
    </row>
    <row r="153">
      <c r="A153" s="70"/>
      <c r="B153" s="61"/>
      <c r="C153" s="70"/>
      <c r="D153" s="70"/>
      <c r="E153" s="70"/>
      <c r="F153" s="70"/>
      <c r="G153" s="70"/>
    </row>
    <row r="154">
      <c r="A154" s="70"/>
      <c r="B154" s="61"/>
      <c r="C154" s="70"/>
      <c r="D154" s="70"/>
      <c r="E154" s="70"/>
      <c r="F154" s="70"/>
      <c r="G154" s="70"/>
    </row>
    <row r="155">
      <c r="A155" s="70"/>
      <c r="B155" s="61"/>
      <c r="C155" s="70"/>
      <c r="D155" s="70"/>
      <c r="E155" s="70"/>
      <c r="F155" s="70"/>
      <c r="G155" s="70"/>
    </row>
    <row r="156">
      <c r="A156" s="70"/>
      <c r="B156" s="61"/>
      <c r="C156" s="70"/>
      <c r="D156" s="70"/>
      <c r="E156" s="70"/>
      <c r="F156" s="70"/>
      <c r="G156" s="70"/>
    </row>
    <row r="157">
      <c r="A157" s="70"/>
      <c r="B157" s="61"/>
      <c r="C157" s="70"/>
      <c r="D157" s="70"/>
      <c r="E157" s="70"/>
      <c r="F157" s="70"/>
      <c r="G157" s="70"/>
    </row>
    <row r="158">
      <c r="A158" s="70"/>
      <c r="B158" s="61"/>
      <c r="C158" s="70"/>
      <c r="D158" s="70"/>
      <c r="E158" s="70"/>
      <c r="F158" s="70"/>
      <c r="G158" s="70"/>
    </row>
    <row r="159">
      <c r="A159" s="70"/>
      <c r="B159" s="61"/>
      <c r="C159" s="70"/>
      <c r="D159" s="70"/>
      <c r="E159" s="70"/>
      <c r="F159" s="70"/>
      <c r="G159" s="70"/>
    </row>
    <row r="160">
      <c r="A160" s="70"/>
      <c r="B160" s="61"/>
      <c r="C160" s="70"/>
      <c r="D160" s="70"/>
      <c r="E160" s="70"/>
      <c r="F160" s="70"/>
      <c r="G160" s="70"/>
    </row>
    <row r="161">
      <c r="A161" s="70"/>
      <c r="B161" s="61"/>
      <c r="C161" s="70"/>
      <c r="D161" s="70"/>
      <c r="E161" s="70"/>
      <c r="F161" s="70"/>
      <c r="G161" s="70"/>
    </row>
    <row r="162">
      <c r="A162" s="70"/>
      <c r="B162" s="61"/>
      <c r="C162" s="70"/>
      <c r="D162" s="70"/>
      <c r="E162" s="70"/>
      <c r="F162" s="70"/>
      <c r="G162" s="70"/>
    </row>
    <row r="163">
      <c r="A163" s="70"/>
      <c r="B163" s="61"/>
      <c r="C163" s="70"/>
      <c r="D163" s="70"/>
      <c r="E163" s="70"/>
      <c r="F163" s="70"/>
      <c r="G163" s="70"/>
    </row>
    <row r="164">
      <c r="A164" s="70"/>
      <c r="B164" s="61"/>
      <c r="C164" s="70"/>
      <c r="D164" s="70"/>
      <c r="E164" s="70"/>
      <c r="F164" s="70"/>
      <c r="G164" s="70"/>
    </row>
    <row r="165">
      <c r="A165" s="70"/>
      <c r="B165" s="61"/>
      <c r="C165" s="70"/>
      <c r="D165" s="70"/>
      <c r="E165" s="70"/>
      <c r="F165" s="70"/>
      <c r="G165" s="70"/>
    </row>
    <row r="166">
      <c r="A166" s="70"/>
      <c r="B166" s="61"/>
      <c r="C166" s="70"/>
      <c r="D166" s="70"/>
      <c r="E166" s="70"/>
      <c r="F166" s="70"/>
      <c r="G166" s="70"/>
    </row>
    <row r="167">
      <c r="A167" s="70"/>
      <c r="B167" s="61"/>
      <c r="C167" s="70"/>
      <c r="D167" s="70"/>
      <c r="E167" s="70"/>
      <c r="F167" s="70"/>
      <c r="G167" s="70"/>
    </row>
    <row r="168">
      <c r="A168" s="70"/>
      <c r="B168" s="61"/>
      <c r="C168" s="70"/>
      <c r="D168" s="70"/>
      <c r="E168" s="70"/>
      <c r="F168" s="70"/>
      <c r="G168" s="70"/>
    </row>
    <row r="169">
      <c r="A169" s="70"/>
      <c r="B169" s="61"/>
      <c r="C169" s="70"/>
      <c r="D169" s="70"/>
      <c r="E169" s="70"/>
      <c r="F169" s="70"/>
      <c r="G169" s="70"/>
    </row>
    <row r="170">
      <c r="A170" s="70"/>
      <c r="B170" s="61"/>
      <c r="C170" s="70"/>
      <c r="D170" s="70"/>
      <c r="E170" s="70"/>
      <c r="F170" s="70"/>
      <c r="G170" s="70"/>
    </row>
    <row r="171">
      <c r="A171" s="70"/>
      <c r="B171" s="61"/>
      <c r="C171" s="70"/>
      <c r="D171" s="70"/>
      <c r="E171" s="70"/>
      <c r="F171" s="70"/>
      <c r="G171" s="70"/>
    </row>
    <row r="172">
      <c r="A172" s="70"/>
      <c r="B172" s="61"/>
      <c r="C172" s="70"/>
      <c r="D172" s="70"/>
      <c r="E172" s="70"/>
      <c r="F172" s="70"/>
      <c r="G172" s="70"/>
    </row>
    <row r="173">
      <c r="A173" s="70"/>
      <c r="B173" s="61"/>
      <c r="C173" s="70"/>
      <c r="D173" s="70"/>
      <c r="E173" s="70"/>
      <c r="F173" s="70"/>
      <c r="G173" s="70"/>
    </row>
    <row r="174">
      <c r="A174" s="70"/>
      <c r="B174" s="61"/>
      <c r="C174" s="70"/>
      <c r="D174" s="70"/>
      <c r="E174" s="70"/>
      <c r="F174" s="70"/>
      <c r="G174" s="70"/>
    </row>
    <row r="175">
      <c r="A175" s="70"/>
      <c r="B175" s="61"/>
      <c r="C175" s="70"/>
      <c r="D175" s="70"/>
      <c r="E175" s="70"/>
      <c r="F175" s="70"/>
      <c r="G175" s="70"/>
    </row>
    <row r="176">
      <c r="A176" s="70"/>
      <c r="B176" s="61"/>
      <c r="C176" s="70"/>
      <c r="D176" s="70"/>
      <c r="E176" s="70"/>
      <c r="F176" s="70"/>
      <c r="G176" s="70"/>
    </row>
    <row r="177">
      <c r="A177" s="70"/>
      <c r="B177" s="61"/>
      <c r="C177" s="70"/>
      <c r="D177" s="70"/>
      <c r="E177" s="70"/>
      <c r="F177" s="70"/>
      <c r="G177" s="70"/>
    </row>
    <row r="178">
      <c r="A178" s="70"/>
      <c r="B178" s="61"/>
      <c r="C178" s="70"/>
      <c r="D178" s="70"/>
      <c r="E178" s="70"/>
      <c r="F178" s="70"/>
      <c r="G178" s="70"/>
    </row>
    <row r="179">
      <c r="A179" s="70"/>
      <c r="B179" s="61"/>
      <c r="C179" s="70"/>
      <c r="D179" s="70"/>
      <c r="E179" s="70"/>
      <c r="F179" s="70"/>
      <c r="G179" s="70"/>
    </row>
    <row r="180">
      <c r="A180" s="70"/>
      <c r="B180" s="61"/>
      <c r="C180" s="70"/>
      <c r="D180" s="70"/>
      <c r="E180" s="70"/>
      <c r="F180" s="70"/>
      <c r="G180" s="70"/>
    </row>
    <row r="181">
      <c r="A181" s="70"/>
      <c r="B181" s="61"/>
      <c r="C181" s="70"/>
      <c r="D181" s="70"/>
      <c r="E181" s="70"/>
      <c r="F181" s="70"/>
      <c r="G181" s="70"/>
    </row>
    <row r="182">
      <c r="A182" s="70"/>
      <c r="B182" s="61"/>
      <c r="C182" s="70"/>
      <c r="D182" s="70"/>
      <c r="E182" s="70"/>
      <c r="F182" s="70"/>
      <c r="G182" s="70"/>
    </row>
    <row r="183">
      <c r="A183" s="70"/>
      <c r="B183" s="61"/>
      <c r="C183" s="70"/>
      <c r="D183" s="70"/>
      <c r="E183" s="70"/>
      <c r="F183" s="70"/>
      <c r="G183" s="70"/>
    </row>
    <row r="184">
      <c r="A184" s="70"/>
      <c r="B184" s="61"/>
      <c r="C184" s="70"/>
      <c r="D184" s="70"/>
      <c r="E184" s="70"/>
      <c r="F184" s="70"/>
      <c r="G184" s="70"/>
    </row>
    <row r="185">
      <c r="A185" s="70"/>
      <c r="B185" s="61"/>
      <c r="C185" s="70"/>
      <c r="D185" s="70"/>
      <c r="E185" s="70"/>
      <c r="F185" s="70"/>
      <c r="G185" s="70"/>
    </row>
    <row r="186">
      <c r="A186" s="70"/>
      <c r="B186" s="61"/>
      <c r="C186" s="70"/>
      <c r="D186" s="70"/>
      <c r="E186" s="70"/>
      <c r="F186" s="70"/>
      <c r="G186" s="70"/>
    </row>
    <row r="187">
      <c r="A187" s="70"/>
      <c r="B187" s="61"/>
      <c r="C187" s="70"/>
      <c r="D187" s="70"/>
      <c r="E187" s="70"/>
      <c r="F187" s="70"/>
      <c r="G187" s="70"/>
    </row>
    <row r="188">
      <c r="A188" s="70"/>
      <c r="B188" s="61"/>
      <c r="C188" s="70"/>
      <c r="D188" s="70"/>
      <c r="E188" s="70"/>
      <c r="F188" s="70"/>
      <c r="G188" s="70"/>
    </row>
    <row r="189">
      <c r="A189" s="70"/>
      <c r="B189" s="61"/>
      <c r="C189" s="70"/>
      <c r="D189" s="70"/>
      <c r="E189" s="70"/>
      <c r="F189" s="70"/>
      <c r="G189" s="70"/>
    </row>
    <row r="190">
      <c r="A190" s="70"/>
      <c r="B190" s="61"/>
      <c r="C190" s="70"/>
      <c r="D190" s="70"/>
      <c r="E190" s="70"/>
      <c r="F190" s="70"/>
      <c r="G190" s="70"/>
    </row>
    <row r="191">
      <c r="A191" s="70"/>
      <c r="B191" s="61"/>
      <c r="C191" s="70"/>
      <c r="D191" s="70"/>
      <c r="E191" s="70"/>
      <c r="F191" s="70"/>
      <c r="G191" s="70"/>
    </row>
    <row r="192">
      <c r="A192" s="70"/>
      <c r="B192" s="61"/>
      <c r="C192" s="70"/>
      <c r="D192" s="70"/>
      <c r="E192" s="70"/>
      <c r="F192" s="70"/>
      <c r="G192" s="70"/>
    </row>
    <row r="193">
      <c r="A193" s="70"/>
      <c r="B193" s="61"/>
      <c r="C193" s="70"/>
      <c r="D193" s="70"/>
      <c r="E193" s="70"/>
      <c r="F193" s="70"/>
      <c r="G193" s="70"/>
    </row>
    <row r="194">
      <c r="A194" s="70"/>
      <c r="B194" s="61"/>
      <c r="C194" s="70"/>
      <c r="D194" s="70"/>
      <c r="E194" s="70"/>
      <c r="F194" s="70"/>
      <c r="G194" s="70"/>
    </row>
    <row r="195">
      <c r="A195" s="70"/>
      <c r="B195" s="61"/>
      <c r="C195" s="70"/>
      <c r="D195" s="70"/>
      <c r="E195" s="70"/>
      <c r="F195" s="70"/>
      <c r="G195" s="70"/>
    </row>
    <row r="196">
      <c r="A196" s="70"/>
      <c r="B196" s="61"/>
      <c r="C196" s="70"/>
      <c r="D196" s="70"/>
      <c r="E196" s="70"/>
      <c r="F196" s="70"/>
      <c r="G196" s="70"/>
    </row>
    <row r="197">
      <c r="A197" s="70"/>
      <c r="B197" s="61"/>
      <c r="C197" s="70"/>
      <c r="D197" s="70"/>
      <c r="E197" s="70"/>
      <c r="F197" s="70"/>
      <c r="G197" s="70"/>
    </row>
    <row r="198">
      <c r="A198" s="70"/>
      <c r="B198" s="61"/>
      <c r="C198" s="70"/>
      <c r="D198" s="70"/>
      <c r="E198" s="70"/>
      <c r="F198" s="70"/>
      <c r="G198" s="70"/>
    </row>
    <row r="199">
      <c r="A199" s="70"/>
      <c r="B199" s="61"/>
      <c r="C199" s="70"/>
      <c r="D199" s="70"/>
      <c r="E199" s="70"/>
      <c r="F199" s="70"/>
      <c r="G199" s="70"/>
    </row>
    <row r="200">
      <c r="A200" s="70"/>
      <c r="B200" s="61"/>
      <c r="C200" s="70"/>
      <c r="D200" s="70"/>
      <c r="E200" s="70"/>
      <c r="F200" s="70"/>
      <c r="G200" s="70"/>
    </row>
    <row r="201">
      <c r="A201" s="70"/>
      <c r="B201" s="61"/>
      <c r="C201" s="70"/>
      <c r="D201" s="70"/>
      <c r="E201" s="70"/>
      <c r="F201" s="70"/>
      <c r="G201" s="70"/>
    </row>
    <row r="202">
      <c r="A202" s="70"/>
      <c r="B202" s="61"/>
      <c r="C202" s="70"/>
      <c r="D202" s="70"/>
      <c r="E202" s="70"/>
      <c r="F202" s="70"/>
      <c r="G202" s="70"/>
    </row>
    <row r="203">
      <c r="A203" s="70"/>
      <c r="B203" s="61"/>
      <c r="C203" s="70"/>
      <c r="D203" s="70"/>
      <c r="E203" s="70"/>
      <c r="F203" s="70"/>
      <c r="G203" s="70"/>
    </row>
    <row r="204">
      <c r="A204" s="70"/>
      <c r="B204" s="61"/>
      <c r="C204" s="70"/>
      <c r="D204" s="70"/>
      <c r="E204" s="70"/>
      <c r="F204" s="70"/>
      <c r="G204" s="70"/>
    </row>
    <row r="205">
      <c r="A205" s="70"/>
      <c r="B205" s="61"/>
      <c r="C205" s="70"/>
      <c r="D205" s="70"/>
      <c r="E205" s="70"/>
      <c r="F205" s="70"/>
      <c r="G205" s="70"/>
    </row>
    <row r="206">
      <c r="A206" s="70"/>
      <c r="B206" s="61"/>
      <c r="C206" s="70"/>
      <c r="D206" s="70"/>
      <c r="E206" s="70"/>
      <c r="F206" s="70"/>
      <c r="G206" s="70"/>
    </row>
    <row r="207">
      <c r="A207" s="70"/>
      <c r="B207" s="61"/>
      <c r="C207" s="70"/>
      <c r="D207" s="70"/>
      <c r="E207" s="70"/>
      <c r="F207" s="70"/>
      <c r="G207" s="70"/>
    </row>
    <row r="208">
      <c r="A208" s="70"/>
      <c r="B208" s="61"/>
      <c r="C208" s="70"/>
      <c r="D208" s="70"/>
      <c r="E208" s="70"/>
      <c r="F208" s="70"/>
      <c r="G208" s="70"/>
    </row>
    <row r="209">
      <c r="A209" s="70"/>
      <c r="B209" s="61"/>
      <c r="C209" s="70"/>
      <c r="D209" s="70"/>
      <c r="E209" s="70"/>
      <c r="F209" s="70"/>
      <c r="G209" s="70"/>
    </row>
    <row r="210">
      <c r="A210" s="70"/>
      <c r="B210" s="61"/>
      <c r="C210" s="70"/>
      <c r="D210" s="70"/>
      <c r="E210" s="70"/>
      <c r="F210" s="70"/>
      <c r="G210" s="70"/>
    </row>
    <row r="211">
      <c r="A211" s="70"/>
      <c r="B211" s="61"/>
      <c r="C211" s="70"/>
      <c r="D211" s="70"/>
      <c r="E211" s="70"/>
      <c r="F211" s="70"/>
      <c r="G211" s="70"/>
    </row>
    <row r="212">
      <c r="A212" s="70"/>
      <c r="B212" s="61"/>
      <c r="C212" s="70"/>
      <c r="D212" s="70"/>
      <c r="E212" s="70"/>
      <c r="F212" s="70"/>
      <c r="G212" s="70"/>
    </row>
    <row r="213">
      <c r="A213" s="70"/>
      <c r="B213" s="61"/>
      <c r="C213" s="70"/>
      <c r="D213" s="70"/>
      <c r="E213" s="70"/>
      <c r="F213" s="70"/>
      <c r="G213" s="70"/>
    </row>
    <row r="214">
      <c r="A214" s="70"/>
      <c r="B214" s="61"/>
      <c r="C214" s="70"/>
      <c r="D214" s="70"/>
      <c r="E214" s="70"/>
      <c r="F214" s="70"/>
      <c r="G214" s="70"/>
    </row>
    <row r="215">
      <c r="A215" s="70"/>
      <c r="B215" s="61"/>
      <c r="C215" s="70"/>
      <c r="D215" s="70"/>
      <c r="E215" s="70"/>
      <c r="F215" s="70"/>
      <c r="G215" s="70"/>
    </row>
    <row r="216">
      <c r="A216" s="70"/>
      <c r="B216" s="61"/>
      <c r="C216" s="70"/>
      <c r="D216" s="70"/>
      <c r="E216" s="70"/>
      <c r="F216" s="70"/>
      <c r="G216" s="70"/>
    </row>
    <row r="217">
      <c r="A217" s="70"/>
      <c r="B217" s="61"/>
      <c r="C217" s="70"/>
      <c r="D217" s="70"/>
      <c r="E217" s="70"/>
      <c r="F217" s="70"/>
      <c r="G217" s="70"/>
    </row>
    <row r="218">
      <c r="A218" s="70"/>
      <c r="B218" s="61"/>
      <c r="C218" s="70"/>
      <c r="D218" s="70"/>
      <c r="E218" s="70"/>
      <c r="F218" s="70"/>
      <c r="G218" s="70"/>
    </row>
    <row r="219">
      <c r="A219" s="70"/>
      <c r="B219" s="61"/>
      <c r="C219" s="70"/>
      <c r="D219" s="70"/>
      <c r="E219" s="70"/>
      <c r="F219" s="70"/>
      <c r="G219" s="70"/>
    </row>
    <row r="220">
      <c r="A220" s="70"/>
      <c r="B220" s="61"/>
      <c r="C220" s="70"/>
      <c r="D220" s="70"/>
      <c r="E220" s="70"/>
      <c r="F220" s="70"/>
      <c r="G220" s="70"/>
    </row>
    <row r="221">
      <c r="A221" s="70"/>
      <c r="B221" s="61"/>
      <c r="C221" s="70"/>
      <c r="D221" s="70"/>
      <c r="E221" s="70"/>
      <c r="F221" s="70"/>
      <c r="G221" s="70"/>
    </row>
    <row r="222">
      <c r="A222" s="70"/>
      <c r="B222" s="61"/>
      <c r="C222" s="70"/>
      <c r="D222" s="70"/>
      <c r="E222" s="70"/>
      <c r="F222" s="70"/>
      <c r="G222" s="70"/>
    </row>
    <row r="223">
      <c r="A223" s="70"/>
      <c r="B223" s="61"/>
      <c r="C223" s="70"/>
      <c r="D223" s="70"/>
      <c r="E223" s="70"/>
      <c r="F223" s="70"/>
      <c r="G223" s="70"/>
    </row>
    <row r="224">
      <c r="A224" s="70"/>
      <c r="B224" s="61"/>
      <c r="C224" s="70"/>
      <c r="D224" s="70"/>
      <c r="E224" s="70"/>
      <c r="F224" s="70"/>
      <c r="G224" s="70"/>
    </row>
    <row r="225">
      <c r="A225" s="70"/>
      <c r="B225" s="61"/>
      <c r="C225" s="70"/>
      <c r="D225" s="70"/>
      <c r="E225" s="70"/>
      <c r="F225" s="70"/>
      <c r="G225" s="70"/>
    </row>
    <row r="226">
      <c r="A226" s="70"/>
      <c r="B226" s="61"/>
      <c r="C226" s="70"/>
      <c r="D226" s="70"/>
      <c r="E226" s="70"/>
      <c r="F226" s="70"/>
      <c r="G226" s="70"/>
    </row>
    <row r="227">
      <c r="A227" s="70"/>
      <c r="B227" s="61"/>
      <c r="C227" s="70"/>
      <c r="D227" s="70"/>
      <c r="E227" s="70"/>
      <c r="F227" s="70"/>
      <c r="G227" s="70"/>
    </row>
    <row r="228">
      <c r="A228" s="70"/>
      <c r="B228" s="61"/>
      <c r="C228" s="70"/>
      <c r="D228" s="70"/>
      <c r="E228" s="70"/>
      <c r="F228" s="70"/>
      <c r="G228" s="70"/>
    </row>
    <row r="229">
      <c r="A229" s="70"/>
      <c r="B229" s="61"/>
      <c r="C229" s="70"/>
      <c r="D229" s="70"/>
      <c r="E229" s="70"/>
      <c r="F229" s="70"/>
      <c r="G229" s="70"/>
    </row>
    <row r="230">
      <c r="A230" s="70"/>
      <c r="B230" s="61"/>
      <c r="C230" s="70"/>
      <c r="D230" s="70"/>
      <c r="E230" s="70"/>
      <c r="F230" s="70"/>
      <c r="G230" s="70"/>
    </row>
    <row r="231">
      <c r="A231" s="70"/>
      <c r="B231" s="61"/>
      <c r="C231" s="70"/>
      <c r="D231" s="70"/>
      <c r="E231" s="70"/>
      <c r="F231" s="70"/>
      <c r="G231" s="70"/>
    </row>
    <row r="232">
      <c r="A232" s="70"/>
      <c r="B232" s="61"/>
      <c r="C232" s="70"/>
      <c r="D232" s="70"/>
      <c r="E232" s="70"/>
      <c r="F232" s="70"/>
      <c r="G232" s="70"/>
    </row>
    <row r="233">
      <c r="A233" s="70"/>
      <c r="B233" s="61"/>
      <c r="C233" s="70"/>
      <c r="D233" s="70"/>
      <c r="E233" s="70"/>
      <c r="F233" s="70"/>
      <c r="G233" s="70"/>
    </row>
    <row r="234">
      <c r="A234" s="70"/>
      <c r="B234" s="61"/>
      <c r="C234" s="70"/>
      <c r="D234" s="70"/>
      <c r="E234" s="70"/>
      <c r="F234" s="70"/>
      <c r="G234" s="70"/>
    </row>
    <row r="235">
      <c r="A235" s="70"/>
      <c r="B235" s="61"/>
      <c r="C235" s="70"/>
      <c r="D235" s="70"/>
      <c r="E235" s="70"/>
      <c r="F235" s="70"/>
      <c r="G235" s="70"/>
    </row>
    <row r="236">
      <c r="A236" s="70"/>
      <c r="B236" s="61"/>
      <c r="C236" s="70"/>
      <c r="D236" s="70"/>
      <c r="E236" s="70"/>
      <c r="F236" s="70"/>
      <c r="G236" s="70"/>
    </row>
    <row r="237">
      <c r="A237" s="70"/>
      <c r="B237" s="61"/>
      <c r="C237" s="70"/>
      <c r="D237" s="70"/>
      <c r="E237" s="70"/>
      <c r="F237" s="70"/>
      <c r="G237" s="70"/>
    </row>
    <row r="238">
      <c r="A238" s="70"/>
      <c r="B238" s="61"/>
      <c r="C238" s="70"/>
      <c r="D238" s="70"/>
      <c r="E238" s="70"/>
      <c r="F238" s="70"/>
      <c r="G238" s="70"/>
    </row>
    <row r="239">
      <c r="A239" s="70"/>
      <c r="B239" s="61"/>
      <c r="C239" s="70"/>
      <c r="D239" s="70"/>
      <c r="E239" s="70"/>
      <c r="F239" s="70"/>
      <c r="G239" s="70"/>
    </row>
    <row r="240">
      <c r="A240" s="70"/>
      <c r="B240" s="61"/>
      <c r="C240" s="70"/>
      <c r="D240" s="70"/>
      <c r="E240" s="70"/>
      <c r="F240" s="70"/>
      <c r="G240" s="70"/>
    </row>
    <row r="241">
      <c r="A241" s="70"/>
      <c r="B241" s="61"/>
      <c r="C241" s="70"/>
      <c r="D241" s="70"/>
      <c r="E241" s="70"/>
      <c r="F241" s="70"/>
      <c r="G241" s="70"/>
    </row>
    <row r="242">
      <c r="A242" s="70"/>
      <c r="B242" s="61"/>
      <c r="C242" s="70"/>
      <c r="D242" s="70"/>
      <c r="E242" s="70"/>
      <c r="F242" s="70"/>
      <c r="G242" s="70"/>
    </row>
    <row r="243">
      <c r="A243" s="70"/>
      <c r="B243" s="61"/>
      <c r="C243" s="70"/>
      <c r="D243" s="70"/>
      <c r="E243" s="70"/>
      <c r="F243" s="70"/>
      <c r="G243" s="70"/>
    </row>
    <row r="244">
      <c r="A244" s="70"/>
      <c r="B244" s="61"/>
      <c r="C244" s="70"/>
      <c r="D244" s="70"/>
      <c r="E244" s="70"/>
      <c r="F244" s="70"/>
      <c r="G244" s="70"/>
    </row>
    <row r="245">
      <c r="A245" s="70"/>
      <c r="B245" s="61"/>
      <c r="C245" s="70"/>
      <c r="D245" s="70"/>
      <c r="E245" s="70"/>
      <c r="F245" s="70"/>
      <c r="G245" s="70"/>
    </row>
    <row r="246">
      <c r="A246" s="70"/>
      <c r="B246" s="61"/>
      <c r="C246" s="70"/>
      <c r="D246" s="70"/>
      <c r="E246" s="70"/>
      <c r="F246" s="70"/>
      <c r="G246" s="70"/>
    </row>
    <row r="247">
      <c r="A247" s="70"/>
      <c r="B247" s="61"/>
      <c r="C247" s="70"/>
      <c r="D247" s="70"/>
      <c r="E247" s="70"/>
      <c r="F247" s="70"/>
      <c r="G247" s="70"/>
    </row>
    <row r="248">
      <c r="A248" s="70"/>
      <c r="B248" s="61"/>
      <c r="C248" s="70"/>
      <c r="D248" s="70"/>
      <c r="E248" s="70"/>
      <c r="F248" s="70"/>
      <c r="G248" s="70"/>
    </row>
    <row r="249">
      <c r="A249" s="70"/>
      <c r="B249" s="61"/>
      <c r="C249" s="70"/>
      <c r="D249" s="70"/>
      <c r="E249" s="70"/>
      <c r="F249" s="70"/>
      <c r="G249" s="70"/>
    </row>
    <row r="250">
      <c r="A250" s="70"/>
      <c r="B250" s="61"/>
      <c r="C250" s="70"/>
      <c r="D250" s="70"/>
      <c r="E250" s="70"/>
      <c r="F250" s="70"/>
      <c r="G250" s="70"/>
    </row>
    <row r="251">
      <c r="A251" s="70"/>
      <c r="B251" s="61"/>
      <c r="C251" s="70"/>
      <c r="D251" s="70"/>
      <c r="E251" s="70"/>
      <c r="F251" s="70"/>
      <c r="G251" s="70"/>
    </row>
    <row r="252">
      <c r="A252" s="70"/>
      <c r="B252" s="61"/>
      <c r="C252" s="70"/>
      <c r="D252" s="70"/>
      <c r="E252" s="70"/>
      <c r="F252" s="70"/>
      <c r="G252" s="70"/>
    </row>
    <row r="253">
      <c r="A253" s="70"/>
      <c r="B253" s="61"/>
      <c r="C253" s="70"/>
      <c r="D253" s="70"/>
      <c r="E253" s="70"/>
      <c r="F253" s="70"/>
      <c r="G253" s="70"/>
    </row>
    <row r="254">
      <c r="A254" s="70"/>
      <c r="B254" s="61"/>
      <c r="C254" s="70"/>
      <c r="D254" s="70"/>
      <c r="E254" s="70"/>
      <c r="F254" s="70"/>
      <c r="G254" s="70"/>
    </row>
    <row r="255">
      <c r="A255" s="70"/>
      <c r="B255" s="61"/>
      <c r="C255" s="70"/>
      <c r="D255" s="70"/>
      <c r="E255" s="70"/>
      <c r="F255" s="70"/>
      <c r="G255" s="70"/>
    </row>
    <row r="256">
      <c r="A256" s="70"/>
      <c r="B256" s="61"/>
      <c r="C256" s="70"/>
      <c r="D256" s="70"/>
      <c r="E256" s="70"/>
      <c r="F256" s="70"/>
      <c r="G256" s="70"/>
    </row>
    <row r="257">
      <c r="A257" s="70"/>
      <c r="B257" s="61"/>
      <c r="C257" s="70"/>
      <c r="D257" s="70"/>
      <c r="E257" s="70"/>
      <c r="F257" s="70"/>
      <c r="G257" s="70"/>
    </row>
    <row r="258">
      <c r="A258" s="70"/>
      <c r="B258" s="61"/>
      <c r="C258" s="70"/>
      <c r="D258" s="70"/>
      <c r="E258" s="70"/>
      <c r="F258" s="70"/>
      <c r="G258" s="70"/>
    </row>
    <row r="259">
      <c r="A259" s="70"/>
      <c r="B259" s="61"/>
      <c r="C259" s="70"/>
      <c r="D259" s="70"/>
      <c r="E259" s="70"/>
      <c r="F259" s="70"/>
      <c r="G259" s="70"/>
    </row>
    <row r="260">
      <c r="A260" s="70"/>
      <c r="B260" s="61"/>
      <c r="C260" s="70"/>
      <c r="D260" s="70"/>
      <c r="E260" s="70"/>
      <c r="F260" s="70"/>
      <c r="G260" s="70"/>
    </row>
    <row r="261">
      <c r="A261" s="70"/>
      <c r="B261" s="61"/>
      <c r="C261" s="70"/>
      <c r="D261" s="70"/>
      <c r="E261" s="70"/>
      <c r="F261" s="70"/>
      <c r="G261" s="70"/>
    </row>
    <row r="262">
      <c r="A262" s="70"/>
      <c r="B262" s="61"/>
      <c r="C262" s="70"/>
      <c r="D262" s="70"/>
      <c r="E262" s="70"/>
      <c r="F262" s="70"/>
      <c r="G262" s="70"/>
    </row>
    <row r="263">
      <c r="A263" s="70"/>
      <c r="B263" s="61"/>
      <c r="C263" s="70"/>
      <c r="D263" s="70"/>
      <c r="E263" s="70"/>
      <c r="F263" s="70"/>
      <c r="G263" s="70"/>
    </row>
    <row r="264">
      <c r="A264" s="70"/>
      <c r="B264" s="61"/>
      <c r="C264" s="70"/>
      <c r="D264" s="70"/>
      <c r="E264" s="70"/>
      <c r="F264" s="70"/>
      <c r="G264" s="70"/>
    </row>
    <row r="265">
      <c r="A265" s="70"/>
      <c r="B265" s="61"/>
      <c r="C265" s="70"/>
      <c r="D265" s="70"/>
      <c r="E265" s="70"/>
      <c r="F265" s="70"/>
      <c r="G265" s="70"/>
    </row>
    <row r="266">
      <c r="A266" s="70"/>
      <c r="B266" s="61"/>
      <c r="C266" s="70"/>
      <c r="D266" s="70"/>
      <c r="E266" s="70"/>
      <c r="F266" s="70"/>
      <c r="G266" s="70"/>
    </row>
    <row r="267">
      <c r="A267" s="70"/>
      <c r="B267" s="61"/>
      <c r="C267" s="70"/>
      <c r="D267" s="70"/>
      <c r="E267" s="70"/>
      <c r="F267" s="70"/>
      <c r="G267" s="70"/>
    </row>
    <row r="268">
      <c r="A268" s="70"/>
      <c r="B268" s="61"/>
      <c r="C268" s="70"/>
      <c r="D268" s="70"/>
      <c r="E268" s="70"/>
      <c r="F268" s="70"/>
      <c r="G268" s="70"/>
    </row>
    <row r="269">
      <c r="A269" s="70"/>
      <c r="B269" s="61"/>
      <c r="C269" s="70"/>
      <c r="D269" s="70"/>
      <c r="E269" s="70"/>
      <c r="F269" s="70"/>
      <c r="G269" s="70"/>
    </row>
    <row r="270">
      <c r="A270" s="70"/>
      <c r="B270" s="61"/>
      <c r="C270" s="70"/>
      <c r="D270" s="70"/>
      <c r="E270" s="70"/>
      <c r="F270" s="70"/>
      <c r="G270" s="70"/>
    </row>
    <row r="271">
      <c r="A271" s="70"/>
      <c r="B271" s="61"/>
      <c r="C271" s="70"/>
      <c r="D271" s="70"/>
      <c r="E271" s="70"/>
      <c r="F271" s="70"/>
      <c r="G271" s="70"/>
    </row>
    <row r="272">
      <c r="A272" s="70"/>
      <c r="B272" s="61"/>
      <c r="C272" s="70"/>
      <c r="D272" s="70"/>
      <c r="E272" s="70"/>
      <c r="F272" s="70"/>
      <c r="G272" s="70"/>
    </row>
    <row r="273">
      <c r="A273" s="70"/>
      <c r="B273" s="61"/>
      <c r="C273" s="70"/>
      <c r="D273" s="70"/>
      <c r="E273" s="70"/>
      <c r="F273" s="70"/>
      <c r="G273" s="70"/>
    </row>
    <row r="274">
      <c r="A274" s="70"/>
      <c r="B274" s="61"/>
      <c r="C274" s="70"/>
      <c r="D274" s="70"/>
      <c r="E274" s="70"/>
      <c r="F274" s="70"/>
      <c r="G274" s="70"/>
    </row>
    <row r="275">
      <c r="A275" s="70"/>
      <c r="B275" s="61"/>
      <c r="C275" s="70"/>
      <c r="D275" s="70"/>
      <c r="E275" s="70"/>
      <c r="F275" s="70"/>
      <c r="G275" s="70"/>
    </row>
    <row r="276">
      <c r="A276" s="70"/>
      <c r="B276" s="61"/>
      <c r="C276" s="70"/>
      <c r="D276" s="70"/>
      <c r="E276" s="70"/>
      <c r="F276" s="70"/>
      <c r="G276" s="70"/>
    </row>
    <row r="277">
      <c r="A277" s="70"/>
      <c r="B277" s="61"/>
      <c r="C277" s="70"/>
      <c r="D277" s="70"/>
      <c r="E277" s="70"/>
      <c r="F277" s="70"/>
      <c r="G277" s="70"/>
    </row>
    <row r="278">
      <c r="A278" s="70"/>
      <c r="B278" s="61"/>
      <c r="C278" s="70"/>
      <c r="D278" s="70"/>
      <c r="E278" s="70"/>
      <c r="F278" s="70"/>
      <c r="G278" s="70"/>
    </row>
    <row r="279">
      <c r="A279" s="70"/>
      <c r="B279" s="61"/>
      <c r="C279" s="70"/>
      <c r="D279" s="70"/>
      <c r="E279" s="70"/>
      <c r="F279" s="70"/>
      <c r="G279" s="70"/>
    </row>
    <row r="280">
      <c r="A280" s="70"/>
      <c r="B280" s="61"/>
      <c r="C280" s="70"/>
      <c r="D280" s="70"/>
      <c r="E280" s="70"/>
      <c r="F280" s="70"/>
      <c r="G280" s="70"/>
    </row>
    <row r="281">
      <c r="A281" s="70"/>
      <c r="B281" s="61"/>
      <c r="C281" s="70"/>
      <c r="D281" s="70"/>
      <c r="E281" s="70"/>
      <c r="F281" s="70"/>
      <c r="G281" s="70"/>
    </row>
    <row r="282">
      <c r="A282" s="70"/>
      <c r="B282" s="61"/>
      <c r="C282" s="70"/>
      <c r="D282" s="70"/>
      <c r="E282" s="70"/>
      <c r="F282" s="70"/>
      <c r="G282" s="70"/>
    </row>
    <row r="283">
      <c r="A283" s="70"/>
      <c r="B283" s="61"/>
      <c r="C283" s="70"/>
      <c r="D283" s="70"/>
      <c r="E283" s="70"/>
      <c r="F283" s="70"/>
      <c r="G283" s="70"/>
    </row>
    <row r="284">
      <c r="A284" s="70"/>
      <c r="B284" s="61"/>
      <c r="C284" s="70"/>
      <c r="D284" s="70"/>
      <c r="E284" s="70"/>
      <c r="F284" s="70"/>
      <c r="G284" s="70"/>
    </row>
    <row r="285">
      <c r="A285" s="70"/>
      <c r="B285" s="61"/>
      <c r="C285" s="70"/>
      <c r="D285" s="70"/>
      <c r="E285" s="70"/>
      <c r="F285" s="70"/>
      <c r="G285" s="70"/>
    </row>
    <row r="286">
      <c r="A286" s="70"/>
      <c r="B286" s="61"/>
      <c r="C286" s="70"/>
      <c r="D286" s="70"/>
      <c r="E286" s="70"/>
      <c r="F286" s="70"/>
      <c r="G286" s="70"/>
    </row>
    <row r="287">
      <c r="A287" s="70"/>
      <c r="B287" s="61"/>
      <c r="C287" s="70"/>
      <c r="D287" s="70"/>
      <c r="E287" s="70"/>
      <c r="F287" s="70"/>
      <c r="G287" s="70"/>
    </row>
    <row r="288">
      <c r="A288" s="70"/>
      <c r="B288" s="61"/>
      <c r="C288" s="70"/>
      <c r="D288" s="70"/>
      <c r="E288" s="70"/>
      <c r="F288" s="70"/>
      <c r="G288" s="70"/>
    </row>
    <row r="289">
      <c r="A289" s="70"/>
      <c r="B289" s="61"/>
      <c r="C289" s="70"/>
      <c r="D289" s="70"/>
      <c r="E289" s="70"/>
      <c r="F289" s="70"/>
      <c r="G289" s="70"/>
    </row>
    <row r="290">
      <c r="A290" s="70"/>
      <c r="B290" s="61"/>
      <c r="C290" s="70"/>
      <c r="D290" s="70"/>
      <c r="E290" s="70"/>
      <c r="F290" s="70"/>
      <c r="G290" s="70"/>
    </row>
    <row r="291">
      <c r="A291" s="70"/>
      <c r="B291" s="61"/>
      <c r="C291" s="70"/>
      <c r="D291" s="70"/>
      <c r="E291" s="70"/>
      <c r="F291" s="70"/>
      <c r="G291" s="70"/>
    </row>
    <row r="292">
      <c r="A292" s="70"/>
      <c r="B292" s="61"/>
      <c r="C292" s="70"/>
      <c r="D292" s="70"/>
      <c r="E292" s="70"/>
      <c r="F292" s="70"/>
      <c r="G292" s="70"/>
    </row>
    <row r="293">
      <c r="A293" s="70"/>
      <c r="B293" s="61"/>
      <c r="C293" s="70"/>
      <c r="D293" s="70"/>
      <c r="E293" s="70"/>
      <c r="F293" s="70"/>
      <c r="G293" s="70"/>
    </row>
    <row r="294">
      <c r="A294" s="70"/>
      <c r="B294" s="61"/>
      <c r="C294" s="70"/>
      <c r="D294" s="70"/>
      <c r="E294" s="70"/>
      <c r="F294" s="70"/>
      <c r="G294" s="70"/>
    </row>
    <row r="295">
      <c r="A295" s="70"/>
      <c r="B295" s="61"/>
      <c r="C295" s="70"/>
      <c r="D295" s="70"/>
      <c r="E295" s="70"/>
      <c r="F295" s="70"/>
      <c r="G295" s="70"/>
    </row>
    <row r="296">
      <c r="A296" s="70"/>
      <c r="B296" s="61"/>
      <c r="C296" s="70"/>
      <c r="D296" s="70"/>
      <c r="E296" s="70"/>
      <c r="F296" s="70"/>
      <c r="G296" s="70"/>
    </row>
    <row r="297">
      <c r="A297" s="70"/>
      <c r="B297" s="61"/>
      <c r="C297" s="70"/>
      <c r="D297" s="70"/>
      <c r="E297" s="70"/>
      <c r="F297" s="70"/>
      <c r="G297" s="70"/>
    </row>
    <row r="298">
      <c r="A298" s="70"/>
      <c r="B298" s="61"/>
      <c r="C298" s="70"/>
      <c r="D298" s="70"/>
      <c r="E298" s="70"/>
      <c r="F298" s="70"/>
      <c r="G298" s="70"/>
    </row>
    <row r="299">
      <c r="A299" s="70"/>
      <c r="B299" s="61"/>
      <c r="C299" s="70"/>
      <c r="D299" s="70"/>
      <c r="E299" s="70"/>
      <c r="F299" s="70"/>
      <c r="G299" s="70"/>
    </row>
    <row r="300">
      <c r="A300" s="70"/>
      <c r="B300" s="61"/>
      <c r="C300" s="70"/>
      <c r="D300" s="70"/>
      <c r="E300" s="70"/>
      <c r="F300" s="70"/>
      <c r="G300" s="70"/>
    </row>
    <row r="301">
      <c r="A301" s="70"/>
      <c r="B301" s="61"/>
      <c r="C301" s="70"/>
      <c r="D301" s="70"/>
      <c r="E301" s="70"/>
      <c r="F301" s="70"/>
      <c r="G301" s="70"/>
    </row>
    <row r="302">
      <c r="A302" s="70"/>
      <c r="B302" s="61"/>
      <c r="C302" s="70"/>
      <c r="D302" s="70"/>
      <c r="E302" s="70"/>
      <c r="F302" s="70"/>
      <c r="G302" s="70"/>
    </row>
    <row r="303">
      <c r="A303" s="70"/>
      <c r="B303" s="61"/>
      <c r="C303" s="70"/>
      <c r="D303" s="70"/>
      <c r="E303" s="70"/>
      <c r="F303" s="70"/>
      <c r="G303" s="70"/>
    </row>
    <row r="304">
      <c r="A304" s="70"/>
      <c r="B304" s="61"/>
      <c r="C304" s="70"/>
      <c r="D304" s="70"/>
      <c r="E304" s="70"/>
      <c r="F304" s="70"/>
      <c r="G304" s="70"/>
    </row>
    <row r="305">
      <c r="A305" s="70"/>
      <c r="B305" s="61"/>
      <c r="C305" s="70"/>
      <c r="D305" s="70"/>
      <c r="E305" s="70"/>
      <c r="F305" s="70"/>
      <c r="G305" s="70"/>
    </row>
    <row r="306">
      <c r="A306" s="70"/>
      <c r="B306" s="61"/>
      <c r="C306" s="70"/>
      <c r="D306" s="70"/>
      <c r="E306" s="70"/>
      <c r="F306" s="70"/>
      <c r="G306" s="70"/>
    </row>
    <row r="307">
      <c r="A307" s="70"/>
      <c r="B307" s="61"/>
      <c r="C307" s="70"/>
      <c r="D307" s="70"/>
      <c r="E307" s="70"/>
      <c r="F307" s="70"/>
      <c r="G307" s="70"/>
    </row>
    <row r="308">
      <c r="A308" s="70"/>
      <c r="B308" s="61"/>
      <c r="C308" s="70"/>
      <c r="D308" s="70"/>
      <c r="E308" s="70"/>
      <c r="F308" s="70"/>
      <c r="G308" s="70"/>
    </row>
    <row r="309">
      <c r="A309" s="70"/>
      <c r="B309" s="61"/>
      <c r="C309" s="70"/>
      <c r="D309" s="70"/>
      <c r="E309" s="70"/>
      <c r="F309" s="70"/>
      <c r="G309" s="70"/>
    </row>
    <row r="310">
      <c r="A310" s="70"/>
      <c r="B310" s="61"/>
      <c r="C310" s="70"/>
      <c r="D310" s="70"/>
      <c r="E310" s="70"/>
      <c r="F310" s="70"/>
      <c r="G310" s="70"/>
    </row>
    <row r="311">
      <c r="A311" s="70"/>
      <c r="B311" s="61"/>
      <c r="C311" s="70"/>
      <c r="D311" s="70"/>
      <c r="E311" s="70"/>
      <c r="F311" s="70"/>
      <c r="G311" s="70"/>
    </row>
    <row r="312">
      <c r="A312" s="70"/>
      <c r="B312" s="61"/>
      <c r="C312" s="70"/>
      <c r="D312" s="70"/>
      <c r="E312" s="70"/>
      <c r="F312" s="70"/>
      <c r="G312" s="70"/>
    </row>
    <row r="313">
      <c r="A313" s="70"/>
      <c r="B313" s="61"/>
      <c r="C313" s="70"/>
      <c r="D313" s="70"/>
      <c r="E313" s="70"/>
      <c r="F313" s="70"/>
      <c r="G313" s="70"/>
    </row>
    <row r="314">
      <c r="A314" s="70"/>
      <c r="B314" s="61"/>
      <c r="C314" s="70"/>
      <c r="D314" s="70"/>
      <c r="E314" s="70"/>
      <c r="F314" s="70"/>
      <c r="G314" s="70"/>
    </row>
    <row r="315">
      <c r="A315" s="70"/>
      <c r="B315" s="61"/>
      <c r="C315" s="70"/>
      <c r="D315" s="70"/>
      <c r="E315" s="70"/>
      <c r="F315" s="70"/>
      <c r="G315" s="70"/>
    </row>
    <row r="316">
      <c r="A316" s="70"/>
      <c r="B316" s="61"/>
      <c r="C316" s="70"/>
      <c r="D316" s="70"/>
      <c r="E316" s="70"/>
      <c r="F316" s="70"/>
      <c r="G316" s="70"/>
    </row>
    <row r="317">
      <c r="A317" s="70"/>
      <c r="B317" s="61"/>
      <c r="C317" s="70"/>
      <c r="D317" s="70"/>
      <c r="E317" s="70"/>
      <c r="F317" s="70"/>
      <c r="G317" s="70"/>
    </row>
    <row r="318">
      <c r="A318" s="70"/>
      <c r="B318" s="61"/>
      <c r="C318" s="70"/>
      <c r="D318" s="70"/>
      <c r="E318" s="70"/>
      <c r="F318" s="70"/>
      <c r="G318" s="70"/>
    </row>
    <row r="319">
      <c r="A319" s="70"/>
      <c r="B319" s="61"/>
      <c r="C319" s="70"/>
      <c r="D319" s="70"/>
      <c r="E319" s="70"/>
      <c r="F319" s="70"/>
      <c r="G319" s="70"/>
    </row>
    <row r="320">
      <c r="A320" s="70"/>
      <c r="B320" s="61"/>
      <c r="C320" s="70"/>
      <c r="D320" s="70"/>
      <c r="E320" s="70"/>
      <c r="F320" s="70"/>
      <c r="G320" s="70"/>
    </row>
    <row r="321">
      <c r="A321" s="70"/>
      <c r="B321" s="61"/>
      <c r="C321" s="70"/>
      <c r="D321" s="70"/>
      <c r="E321" s="70"/>
      <c r="F321" s="70"/>
      <c r="G321" s="70"/>
    </row>
    <row r="322">
      <c r="A322" s="70"/>
      <c r="B322" s="61"/>
      <c r="C322" s="70"/>
      <c r="D322" s="70"/>
      <c r="E322" s="70"/>
      <c r="F322" s="70"/>
      <c r="G322" s="70"/>
    </row>
    <row r="323">
      <c r="A323" s="70"/>
      <c r="B323" s="61"/>
      <c r="C323" s="70"/>
      <c r="D323" s="70"/>
      <c r="E323" s="70"/>
      <c r="F323" s="70"/>
      <c r="G323" s="70"/>
    </row>
    <row r="324">
      <c r="A324" s="70"/>
      <c r="B324" s="61"/>
      <c r="C324" s="70"/>
      <c r="D324" s="70"/>
      <c r="E324" s="70"/>
      <c r="F324" s="70"/>
      <c r="G324" s="70"/>
    </row>
    <row r="325">
      <c r="A325" s="70"/>
      <c r="B325" s="61"/>
      <c r="C325" s="70"/>
      <c r="D325" s="70"/>
      <c r="E325" s="70"/>
      <c r="F325" s="70"/>
      <c r="G325" s="70"/>
    </row>
    <row r="326">
      <c r="A326" s="70"/>
      <c r="B326" s="61"/>
      <c r="C326" s="70"/>
      <c r="D326" s="70"/>
      <c r="E326" s="70"/>
      <c r="F326" s="70"/>
      <c r="G326" s="70"/>
    </row>
    <row r="327">
      <c r="A327" s="70"/>
      <c r="B327" s="61"/>
      <c r="C327" s="70"/>
      <c r="D327" s="70"/>
      <c r="E327" s="70"/>
      <c r="F327" s="70"/>
      <c r="G327" s="70"/>
    </row>
    <row r="328">
      <c r="A328" s="70"/>
      <c r="B328" s="61"/>
      <c r="C328" s="70"/>
      <c r="D328" s="70"/>
      <c r="E328" s="70"/>
      <c r="F328" s="70"/>
      <c r="G328" s="70"/>
    </row>
    <row r="329">
      <c r="A329" s="70"/>
      <c r="B329" s="61"/>
      <c r="C329" s="70"/>
      <c r="D329" s="70"/>
      <c r="E329" s="70"/>
      <c r="F329" s="70"/>
      <c r="G329" s="70"/>
    </row>
    <row r="330">
      <c r="A330" s="70"/>
      <c r="B330" s="61"/>
      <c r="C330" s="70"/>
      <c r="D330" s="70"/>
      <c r="E330" s="70"/>
      <c r="F330" s="70"/>
      <c r="G330" s="70"/>
    </row>
    <row r="331">
      <c r="A331" s="70"/>
      <c r="B331" s="61"/>
      <c r="C331" s="70"/>
      <c r="D331" s="70"/>
      <c r="E331" s="70"/>
      <c r="F331" s="70"/>
      <c r="G331" s="70"/>
    </row>
    <row r="332">
      <c r="A332" s="70"/>
      <c r="B332" s="61"/>
      <c r="C332" s="70"/>
      <c r="D332" s="70"/>
      <c r="E332" s="70"/>
      <c r="F332" s="70"/>
      <c r="G332" s="70"/>
    </row>
    <row r="333">
      <c r="A333" s="70"/>
      <c r="B333" s="61"/>
      <c r="C333" s="70"/>
      <c r="D333" s="70"/>
      <c r="E333" s="70"/>
      <c r="F333" s="70"/>
      <c r="G333" s="70"/>
    </row>
    <row r="334">
      <c r="A334" s="70"/>
      <c r="B334" s="61"/>
      <c r="C334" s="70"/>
      <c r="D334" s="70"/>
      <c r="E334" s="70"/>
      <c r="F334" s="70"/>
      <c r="G334" s="70"/>
    </row>
    <row r="335">
      <c r="A335" s="70"/>
      <c r="B335" s="61"/>
      <c r="C335" s="70"/>
      <c r="D335" s="70"/>
      <c r="E335" s="70"/>
      <c r="F335" s="70"/>
      <c r="G335" s="70"/>
    </row>
    <row r="336">
      <c r="A336" s="70"/>
      <c r="B336" s="61"/>
      <c r="C336" s="70"/>
      <c r="D336" s="70"/>
      <c r="E336" s="70"/>
      <c r="F336" s="70"/>
      <c r="G336" s="70"/>
    </row>
    <row r="337">
      <c r="A337" s="70"/>
      <c r="B337" s="61"/>
      <c r="C337" s="70"/>
      <c r="D337" s="70"/>
      <c r="E337" s="70"/>
      <c r="F337" s="70"/>
      <c r="G337" s="70"/>
    </row>
    <row r="338">
      <c r="A338" s="70"/>
      <c r="B338" s="61"/>
      <c r="C338" s="70"/>
      <c r="D338" s="70"/>
      <c r="E338" s="70"/>
      <c r="F338" s="70"/>
      <c r="G338" s="70"/>
    </row>
    <row r="339">
      <c r="A339" s="70"/>
      <c r="B339" s="61"/>
      <c r="C339" s="70"/>
      <c r="D339" s="70"/>
      <c r="E339" s="70"/>
      <c r="F339" s="70"/>
      <c r="G339" s="70"/>
    </row>
    <row r="340">
      <c r="A340" s="70"/>
      <c r="B340" s="61"/>
      <c r="C340" s="70"/>
      <c r="D340" s="70"/>
      <c r="E340" s="70"/>
      <c r="F340" s="70"/>
      <c r="G340" s="70"/>
    </row>
    <row r="341">
      <c r="A341" s="70"/>
      <c r="B341" s="61"/>
      <c r="C341" s="70"/>
      <c r="D341" s="70"/>
      <c r="E341" s="70"/>
      <c r="F341" s="70"/>
      <c r="G341" s="70"/>
    </row>
    <row r="342">
      <c r="A342" s="70"/>
      <c r="B342" s="61"/>
      <c r="C342" s="70"/>
      <c r="D342" s="70"/>
      <c r="E342" s="70"/>
      <c r="F342" s="70"/>
      <c r="G342" s="70"/>
    </row>
    <row r="343">
      <c r="A343" s="70"/>
      <c r="B343" s="61"/>
      <c r="C343" s="70"/>
      <c r="D343" s="70"/>
      <c r="E343" s="70"/>
      <c r="F343" s="70"/>
      <c r="G343" s="70"/>
    </row>
    <row r="344">
      <c r="A344" s="70"/>
      <c r="B344" s="61"/>
      <c r="C344" s="70"/>
      <c r="D344" s="70"/>
      <c r="E344" s="70"/>
      <c r="F344" s="70"/>
      <c r="G344" s="70"/>
    </row>
    <row r="345">
      <c r="A345" s="70"/>
      <c r="B345" s="61"/>
      <c r="C345" s="70"/>
      <c r="D345" s="70"/>
      <c r="E345" s="70"/>
      <c r="F345" s="70"/>
      <c r="G345" s="70"/>
    </row>
    <row r="346">
      <c r="A346" s="70"/>
      <c r="B346" s="61"/>
      <c r="C346" s="70"/>
      <c r="D346" s="70"/>
      <c r="E346" s="70"/>
      <c r="F346" s="70"/>
      <c r="G346" s="70"/>
    </row>
    <row r="347">
      <c r="A347" s="70"/>
      <c r="B347" s="61"/>
      <c r="C347" s="70"/>
      <c r="D347" s="70"/>
      <c r="E347" s="70"/>
      <c r="F347" s="70"/>
      <c r="G347" s="70"/>
    </row>
    <row r="348">
      <c r="A348" s="70"/>
      <c r="B348" s="61"/>
      <c r="C348" s="70"/>
      <c r="D348" s="70"/>
      <c r="E348" s="70"/>
      <c r="F348" s="70"/>
      <c r="G348" s="70"/>
    </row>
    <row r="349">
      <c r="A349" s="70"/>
      <c r="B349" s="61"/>
      <c r="C349" s="70"/>
      <c r="D349" s="70"/>
      <c r="E349" s="70"/>
      <c r="F349" s="70"/>
      <c r="G349" s="70"/>
    </row>
    <row r="350">
      <c r="A350" s="70"/>
      <c r="B350" s="61"/>
      <c r="C350" s="70"/>
      <c r="D350" s="70"/>
      <c r="E350" s="70"/>
      <c r="F350" s="70"/>
      <c r="G350" s="70"/>
    </row>
    <row r="351">
      <c r="A351" s="70"/>
      <c r="B351" s="61"/>
      <c r="C351" s="70"/>
      <c r="D351" s="70"/>
      <c r="E351" s="70"/>
      <c r="F351" s="70"/>
      <c r="G351" s="70"/>
    </row>
    <row r="352">
      <c r="A352" s="70"/>
      <c r="B352" s="61"/>
      <c r="C352" s="70"/>
      <c r="D352" s="70"/>
      <c r="E352" s="70"/>
      <c r="F352" s="70"/>
      <c r="G352" s="70"/>
    </row>
    <row r="353">
      <c r="A353" s="70"/>
      <c r="B353" s="61"/>
      <c r="C353" s="70"/>
      <c r="D353" s="70"/>
      <c r="E353" s="70"/>
      <c r="F353" s="70"/>
      <c r="G353" s="70"/>
    </row>
    <row r="354">
      <c r="A354" s="70"/>
      <c r="B354" s="61"/>
      <c r="C354" s="70"/>
      <c r="D354" s="70"/>
      <c r="E354" s="70"/>
      <c r="F354" s="70"/>
      <c r="G354" s="70"/>
    </row>
    <row r="355">
      <c r="A355" s="70"/>
      <c r="B355" s="61"/>
      <c r="C355" s="70"/>
      <c r="D355" s="70"/>
      <c r="E355" s="70"/>
      <c r="F355" s="70"/>
      <c r="G355" s="70"/>
    </row>
    <row r="356">
      <c r="A356" s="70"/>
      <c r="B356" s="61"/>
      <c r="C356" s="70"/>
      <c r="D356" s="70"/>
      <c r="E356" s="70"/>
      <c r="F356" s="70"/>
      <c r="G356" s="70"/>
    </row>
    <row r="357">
      <c r="A357" s="70"/>
      <c r="B357" s="61"/>
      <c r="C357" s="70"/>
      <c r="D357" s="70"/>
      <c r="E357" s="70"/>
      <c r="F357" s="70"/>
      <c r="G357" s="70"/>
    </row>
    <row r="358">
      <c r="A358" s="70"/>
      <c r="B358" s="61"/>
      <c r="C358" s="70"/>
      <c r="D358" s="70"/>
      <c r="E358" s="70"/>
      <c r="F358" s="70"/>
      <c r="G358" s="70"/>
    </row>
    <row r="359">
      <c r="A359" s="70"/>
      <c r="B359" s="61"/>
      <c r="C359" s="70"/>
      <c r="D359" s="70"/>
      <c r="E359" s="70"/>
      <c r="F359" s="70"/>
      <c r="G359" s="70"/>
    </row>
    <row r="360">
      <c r="A360" s="70"/>
      <c r="B360" s="61"/>
      <c r="C360" s="70"/>
      <c r="D360" s="70"/>
      <c r="E360" s="70"/>
      <c r="F360" s="70"/>
      <c r="G360" s="70"/>
    </row>
    <row r="361">
      <c r="A361" s="70"/>
      <c r="B361" s="61"/>
      <c r="C361" s="70"/>
      <c r="D361" s="70"/>
      <c r="E361" s="70"/>
      <c r="F361" s="70"/>
      <c r="G361" s="70"/>
    </row>
    <row r="362">
      <c r="A362" s="70"/>
      <c r="B362" s="61"/>
      <c r="C362" s="70"/>
      <c r="D362" s="70"/>
      <c r="E362" s="70"/>
      <c r="F362" s="70"/>
      <c r="G362" s="70"/>
    </row>
    <row r="363">
      <c r="A363" s="70"/>
      <c r="B363" s="61"/>
      <c r="C363" s="70"/>
      <c r="D363" s="70"/>
      <c r="E363" s="70"/>
      <c r="F363" s="70"/>
      <c r="G363" s="70"/>
    </row>
    <row r="364">
      <c r="A364" s="70"/>
      <c r="B364" s="61"/>
      <c r="C364" s="70"/>
      <c r="D364" s="70"/>
      <c r="E364" s="70"/>
      <c r="F364" s="70"/>
      <c r="G364" s="70"/>
    </row>
    <row r="365">
      <c r="A365" s="70"/>
      <c r="B365" s="61"/>
      <c r="C365" s="70"/>
      <c r="D365" s="70"/>
      <c r="E365" s="70"/>
      <c r="F365" s="70"/>
      <c r="G365" s="70"/>
    </row>
    <row r="366">
      <c r="A366" s="70"/>
      <c r="B366" s="61"/>
      <c r="C366" s="70"/>
      <c r="D366" s="70"/>
      <c r="E366" s="70"/>
      <c r="F366" s="70"/>
      <c r="G366" s="70"/>
    </row>
    <row r="367">
      <c r="A367" s="70"/>
      <c r="B367" s="61"/>
      <c r="C367" s="70"/>
      <c r="D367" s="70"/>
      <c r="E367" s="70"/>
      <c r="F367" s="70"/>
      <c r="G367" s="70"/>
    </row>
    <row r="368">
      <c r="A368" s="70"/>
      <c r="B368" s="61"/>
      <c r="C368" s="70"/>
      <c r="D368" s="70"/>
      <c r="E368" s="70"/>
      <c r="F368" s="70"/>
      <c r="G368" s="70"/>
    </row>
    <row r="369">
      <c r="A369" s="70"/>
      <c r="B369" s="61"/>
      <c r="C369" s="70"/>
      <c r="D369" s="70"/>
      <c r="E369" s="70"/>
      <c r="F369" s="70"/>
      <c r="G369" s="70"/>
    </row>
    <row r="370">
      <c r="A370" s="70"/>
      <c r="B370" s="61"/>
      <c r="C370" s="70"/>
      <c r="D370" s="70"/>
      <c r="E370" s="70"/>
      <c r="F370" s="70"/>
      <c r="G370" s="70"/>
    </row>
    <row r="371">
      <c r="A371" s="70"/>
      <c r="B371" s="61"/>
      <c r="C371" s="70"/>
      <c r="D371" s="70"/>
      <c r="E371" s="70"/>
      <c r="F371" s="70"/>
      <c r="G371" s="70"/>
    </row>
    <row r="372">
      <c r="A372" s="70"/>
      <c r="B372" s="61"/>
      <c r="C372" s="70"/>
      <c r="D372" s="70"/>
      <c r="E372" s="70"/>
      <c r="F372" s="70"/>
      <c r="G372" s="70"/>
    </row>
    <row r="373">
      <c r="A373" s="70"/>
      <c r="B373" s="61"/>
      <c r="C373" s="70"/>
      <c r="D373" s="70"/>
      <c r="E373" s="70"/>
      <c r="F373" s="70"/>
      <c r="G373" s="70"/>
    </row>
    <row r="374">
      <c r="A374" s="70"/>
      <c r="B374" s="61"/>
      <c r="C374" s="70"/>
      <c r="D374" s="70"/>
      <c r="E374" s="70"/>
      <c r="F374" s="70"/>
      <c r="G374" s="70"/>
    </row>
    <row r="375">
      <c r="A375" s="70"/>
      <c r="B375" s="61"/>
      <c r="C375" s="70"/>
      <c r="D375" s="70"/>
      <c r="E375" s="70"/>
      <c r="F375" s="70"/>
      <c r="G375" s="70"/>
    </row>
    <row r="376">
      <c r="A376" s="70"/>
      <c r="B376" s="61"/>
      <c r="C376" s="70"/>
      <c r="D376" s="70"/>
      <c r="E376" s="70"/>
      <c r="F376" s="70"/>
      <c r="G376" s="70"/>
    </row>
    <row r="377">
      <c r="A377" s="70"/>
      <c r="B377" s="61"/>
      <c r="C377" s="70"/>
      <c r="D377" s="70"/>
      <c r="E377" s="70"/>
      <c r="F377" s="70"/>
      <c r="G377" s="70"/>
    </row>
    <row r="378">
      <c r="A378" s="70"/>
      <c r="B378" s="61"/>
      <c r="C378" s="70"/>
      <c r="D378" s="70"/>
      <c r="E378" s="70"/>
      <c r="F378" s="70"/>
      <c r="G378" s="70"/>
    </row>
    <row r="379">
      <c r="A379" s="70"/>
      <c r="B379" s="61"/>
      <c r="C379" s="70"/>
      <c r="D379" s="70"/>
      <c r="E379" s="70"/>
      <c r="F379" s="70"/>
      <c r="G379" s="70"/>
    </row>
    <row r="380">
      <c r="A380" s="70"/>
      <c r="B380" s="61"/>
      <c r="C380" s="70"/>
      <c r="D380" s="70"/>
      <c r="E380" s="70"/>
      <c r="F380" s="70"/>
      <c r="G380" s="70"/>
    </row>
    <row r="381">
      <c r="A381" s="70"/>
      <c r="B381" s="61"/>
      <c r="C381" s="70"/>
      <c r="D381" s="70"/>
      <c r="E381" s="70"/>
      <c r="F381" s="70"/>
      <c r="G381" s="70"/>
    </row>
    <row r="382">
      <c r="A382" s="70"/>
      <c r="B382" s="61"/>
      <c r="C382" s="70"/>
      <c r="D382" s="70"/>
      <c r="E382" s="70"/>
      <c r="F382" s="70"/>
      <c r="G382" s="70"/>
    </row>
    <row r="383">
      <c r="A383" s="70"/>
      <c r="B383" s="61"/>
      <c r="C383" s="70"/>
      <c r="D383" s="70"/>
      <c r="E383" s="70"/>
      <c r="F383" s="70"/>
      <c r="G383" s="70"/>
    </row>
    <row r="384">
      <c r="A384" s="70"/>
      <c r="B384" s="61"/>
      <c r="C384" s="70"/>
      <c r="D384" s="70"/>
      <c r="E384" s="70"/>
      <c r="F384" s="70"/>
      <c r="G384" s="70"/>
    </row>
    <row r="385">
      <c r="A385" s="70"/>
      <c r="B385" s="61"/>
      <c r="C385" s="70"/>
      <c r="D385" s="70"/>
      <c r="E385" s="70"/>
      <c r="F385" s="70"/>
      <c r="G385" s="70"/>
    </row>
    <row r="386">
      <c r="A386" s="70"/>
      <c r="B386" s="61"/>
      <c r="C386" s="70"/>
      <c r="D386" s="70"/>
      <c r="E386" s="70"/>
      <c r="F386" s="70"/>
      <c r="G386" s="70"/>
    </row>
    <row r="387">
      <c r="A387" s="70"/>
      <c r="B387" s="61"/>
      <c r="C387" s="70"/>
      <c r="D387" s="70"/>
      <c r="E387" s="70"/>
      <c r="F387" s="70"/>
      <c r="G387" s="70"/>
    </row>
    <row r="388">
      <c r="A388" s="70"/>
      <c r="B388" s="61"/>
      <c r="C388" s="70"/>
      <c r="D388" s="70"/>
      <c r="E388" s="70"/>
      <c r="F388" s="70"/>
      <c r="G388" s="70"/>
    </row>
    <row r="389">
      <c r="A389" s="70"/>
      <c r="B389" s="61"/>
      <c r="C389" s="70"/>
      <c r="D389" s="70"/>
      <c r="E389" s="70"/>
      <c r="F389" s="70"/>
      <c r="G389" s="70"/>
    </row>
    <row r="390">
      <c r="A390" s="70"/>
      <c r="B390" s="61"/>
      <c r="C390" s="70"/>
      <c r="D390" s="70"/>
      <c r="E390" s="70"/>
      <c r="F390" s="70"/>
      <c r="G390" s="70"/>
    </row>
    <row r="391">
      <c r="A391" s="70"/>
      <c r="B391" s="61"/>
      <c r="C391" s="70"/>
      <c r="D391" s="70"/>
      <c r="E391" s="70"/>
      <c r="F391" s="70"/>
      <c r="G391" s="70"/>
    </row>
    <row r="392">
      <c r="A392" s="70"/>
      <c r="B392" s="61"/>
      <c r="C392" s="70"/>
      <c r="D392" s="70"/>
      <c r="E392" s="70"/>
      <c r="F392" s="70"/>
      <c r="G392" s="70"/>
    </row>
    <row r="393">
      <c r="A393" s="70"/>
      <c r="B393" s="61"/>
      <c r="C393" s="70"/>
      <c r="D393" s="70"/>
      <c r="E393" s="70"/>
      <c r="F393" s="70"/>
      <c r="G393" s="70"/>
    </row>
    <row r="394">
      <c r="A394" s="70"/>
      <c r="B394" s="61"/>
      <c r="C394" s="70"/>
      <c r="D394" s="70"/>
      <c r="E394" s="70"/>
      <c r="F394" s="70"/>
      <c r="G394" s="70"/>
    </row>
    <row r="395">
      <c r="A395" s="70"/>
      <c r="B395" s="61"/>
      <c r="C395" s="70"/>
      <c r="D395" s="70"/>
      <c r="E395" s="70"/>
      <c r="F395" s="70"/>
      <c r="G395" s="70"/>
    </row>
    <row r="396">
      <c r="A396" s="70"/>
      <c r="B396" s="61"/>
      <c r="C396" s="70"/>
      <c r="D396" s="70"/>
      <c r="E396" s="70"/>
      <c r="F396" s="70"/>
      <c r="G396" s="70"/>
    </row>
    <row r="397">
      <c r="A397" s="70"/>
      <c r="B397" s="61"/>
      <c r="C397" s="70"/>
      <c r="D397" s="70"/>
      <c r="E397" s="70"/>
      <c r="F397" s="70"/>
      <c r="G397" s="70"/>
    </row>
    <row r="398">
      <c r="A398" s="70"/>
      <c r="B398" s="61"/>
      <c r="C398" s="70"/>
      <c r="D398" s="70"/>
      <c r="E398" s="70"/>
      <c r="F398" s="70"/>
      <c r="G398" s="70"/>
    </row>
    <row r="399">
      <c r="A399" s="70"/>
      <c r="B399" s="61"/>
      <c r="C399" s="70"/>
      <c r="D399" s="70"/>
      <c r="E399" s="70"/>
      <c r="F399" s="70"/>
      <c r="G399" s="70"/>
    </row>
    <row r="400">
      <c r="A400" s="70"/>
      <c r="B400" s="61"/>
      <c r="C400" s="70"/>
      <c r="D400" s="70"/>
      <c r="E400" s="70"/>
      <c r="F400" s="70"/>
      <c r="G400" s="70"/>
    </row>
    <row r="401">
      <c r="A401" s="70"/>
      <c r="B401" s="61"/>
      <c r="C401" s="70"/>
      <c r="D401" s="70"/>
      <c r="E401" s="70"/>
      <c r="F401" s="70"/>
      <c r="G401" s="70"/>
    </row>
    <row r="402">
      <c r="A402" s="70"/>
      <c r="B402" s="61"/>
      <c r="C402" s="70"/>
      <c r="D402" s="70"/>
      <c r="E402" s="70"/>
      <c r="F402" s="70"/>
      <c r="G402" s="70"/>
    </row>
    <row r="403">
      <c r="A403" s="70"/>
      <c r="B403" s="61"/>
      <c r="C403" s="70"/>
      <c r="D403" s="70"/>
      <c r="E403" s="70"/>
      <c r="F403" s="70"/>
      <c r="G403" s="70"/>
    </row>
    <row r="404">
      <c r="A404" s="70"/>
      <c r="B404" s="61"/>
      <c r="C404" s="70"/>
      <c r="D404" s="70"/>
      <c r="E404" s="70"/>
      <c r="F404" s="70"/>
      <c r="G404" s="70"/>
    </row>
    <row r="405">
      <c r="A405" s="70"/>
      <c r="B405" s="61"/>
      <c r="C405" s="70"/>
      <c r="D405" s="70"/>
      <c r="E405" s="70"/>
      <c r="F405" s="70"/>
      <c r="G405" s="70"/>
    </row>
    <row r="406">
      <c r="A406" s="70"/>
      <c r="B406" s="61"/>
      <c r="C406" s="70"/>
      <c r="D406" s="70"/>
      <c r="E406" s="70"/>
      <c r="F406" s="70"/>
      <c r="G406" s="70"/>
    </row>
    <row r="407">
      <c r="A407" s="70"/>
      <c r="B407" s="61"/>
      <c r="C407" s="70"/>
      <c r="D407" s="70"/>
      <c r="E407" s="70"/>
      <c r="F407" s="70"/>
      <c r="G407" s="70"/>
    </row>
    <row r="408">
      <c r="A408" s="70"/>
      <c r="B408" s="61"/>
      <c r="C408" s="70"/>
      <c r="D408" s="70"/>
      <c r="E408" s="70"/>
      <c r="F408" s="70"/>
      <c r="G408" s="70"/>
    </row>
    <row r="409">
      <c r="A409" s="70"/>
      <c r="B409" s="61"/>
      <c r="C409" s="70"/>
      <c r="D409" s="70"/>
      <c r="E409" s="70"/>
      <c r="F409" s="70"/>
      <c r="G409" s="70"/>
    </row>
    <row r="410">
      <c r="A410" s="70"/>
      <c r="B410" s="61"/>
      <c r="C410" s="70"/>
      <c r="D410" s="70"/>
      <c r="E410" s="70"/>
      <c r="F410" s="70"/>
      <c r="G410" s="70"/>
    </row>
    <row r="411">
      <c r="A411" s="70"/>
      <c r="B411" s="61"/>
      <c r="C411" s="70"/>
      <c r="D411" s="70"/>
      <c r="E411" s="70"/>
      <c r="F411" s="70"/>
      <c r="G411" s="70"/>
    </row>
    <row r="412">
      <c r="A412" s="70"/>
      <c r="B412" s="61"/>
      <c r="C412" s="70"/>
      <c r="D412" s="70"/>
      <c r="E412" s="70"/>
      <c r="F412" s="70"/>
      <c r="G412" s="70"/>
    </row>
    <row r="413">
      <c r="A413" s="70"/>
      <c r="B413" s="61"/>
      <c r="C413" s="70"/>
      <c r="D413" s="70"/>
      <c r="E413" s="70"/>
      <c r="F413" s="70"/>
      <c r="G413" s="70"/>
    </row>
    <row r="414">
      <c r="A414" s="70"/>
      <c r="B414" s="61"/>
      <c r="C414" s="70"/>
      <c r="D414" s="70"/>
      <c r="E414" s="70"/>
      <c r="F414" s="70"/>
      <c r="G414" s="70"/>
    </row>
    <row r="415">
      <c r="A415" s="70"/>
      <c r="B415" s="61"/>
      <c r="C415" s="70"/>
      <c r="D415" s="70"/>
      <c r="E415" s="70"/>
      <c r="F415" s="70"/>
      <c r="G415" s="70"/>
    </row>
    <row r="416">
      <c r="A416" s="70"/>
      <c r="B416" s="61"/>
      <c r="C416" s="70"/>
      <c r="D416" s="70"/>
      <c r="E416" s="70"/>
      <c r="F416" s="70"/>
      <c r="G416" s="70"/>
    </row>
    <row r="417">
      <c r="A417" s="70"/>
      <c r="B417" s="61"/>
      <c r="C417" s="70"/>
      <c r="D417" s="70"/>
      <c r="E417" s="70"/>
      <c r="F417" s="70"/>
      <c r="G417" s="70"/>
    </row>
    <row r="418">
      <c r="A418" s="70"/>
      <c r="B418" s="61"/>
      <c r="C418" s="70"/>
      <c r="D418" s="70"/>
      <c r="E418" s="70"/>
      <c r="F418" s="70"/>
      <c r="G418" s="70"/>
    </row>
    <row r="419">
      <c r="A419" s="70"/>
      <c r="B419" s="61"/>
      <c r="C419" s="70"/>
      <c r="D419" s="70"/>
      <c r="E419" s="70"/>
      <c r="F419" s="70"/>
      <c r="G419" s="70"/>
    </row>
    <row r="420">
      <c r="A420" s="70"/>
      <c r="B420" s="61"/>
      <c r="C420" s="70"/>
      <c r="D420" s="70"/>
      <c r="E420" s="70"/>
      <c r="F420" s="70"/>
      <c r="G420" s="70"/>
    </row>
    <row r="421">
      <c r="A421" s="70"/>
      <c r="B421" s="61"/>
      <c r="C421" s="70"/>
      <c r="D421" s="70"/>
      <c r="E421" s="70"/>
      <c r="F421" s="70"/>
      <c r="G421" s="70"/>
    </row>
    <row r="422">
      <c r="A422" s="70"/>
      <c r="B422" s="61"/>
      <c r="C422" s="70"/>
      <c r="D422" s="70"/>
      <c r="E422" s="70"/>
      <c r="F422" s="70"/>
      <c r="G422" s="70"/>
    </row>
    <row r="423">
      <c r="A423" s="70"/>
      <c r="B423" s="61"/>
      <c r="C423" s="70"/>
      <c r="D423" s="70"/>
      <c r="E423" s="70"/>
      <c r="F423" s="70"/>
      <c r="G423" s="70"/>
    </row>
    <row r="424">
      <c r="A424" s="70"/>
      <c r="B424" s="61"/>
      <c r="C424" s="70"/>
      <c r="D424" s="70"/>
      <c r="E424" s="70"/>
      <c r="F424" s="70"/>
      <c r="G424" s="70"/>
    </row>
    <row r="425">
      <c r="A425" s="70"/>
      <c r="B425" s="61"/>
      <c r="C425" s="70"/>
      <c r="D425" s="70"/>
      <c r="E425" s="70"/>
      <c r="F425" s="70"/>
      <c r="G425" s="70"/>
    </row>
    <row r="426">
      <c r="A426" s="70"/>
      <c r="B426" s="61"/>
      <c r="C426" s="70"/>
      <c r="D426" s="70"/>
      <c r="E426" s="70"/>
      <c r="F426" s="70"/>
      <c r="G426" s="70"/>
    </row>
    <row r="427">
      <c r="A427" s="70"/>
      <c r="B427" s="61"/>
      <c r="C427" s="70"/>
      <c r="D427" s="70"/>
      <c r="E427" s="70"/>
      <c r="F427" s="70"/>
      <c r="G427" s="70"/>
    </row>
    <row r="428">
      <c r="A428" s="70"/>
      <c r="B428" s="61"/>
      <c r="C428" s="70"/>
      <c r="D428" s="70"/>
      <c r="E428" s="70"/>
      <c r="F428" s="70"/>
      <c r="G428" s="70"/>
    </row>
    <row r="429">
      <c r="A429" s="70"/>
      <c r="B429" s="61"/>
      <c r="C429" s="70"/>
      <c r="D429" s="70"/>
      <c r="E429" s="70"/>
      <c r="F429" s="70"/>
      <c r="G429" s="70"/>
    </row>
    <row r="430">
      <c r="A430" s="70"/>
      <c r="B430" s="61"/>
      <c r="C430" s="70"/>
      <c r="D430" s="70"/>
      <c r="E430" s="70"/>
      <c r="F430" s="70"/>
      <c r="G430" s="70"/>
    </row>
    <row r="431">
      <c r="A431" s="70"/>
      <c r="B431" s="61"/>
      <c r="C431" s="70"/>
      <c r="D431" s="70"/>
      <c r="E431" s="70"/>
      <c r="F431" s="70"/>
      <c r="G431" s="70"/>
    </row>
    <row r="432">
      <c r="A432" s="70"/>
      <c r="B432" s="61"/>
      <c r="C432" s="70"/>
      <c r="D432" s="70"/>
      <c r="E432" s="70"/>
      <c r="F432" s="70"/>
      <c r="G432" s="70"/>
    </row>
    <row r="433">
      <c r="A433" s="70"/>
      <c r="B433" s="61"/>
      <c r="C433" s="70"/>
      <c r="D433" s="70"/>
      <c r="E433" s="70"/>
      <c r="F433" s="70"/>
      <c r="G433" s="70"/>
    </row>
    <row r="434">
      <c r="A434" s="70"/>
      <c r="B434" s="61"/>
      <c r="C434" s="70"/>
      <c r="D434" s="70"/>
      <c r="E434" s="70"/>
      <c r="F434" s="70"/>
      <c r="G434" s="70"/>
    </row>
    <row r="435">
      <c r="A435" s="70"/>
      <c r="B435" s="61"/>
      <c r="C435" s="70"/>
      <c r="D435" s="70"/>
      <c r="E435" s="70"/>
      <c r="F435" s="70"/>
      <c r="G435" s="70"/>
    </row>
    <row r="436">
      <c r="A436" s="70"/>
      <c r="B436" s="61"/>
      <c r="C436" s="70"/>
      <c r="D436" s="70"/>
      <c r="E436" s="70"/>
      <c r="F436" s="70"/>
      <c r="G436" s="70"/>
    </row>
    <row r="437">
      <c r="A437" s="70"/>
      <c r="B437" s="61"/>
      <c r="C437" s="70"/>
      <c r="D437" s="70"/>
      <c r="E437" s="70"/>
      <c r="F437" s="70"/>
      <c r="G437" s="70"/>
    </row>
    <row r="438">
      <c r="A438" s="70"/>
      <c r="B438" s="61"/>
      <c r="C438" s="70"/>
      <c r="D438" s="70"/>
      <c r="E438" s="70"/>
      <c r="F438" s="70"/>
      <c r="G438" s="70"/>
    </row>
    <row r="439">
      <c r="A439" s="70"/>
      <c r="B439" s="61"/>
      <c r="C439" s="70"/>
      <c r="D439" s="70"/>
      <c r="E439" s="70"/>
      <c r="F439" s="70"/>
      <c r="G439" s="70"/>
    </row>
    <row r="440">
      <c r="A440" s="70"/>
      <c r="B440" s="61"/>
      <c r="C440" s="70"/>
      <c r="D440" s="70"/>
      <c r="E440" s="70"/>
      <c r="F440" s="70"/>
      <c r="G440" s="70"/>
    </row>
    <row r="441">
      <c r="A441" s="70"/>
      <c r="B441" s="61"/>
      <c r="C441" s="70"/>
      <c r="D441" s="70"/>
      <c r="E441" s="70"/>
      <c r="F441" s="70"/>
      <c r="G441" s="70"/>
    </row>
    <row r="442">
      <c r="A442" s="70"/>
      <c r="B442" s="61"/>
      <c r="C442" s="70"/>
      <c r="D442" s="70"/>
      <c r="E442" s="70"/>
      <c r="F442" s="70"/>
      <c r="G442" s="70"/>
    </row>
    <row r="443">
      <c r="A443" s="70"/>
      <c r="B443" s="61"/>
      <c r="C443" s="70"/>
      <c r="D443" s="70"/>
      <c r="E443" s="70"/>
      <c r="F443" s="70"/>
      <c r="G443" s="70"/>
    </row>
    <row r="444">
      <c r="A444" s="70"/>
      <c r="B444" s="61"/>
      <c r="C444" s="70"/>
      <c r="D444" s="70"/>
      <c r="E444" s="70"/>
      <c r="F444" s="70"/>
      <c r="G444" s="70"/>
    </row>
    <row r="445">
      <c r="A445" s="70"/>
      <c r="B445" s="61"/>
      <c r="C445" s="70"/>
      <c r="D445" s="70"/>
      <c r="E445" s="70"/>
      <c r="F445" s="70"/>
      <c r="G445" s="70"/>
    </row>
    <row r="446">
      <c r="A446" s="70"/>
      <c r="B446" s="61"/>
      <c r="C446" s="70"/>
      <c r="D446" s="70"/>
      <c r="E446" s="70"/>
      <c r="F446" s="70"/>
      <c r="G446" s="70"/>
    </row>
    <row r="447">
      <c r="A447" s="70"/>
      <c r="B447" s="61"/>
      <c r="C447" s="70"/>
      <c r="D447" s="70"/>
      <c r="E447" s="70"/>
      <c r="F447" s="70"/>
      <c r="G447" s="70"/>
    </row>
    <row r="448">
      <c r="A448" s="70"/>
      <c r="B448" s="61"/>
      <c r="C448" s="70"/>
      <c r="D448" s="70"/>
      <c r="E448" s="70"/>
      <c r="F448" s="70"/>
      <c r="G448" s="70"/>
    </row>
    <row r="449">
      <c r="A449" s="70"/>
      <c r="B449" s="61"/>
      <c r="C449" s="70"/>
      <c r="D449" s="70"/>
      <c r="E449" s="70"/>
      <c r="F449" s="70"/>
      <c r="G449" s="70"/>
    </row>
    <row r="450">
      <c r="A450" s="70"/>
      <c r="B450" s="61"/>
      <c r="C450" s="70"/>
      <c r="D450" s="70"/>
      <c r="E450" s="70"/>
      <c r="F450" s="70"/>
      <c r="G450" s="70"/>
    </row>
    <row r="451">
      <c r="A451" s="70"/>
      <c r="B451" s="61"/>
      <c r="C451" s="70"/>
      <c r="D451" s="70"/>
      <c r="E451" s="70"/>
      <c r="F451" s="70"/>
      <c r="G451" s="70"/>
    </row>
    <row r="452">
      <c r="A452" s="70"/>
      <c r="B452" s="61"/>
      <c r="C452" s="70"/>
      <c r="D452" s="70"/>
      <c r="E452" s="70"/>
      <c r="F452" s="70"/>
      <c r="G452" s="70"/>
    </row>
    <row r="453">
      <c r="A453" s="70"/>
      <c r="B453" s="61"/>
      <c r="C453" s="70"/>
      <c r="D453" s="70"/>
      <c r="E453" s="70"/>
      <c r="F453" s="70"/>
      <c r="G453" s="70"/>
    </row>
    <row r="454">
      <c r="A454" s="70"/>
      <c r="B454" s="61"/>
      <c r="C454" s="70"/>
      <c r="D454" s="70"/>
      <c r="E454" s="70"/>
      <c r="F454" s="70"/>
      <c r="G454" s="70"/>
    </row>
    <row r="455">
      <c r="A455" s="70"/>
      <c r="B455" s="61"/>
      <c r="C455" s="70"/>
      <c r="D455" s="70"/>
      <c r="E455" s="70"/>
      <c r="F455" s="70"/>
      <c r="G455" s="70"/>
    </row>
    <row r="456">
      <c r="A456" s="70"/>
      <c r="B456" s="61"/>
      <c r="C456" s="70"/>
      <c r="D456" s="70"/>
      <c r="E456" s="70"/>
      <c r="F456" s="70"/>
      <c r="G456" s="70"/>
    </row>
    <row r="457">
      <c r="A457" s="70"/>
      <c r="B457" s="61"/>
      <c r="C457" s="70"/>
      <c r="D457" s="70"/>
      <c r="E457" s="70"/>
      <c r="F457" s="70"/>
      <c r="G457" s="70"/>
    </row>
    <row r="458">
      <c r="A458" s="70"/>
      <c r="B458" s="61"/>
      <c r="C458" s="70"/>
      <c r="D458" s="70"/>
      <c r="E458" s="70"/>
      <c r="F458" s="70"/>
      <c r="G458" s="70"/>
    </row>
    <row r="459">
      <c r="A459" s="70"/>
      <c r="B459" s="61"/>
      <c r="C459" s="70"/>
      <c r="D459" s="70"/>
      <c r="E459" s="70"/>
      <c r="F459" s="70"/>
      <c r="G459" s="70"/>
    </row>
    <row r="460">
      <c r="A460" s="70"/>
      <c r="B460" s="61"/>
      <c r="C460" s="70"/>
      <c r="D460" s="70"/>
      <c r="E460" s="70"/>
      <c r="F460" s="70"/>
      <c r="G460" s="70"/>
    </row>
    <row r="461">
      <c r="A461" s="70"/>
      <c r="B461" s="61"/>
      <c r="C461" s="70"/>
      <c r="D461" s="70"/>
      <c r="E461" s="70"/>
      <c r="F461" s="70"/>
      <c r="G461" s="70"/>
    </row>
    <row r="462">
      <c r="A462" s="70"/>
      <c r="B462" s="61"/>
      <c r="C462" s="70"/>
      <c r="D462" s="70"/>
      <c r="E462" s="70"/>
      <c r="F462" s="70"/>
      <c r="G462" s="70"/>
    </row>
    <row r="463">
      <c r="A463" s="70"/>
      <c r="B463" s="61"/>
      <c r="C463" s="70"/>
      <c r="D463" s="70"/>
      <c r="E463" s="70"/>
      <c r="F463" s="70"/>
      <c r="G463" s="70"/>
    </row>
    <row r="464">
      <c r="A464" s="70"/>
      <c r="B464" s="61"/>
      <c r="C464" s="70"/>
      <c r="D464" s="70"/>
      <c r="E464" s="70"/>
      <c r="F464" s="70"/>
      <c r="G464" s="70"/>
    </row>
    <row r="465">
      <c r="A465" s="70"/>
      <c r="B465" s="61"/>
      <c r="C465" s="70"/>
      <c r="D465" s="70"/>
      <c r="E465" s="70"/>
      <c r="F465" s="70"/>
      <c r="G465" s="70"/>
    </row>
    <row r="466">
      <c r="A466" s="70"/>
      <c r="B466" s="61"/>
      <c r="C466" s="70"/>
      <c r="D466" s="70"/>
      <c r="E466" s="70"/>
      <c r="F466" s="70"/>
      <c r="G466" s="70"/>
    </row>
    <row r="467">
      <c r="A467" s="70"/>
      <c r="B467" s="61"/>
      <c r="C467" s="70"/>
      <c r="D467" s="70"/>
      <c r="E467" s="70"/>
      <c r="F467" s="70"/>
      <c r="G467" s="70"/>
    </row>
    <row r="468">
      <c r="A468" s="70"/>
      <c r="B468" s="61"/>
      <c r="C468" s="70"/>
      <c r="D468" s="70"/>
      <c r="E468" s="70"/>
      <c r="F468" s="70"/>
      <c r="G468" s="70"/>
    </row>
    <row r="469">
      <c r="A469" s="70"/>
      <c r="B469" s="61"/>
      <c r="C469" s="70"/>
      <c r="D469" s="70"/>
      <c r="E469" s="70"/>
      <c r="F469" s="70"/>
      <c r="G469" s="70"/>
    </row>
    <row r="470">
      <c r="A470" s="70"/>
      <c r="B470" s="61"/>
      <c r="C470" s="70"/>
      <c r="D470" s="70"/>
      <c r="E470" s="70"/>
      <c r="F470" s="70"/>
      <c r="G470" s="70"/>
    </row>
    <row r="471">
      <c r="A471" s="70"/>
      <c r="B471" s="61"/>
      <c r="C471" s="70"/>
      <c r="D471" s="70"/>
      <c r="E471" s="70"/>
      <c r="F471" s="70"/>
      <c r="G471" s="70"/>
    </row>
    <row r="472">
      <c r="A472" s="70"/>
      <c r="B472" s="61"/>
      <c r="C472" s="70"/>
      <c r="D472" s="70"/>
      <c r="E472" s="70"/>
      <c r="F472" s="70"/>
      <c r="G472" s="70"/>
    </row>
    <row r="473">
      <c r="A473" s="70"/>
      <c r="B473" s="61"/>
      <c r="C473" s="70"/>
      <c r="D473" s="70"/>
      <c r="E473" s="70"/>
      <c r="F473" s="70"/>
      <c r="G473" s="70"/>
    </row>
    <row r="474">
      <c r="A474" s="70"/>
      <c r="B474" s="61"/>
      <c r="C474" s="70"/>
      <c r="D474" s="70"/>
      <c r="E474" s="70"/>
      <c r="F474" s="70"/>
      <c r="G474" s="70"/>
    </row>
    <row r="475">
      <c r="A475" s="70"/>
      <c r="B475" s="61"/>
      <c r="C475" s="70"/>
      <c r="D475" s="70"/>
      <c r="E475" s="70"/>
      <c r="F475" s="70"/>
      <c r="G475" s="70"/>
    </row>
    <row r="476">
      <c r="A476" s="70"/>
      <c r="B476" s="61"/>
      <c r="C476" s="70"/>
      <c r="D476" s="70"/>
      <c r="E476" s="70"/>
      <c r="F476" s="70"/>
      <c r="G476" s="70"/>
    </row>
    <row r="477">
      <c r="A477" s="70"/>
      <c r="B477" s="61"/>
      <c r="C477" s="70"/>
      <c r="D477" s="70"/>
      <c r="E477" s="70"/>
      <c r="F477" s="70"/>
      <c r="G477" s="70"/>
    </row>
    <row r="478">
      <c r="A478" s="70"/>
      <c r="B478" s="61"/>
      <c r="C478" s="70"/>
      <c r="D478" s="70"/>
      <c r="E478" s="70"/>
      <c r="F478" s="70"/>
      <c r="G478" s="70"/>
    </row>
    <row r="479">
      <c r="A479" s="70"/>
      <c r="B479" s="61"/>
      <c r="C479" s="70"/>
      <c r="D479" s="70"/>
      <c r="E479" s="70"/>
      <c r="F479" s="70"/>
      <c r="G479" s="70"/>
    </row>
    <row r="480">
      <c r="A480" s="70"/>
      <c r="B480" s="61"/>
      <c r="C480" s="70"/>
      <c r="D480" s="70"/>
      <c r="E480" s="70"/>
      <c r="F480" s="70"/>
      <c r="G480" s="70"/>
    </row>
    <row r="481">
      <c r="A481" s="70"/>
      <c r="B481" s="61"/>
      <c r="C481" s="70"/>
      <c r="D481" s="70"/>
      <c r="E481" s="70"/>
      <c r="F481" s="70"/>
      <c r="G481" s="70"/>
    </row>
    <row r="482">
      <c r="A482" s="70"/>
      <c r="B482" s="61"/>
      <c r="C482" s="70"/>
      <c r="D482" s="70"/>
      <c r="E482" s="70"/>
      <c r="F482" s="70"/>
      <c r="G482" s="70"/>
    </row>
    <row r="483">
      <c r="A483" s="70"/>
      <c r="B483" s="61"/>
      <c r="C483" s="70"/>
      <c r="D483" s="70"/>
      <c r="E483" s="70"/>
      <c r="F483" s="70"/>
      <c r="G483" s="70"/>
    </row>
    <row r="484">
      <c r="A484" s="70"/>
      <c r="B484" s="61"/>
      <c r="C484" s="70"/>
      <c r="D484" s="70"/>
      <c r="E484" s="70"/>
      <c r="F484" s="70"/>
      <c r="G484" s="70"/>
    </row>
    <row r="485">
      <c r="A485" s="70"/>
      <c r="B485" s="61"/>
      <c r="C485" s="70"/>
      <c r="D485" s="70"/>
      <c r="E485" s="70"/>
      <c r="F485" s="70"/>
      <c r="G485" s="70"/>
    </row>
    <row r="486">
      <c r="A486" s="70"/>
      <c r="B486" s="61"/>
      <c r="C486" s="70"/>
      <c r="D486" s="70"/>
      <c r="E486" s="70"/>
      <c r="F486" s="70"/>
      <c r="G486" s="70"/>
    </row>
    <row r="487">
      <c r="A487" s="70"/>
      <c r="B487" s="61"/>
      <c r="C487" s="70"/>
      <c r="D487" s="70"/>
      <c r="E487" s="70"/>
      <c r="F487" s="70"/>
      <c r="G487" s="70"/>
    </row>
    <row r="488">
      <c r="A488" s="70"/>
      <c r="B488" s="61"/>
      <c r="C488" s="70"/>
      <c r="D488" s="70"/>
      <c r="E488" s="70"/>
      <c r="F488" s="70"/>
      <c r="G488" s="70"/>
    </row>
    <row r="489">
      <c r="A489" s="70"/>
      <c r="B489" s="61"/>
      <c r="C489" s="70"/>
      <c r="D489" s="70"/>
      <c r="E489" s="70"/>
      <c r="F489" s="70"/>
      <c r="G489" s="70"/>
    </row>
    <row r="490">
      <c r="A490" s="70"/>
      <c r="B490" s="61"/>
      <c r="C490" s="70"/>
      <c r="D490" s="70"/>
      <c r="E490" s="70"/>
      <c r="F490" s="70"/>
      <c r="G490" s="70"/>
    </row>
    <row r="491">
      <c r="A491" s="70"/>
      <c r="B491" s="61"/>
      <c r="C491" s="70"/>
      <c r="D491" s="70"/>
      <c r="E491" s="70"/>
      <c r="F491" s="70"/>
      <c r="G491" s="70"/>
    </row>
    <row r="492">
      <c r="A492" s="70"/>
      <c r="B492" s="61"/>
      <c r="C492" s="70"/>
      <c r="D492" s="70"/>
      <c r="E492" s="70"/>
      <c r="F492" s="70"/>
      <c r="G492" s="70"/>
    </row>
    <row r="493">
      <c r="A493" s="70"/>
      <c r="B493" s="61"/>
      <c r="C493" s="70"/>
      <c r="D493" s="70"/>
      <c r="E493" s="70"/>
      <c r="F493" s="70"/>
      <c r="G493" s="70"/>
    </row>
    <row r="494">
      <c r="A494" s="70"/>
      <c r="B494" s="61"/>
      <c r="C494" s="70"/>
      <c r="D494" s="70"/>
      <c r="E494" s="70"/>
      <c r="F494" s="70"/>
      <c r="G494" s="70"/>
    </row>
    <row r="495">
      <c r="A495" s="70"/>
      <c r="B495" s="61"/>
      <c r="C495" s="70"/>
      <c r="D495" s="70"/>
      <c r="E495" s="70"/>
      <c r="F495" s="70"/>
      <c r="G495" s="70"/>
    </row>
    <row r="496">
      <c r="A496" s="70"/>
      <c r="B496" s="61"/>
      <c r="C496" s="70"/>
      <c r="D496" s="70"/>
      <c r="E496" s="70"/>
      <c r="F496" s="70"/>
      <c r="G496" s="70"/>
    </row>
    <row r="497">
      <c r="A497" s="70"/>
      <c r="B497" s="61"/>
      <c r="C497" s="70"/>
      <c r="D497" s="70"/>
      <c r="E497" s="70"/>
      <c r="F497" s="70"/>
      <c r="G497" s="70"/>
    </row>
    <row r="498">
      <c r="A498" s="70"/>
      <c r="B498" s="61"/>
      <c r="C498" s="70"/>
      <c r="D498" s="70"/>
      <c r="E498" s="70"/>
      <c r="F498" s="70"/>
      <c r="G498" s="70"/>
    </row>
    <row r="499">
      <c r="A499" s="70"/>
      <c r="B499" s="61"/>
      <c r="C499" s="70"/>
      <c r="D499" s="70"/>
      <c r="E499" s="70"/>
      <c r="F499" s="70"/>
      <c r="G499" s="70"/>
    </row>
    <row r="500">
      <c r="A500" s="70"/>
      <c r="B500" s="61"/>
      <c r="C500" s="70"/>
      <c r="D500" s="70"/>
      <c r="E500" s="70"/>
      <c r="F500" s="70"/>
      <c r="G500" s="70"/>
    </row>
    <row r="501">
      <c r="A501" s="70"/>
      <c r="B501" s="61"/>
      <c r="C501" s="70"/>
      <c r="D501" s="70"/>
      <c r="E501" s="70"/>
      <c r="F501" s="70"/>
      <c r="G501" s="70"/>
    </row>
    <row r="502">
      <c r="A502" s="70"/>
      <c r="B502" s="61"/>
      <c r="C502" s="70"/>
      <c r="D502" s="70"/>
      <c r="E502" s="70"/>
      <c r="F502" s="70"/>
      <c r="G502" s="70"/>
    </row>
    <row r="503">
      <c r="B503" s="61"/>
    </row>
    <row r="504">
      <c r="B504" s="61"/>
    </row>
    <row r="505">
      <c r="B505" s="61"/>
    </row>
    <row r="506">
      <c r="B506" s="61"/>
    </row>
    <row r="507">
      <c r="B507" s="61"/>
    </row>
    <row r="508">
      <c r="B508" s="61"/>
    </row>
    <row r="509">
      <c r="B509" s="61"/>
    </row>
    <row r="510">
      <c r="B510" s="61"/>
    </row>
    <row r="511">
      <c r="B511" s="61"/>
    </row>
    <row r="512">
      <c r="B512" s="61"/>
    </row>
    <row r="513">
      <c r="B513" s="61"/>
    </row>
    <row r="514">
      <c r="B514" s="61"/>
    </row>
    <row r="515">
      <c r="B515" s="61"/>
    </row>
    <row r="516">
      <c r="B516" s="61"/>
    </row>
    <row r="517">
      <c r="B517" s="61"/>
    </row>
    <row r="518">
      <c r="B518" s="61"/>
    </row>
    <row r="519">
      <c r="B519" s="61"/>
    </row>
    <row r="520">
      <c r="B520" s="61"/>
    </row>
    <row r="521">
      <c r="B521" s="61"/>
    </row>
    <row r="522">
      <c r="B522" s="61"/>
    </row>
    <row r="523">
      <c r="B523" s="61"/>
    </row>
    <row r="524">
      <c r="B524" s="61"/>
    </row>
    <row r="525">
      <c r="B525" s="61"/>
    </row>
    <row r="526">
      <c r="B526" s="61"/>
    </row>
    <row r="527">
      <c r="B527" s="61"/>
    </row>
    <row r="528">
      <c r="B528" s="61"/>
    </row>
    <row r="529">
      <c r="B529" s="61"/>
    </row>
    <row r="530">
      <c r="B530" s="61"/>
    </row>
    <row r="531">
      <c r="B531" s="61"/>
    </row>
    <row r="532">
      <c r="B532" s="61"/>
    </row>
    <row r="533">
      <c r="B533" s="61"/>
    </row>
    <row r="534">
      <c r="B534" s="61"/>
    </row>
    <row r="535">
      <c r="B535" s="61"/>
    </row>
    <row r="536">
      <c r="B536" s="61"/>
    </row>
    <row r="537">
      <c r="B537" s="61"/>
    </row>
    <row r="538">
      <c r="B538" s="61"/>
    </row>
    <row r="539">
      <c r="B539" s="61"/>
    </row>
    <row r="540">
      <c r="B540" s="61"/>
    </row>
    <row r="541">
      <c r="B541" s="61"/>
    </row>
    <row r="542">
      <c r="B542" s="61"/>
    </row>
    <row r="543">
      <c r="B543" s="61"/>
    </row>
    <row r="544">
      <c r="B544" s="61"/>
    </row>
    <row r="545">
      <c r="B545" s="61"/>
    </row>
    <row r="546">
      <c r="B546" s="61"/>
    </row>
    <row r="547">
      <c r="B547" s="61"/>
    </row>
    <row r="548">
      <c r="B548" s="61"/>
    </row>
    <row r="549">
      <c r="B549" s="61"/>
    </row>
    <row r="550">
      <c r="B550" s="61"/>
    </row>
    <row r="551">
      <c r="B551" s="61"/>
    </row>
    <row r="552">
      <c r="B552" s="61"/>
    </row>
    <row r="553">
      <c r="B553" s="61"/>
    </row>
    <row r="554">
      <c r="B554" s="61"/>
    </row>
    <row r="555">
      <c r="B555" s="61"/>
    </row>
    <row r="556">
      <c r="B556" s="61"/>
    </row>
    <row r="557">
      <c r="B557" s="61"/>
    </row>
    <row r="558">
      <c r="B558" s="61"/>
    </row>
    <row r="559">
      <c r="B559" s="61"/>
    </row>
    <row r="560">
      <c r="B560" s="61"/>
    </row>
    <row r="561">
      <c r="B561" s="61"/>
    </row>
    <row r="562">
      <c r="B562" s="61"/>
    </row>
    <row r="563">
      <c r="B563" s="61"/>
    </row>
    <row r="564">
      <c r="B564" s="61"/>
    </row>
    <row r="565">
      <c r="B565" s="61"/>
    </row>
    <row r="566">
      <c r="B566" s="61"/>
    </row>
    <row r="567">
      <c r="B567" s="61"/>
    </row>
    <row r="568">
      <c r="B568" s="61"/>
    </row>
    <row r="569">
      <c r="B569" s="61"/>
    </row>
    <row r="570">
      <c r="B570" s="61"/>
    </row>
    <row r="571">
      <c r="B571" s="61"/>
    </row>
    <row r="572">
      <c r="B572" s="61"/>
    </row>
    <row r="573">
      <c r="B573" s="61"/>
    </row>
    <row r="574">
      <c r="B574" s="61"/>
    </row>
    <row r="575">
      <c r="B575" s="61"/>
    </row>
    <row r="576">
      <c r="B576" s="61"/>
    </row>
    <row r="577">
      <c r="B577" s="61"/>
    </row>
    <row r="578">
      <c r="B578" s="61"/>
    </row>
    <row r="579">
      <c r="B579" s="61"/>
    </row>
    <row r="580">
      <c r="B580" s="61"/>
    </row>
    <row r="581">
      <c r="B581" s="61"/>
    </row>
    <row r="582">
      <c r="B582" s="61"/>
    </row>
    <row r="583">
      <c r="B583" s="61"/>
    </row>
    <row r="584">
      <c r="B584" s="61"/>
    </row>
    <row r="585">
      <c r="B585" s="61"/>
    </row>
    <row r="586">
      <c r="B586" s="61"/>
    </row>
    <row r="587">
      <c r="B587" s="61"/>
    </row>
    <row r="588">
      <c r="B588" s="61"/>
    </row>
    <row r="589">
      <c r="B589" s="61"/>
    </row>
    <row r="590">
      <c r="B590" s="61"/>
    </row>
    <row r="591">
      <c r="B591" s="61"/>
    </row>
    <row r="592">
      <c r="B592" s="61"/>
    </row>
    <row r="593">
      <c r="B593" s="61"/>
    </row>
    <row r="594">
      <c r="B594" s="61"/>
    </row>
    <row r="595">
      <c r="B595" s="61"/>
    </row>
    <row r="596">
      <c r="B596" s="61"/>
    </row>
    <row r="597">
      <c r="B597" s="61"/>
    </row>
    <row r="598">
      <c r="B598" s="61"/>
    </row>
    <row r="599">
      <c r="B599" s="61"/>
    </row>
    <row r="600">
      <c r="B600" s="61"/>
    </row>
    <row r="601">
      <c r="B601" s="61"/>
    </row>
    <row r="602">
      <c r="B602" s="61"/>
    </row>
    <row r="603">
      <c r="B603" s="61"/>
    </row>
    <row r="604">
      <c r="B604" s="61"/>
    </row>
    <row r="605">
      <c r="B605" s="61"/>
    </row>
    <row r="606">
      <c r="B606" s="61"/>
    </row>
    <row r="607">
      <c r="B607" s="61"/>
    </row>
    <row r="608">
      <c r="B608" s="61"/>
    </row>
    <row r="609">
      <c r="B609" s="61"/>
    </row>
    <row r="610">
      <c r="B610" s="61"/>
    </row>
    <row r="611">
      <c r="B611" s="61"/>
    </row>
    <row r="612">
      <c r="B612" s="61"/>
    </row>
    <row r="613">
      <c r="B613" s="61"/>
    </row>
    <row r="614">
      <c r="B614" s="61"/>
    </row>
    <row r="615">
      <c r="B615" s="61"/>
    </row>
    <row r="616">
      <c r="B616" s="61"/>
    </row>
    <row r="617">
      <c r="B617" s="61"/>
    </row>
    <row r="618">
      <c r="B618" s="61"/>
    </row>
    <row r="619">
      <c r="B619" s="61"/>
    </row>
    <row r="620">
      <c r="B620" s="61"/>
    </row>
    <row r="621">
      <c r="B621" s="61"/>
    </row>
    <row r="622">
      <c r="B622" s="61"/>
    </row>
    <row r="623">
      <c r="B623" s="61"/>
    </row>
    <row r="624">
      <c r="B624" s="61"/>
    </row>
    <row r="625">
      <c r="B625" s="61"/>
    </row>
    <row r="626">
      <c r="B626" s="61"/>
    </row>
    <row r="627">
      <c r="B627" s="61"/>
    </row>
    <row r="628">
      <c r="B628" s="61"/>
    </row>
    <row r="629">
      <c r="B629" s="61"/>
    </row>
    <row r="630">
      <c r="B630" s="61"/>
    </row>
    <row r="631">
      <c r="B631" s="61"/>
    </row>
    <row r="632">
      <c r="B632" s="61"/>
    </row>
    <row r="633">
      <c r="B633" s="61"/>
    </row>
    <row r="634">
      <c r="B634" s="61"/>
    </row>
    <row r="635">
      <c r="B635" s="61"/>
    </row>
    <row r="636">
      <c r="B636" s="61"/>
    </row>
    <row r="637">
      <c r="B637" s="61"/>
    </row>
    <row r="638">
      <c r="B638" s="61"/>
    </row>
    <row r="639">
      <c r="B639" s="61"/>
    </row>
    <row r="640">
      <c r="B640" s="61"/>
    </row>
    <row r="641">
      <c r="B641" s="61"/>
    </row>
    <row r="642">
      <c r="B642" s="61"/>
    </row>
    <row r="643">
      <c r="B643" s="61"/>
    </row>
    <row r="644">
      <c r="B644" s="61"/>
    </row>
    <row r="645">
      <c r="B645" s="61"/>
    </row>
    <row r="646">
      <c r="B646" s="61"/>
    </row>
    <row r="647">
      <c r="B647" s="61"/>
    </row>
    <row r="648">
      <c r="B648" s="61"/>
    </row>
    <row r="649">
      <c r="B649" s="61"/>
    </row>
    <row r="650">
      <c r="B650" s="61"/>
    </row>
    <row r="651">
      <c r="B651" s="61"/>
    </row>
    <row r="652">
      <c r="B652" s="61"/>
    </row>
    <row r="653">
      <c r="B653" s="61"/>
    </row>
    <row r="654">
      <c r="B654" s="61"/>
    </row>
    <row r="655">
      <c r="B655" s="61"/>
    </row>
    <row r="656">
      <c r="B656" s="61"/>
    </row>
    <row r="657">
      <c r="B657" s="61"/>
    </row>
    <row r="658">
      <c r="B658" s="61"/>
    </row>
    <row r="659">
      <c r="B659" s="61"/>
    </row>
    <row r="660">
      <c r="B660" s="61"/>
    </row>
    <row r="661">
      <c r="B661" s="61"/>
    </row>
    <row r="662">
      <c r="B662" s="61"/>
    </row>
    <row r="663">
      <c r="B663" s="61"/>
    </row>
    <row r="664">
      <c r="B664" s="61"/>
    </row>
    <row r="665">
      <c r="B665" s="61"/>
    </row>
    <row r="666">
      <c r="B666" s="61"/>
    </row>
    <row r="667">
      <c r="B667" s="61"/>
    </row>
    <row r="668">
      <c r="B668" s="61"/>
    </row>
    <row r="669">
      <c r="B669" s="61"/>
    </row>
    <row r="670">
      <c r="B670" s="61"/>
    </row>
    <row r="671">
      <c r="B671" s="61"/>
    </row>
    <row r="672">
      <c r="B672" s="61"/>
    </row>
    <row r="673">
      <c r="B673" s="61"/>
    </row>
    <row r="674">
      <c r="B674" s="61"/>
    </row>
    <row r="675">
      <c r="B675" s="61"/>
    </row>
    <row r="676">
      <c r="B676" s="61"/>
    </row>
    <row r="677">
      <c r="B677" s="61"/>
    </row>
    <row r="678">
      <c r="B678" s="61"/>
    </row>
    <row r="679">
      <c r="B679" s="61"/>
    </row>
    <row r="680">
      <c r="B680" s="61"/>
    </row>
    <row r="681">
      <c r="B681" s="61"/>
    </row>
    <row r="682">
      <c r="B682" s="61"/>
    </row>
    <row r="683">
      <c r="B683" s="61"/>
    </row>
    <row r="684">
      <c r="B684" s="61"/>
    </row>
    <row r="685">
      <c r="B685" s="61"/>
    </row>
    <row r="686">
      <c r="B686" s="61"/>
    </row>
    <row r="687">
      <c r="B687" s="61"/>
    </row>
    <row r="688">
      <c r="B688" s="61"/>
    </row>
    <row r="689">
      <c r="B689" s="61"/>
    </row>
    <row r="690">
      <c r="B690" s="61"/>
    </row>
    <row r="691">
      <c r="B691" s="61"/>
    </row>
    <row r="692">
      <c r="B692" s="61"/>
    </row>
    <row r="693">
      <c r="B693" s="61"/>
    </row>
    <row r="694">
      <c r="B694" s="61"/>
    </row>
    <row r="695">
      <c r="B695" s="61"/>
    </row>
    <row r="696">
      <c r="B696" s="61"/>
    </row>
    <row r="697">
      <c r="B697" s="61"/>
    </row>
    <row r="698">
      <c r="B698" s="61"/>
    </row>
    <row r="699">
      <c r="B699" s="61"/>
    </row>
    <row r="700">
      <c r="B700" s="61"/>
    </row>
    <row r="701">
      <c r="B701" s="61"/>
    </row>
    <row r="702">
      <c r="B702" s="61"/>
    </row>
    <row r="703">
      <c r="B703" s="61"/>
    </row>
    <row r="704">
      <c r="B704" s="61"/>
    </row>
    <row r="705">
      <c r="B705" s="61"/>
    </row>
    <row r="706">
      <c r="B706" s="61"/>
    </row>
    <row r="707">
      <c r="B707" s="61"/>
    </row>
    <row r="708">
      <c r="B708" s="61"/>
    </row>
    <row r="709">
      <c r="B709" s="61"/>
    </row>
    <row r="710">
      <c r="B710" s="61"/>
    </row>
    <row r="711">
      <c r="B711" s="61"/>
    </row>
    <row r="712">
      <c r="B712" s="61"/>
    </row>
    <row r="713">
      <c r="B713" s="61"/>
    </row>
    <row r="714">
      <c r="B714" s="61"/>
    </row>
    <row r="715">
      <c r="B715" s="61"/>
    </row>
    <row r="716">
      <c r="B716" s="61"/>
    </row>
    <row r="717">
      <c r="B717" s="61"/>
    </row>
    <row r="718">
      <c r="B718" s="61"/>
    </row>
    <row r="719">
      <c r="B719" s="61"/>
    </row>
    <row r="720">
      <c r="B720" s="61"/>
    </row>
    <row r="721">
      <c r="B721" s="61"/>
    </row>
    <row r="722">
      <c r="B722" s="61"/>
    </row>
    <row r="723">
      <c r="B723" s="61"/>
    </row>
    <row r="724">
      <c r="B724" s="61"/>
    </row>
    <row r="725">
      <c r="B725" s="61"/>
    </row>
    <row r="726">
      <c r="B726" s="61"/>
    </row>
    <row r="727">
      <c r="B727" s="61"/>
    </row>
    <row r="728">
      <c r="B728" s="61"/>
    </row>
    <row r="729">
      <c r="B729" s="61"/>
    </row>
    <row r="730">
      <c r="B730" s="61"/>
    </row>
    <row r="731">
      <c r="B731" s="61"/>
    </row>
    <row r="732">
      <c r="B732" s="61"/>
    </row>
    <row r="733">
      <c r="B733" s="61"/>
    </row>
    <row r="734">
      <c r="B734" s="61"/>
    </row>
    <row r="735">
      <c r="B735" s="61"/>
    </row>
    <row r="736">
      <c r="B736" s="61"/>
    </row>
    <row r="737">
      <c r="B737" s="61"/>
    </row>
    <row r="738">
      <c r="B738" s="61"/>
    </row>
    <row r="739">
      <c r="B739" s="61"/>
    </row>
    <row r="740">
      <c r="B740" s="61"/>
    </row>
    <row r="741">
      <c r="B741" s="61"/>
    </row>
    <row r="742">
      <c r="B742" s="61"/>
    </row>
    <row r="743">
      <c r="B743" s="61"/>
    </row>
    <row r="744">
      <c r="B744" s="61"/>
    </row>
    <row r="745">
      <c r="B745" s="61"/>
    </row>
    <row r="746">
      <c r="B746" s="61"/>
    </row>
    <row r="747">
      <c r="B747" s="61"/>
    </row>
    <row r="748">
      <c r="B748" s="61"/>
    </row>
    <row r="749">
      <c r="B749" s="61"/>
    </row>
    <row r="750">
      <c r="B750" s="61"/>
    </row>
    <row r="751">
      <c r="B751" s="61"/>
    </row>
    <row r="752">
      <c r="B752" s="61"/>
    </row>
    <row r="753">
      <c r="B753" s="61"/>
    </row>
    <row r="754">
      <c r="B754" s="61"/>
    </row>
    <row r="755">
      <c r="B755" s="61"/>
    </row>
    <row r="756">
      <c r="B756" s="61"/>
    </row>
    <row r="757">
      <c r="B757" s="61"/>
    </row>
    <row r="758">
      <c r="B758" s="61"/>
    </row>
    <row r="759">
      <c r="B759" s="61"/>
    </row>
    <row r="760">
      <c r="B760" s="61"/>
    </row>
    <row r="761">
      <c r="B761" s="61"/>
    </row>
    <row r="762">
      <c r="B762" s="61"/>
    </row>
    <row r="763">
      <c r="B763" s="61"/>
    </row>
    <row r="764">
      <c r="B764" s="61"/>
    </row>
    <row r="765">
      <c r="B765" s="61"/>
    </row>
    <row r="766">
      <c r="B766" s="61"/>
    </row>
    <row r="767">
      <c r="B767" s="61"/>
    </row>
    <row r="768">
      <c r="B768" s="61"/>
    </row>
    <row r="769">
      <c r="B769" s="61"/>
    </row>
    <row r="770">
      <c r="B770" s="61"/>
    </row>
    <row r="771">
      <c r="B771" s="61"/>
    </row>
    <row r="772">
      <c r="B772" s="61"/>
    </row>
    <row r="773">
      <c r="B773" s="61"/>
    </row>
    <row r="774">
      <c r="B774" s="61"/>
    </row>
    <row r="775">
      <c r="B775" s="61"/>
    </row>
    <row r="776">
      <c r="B776" s="61"/>
    </row>
    <row r="777">
      <c r="B777" s="61"/>
    </row>
    <row r="778">
      <c r="B778" s="61"/>
    </row>
    <row r="779">
      <c r="B779" s="61"/>
    </row>
    <row r="780">
      <c r="B780" s="61"/>
    </row>
    <row r="781">
      <c r="B781" s="61"/>
    </row>
    <row r="782">
      <c r="B782" s="61"/>
    </row>
    <row r="783">
      <c r="B783" s="61"/>
    </row>
    <row r="784">
      <c r="B784" s="61"/>
    </row>
    <row r="785">
      <c r="B785" s="61"/>
    </row>
    <row r="786">
      <c r="B786" s="61"/>
    </row>
    <row r="787">
      <c r="B787" s="61"/>
    </row>
    <row r="788">
      <c r="B788" s="61"/>
    </row>
    <row r="789">
      <c r="B789" s="61"/>
    </row>
    <row r="790">
      <c r="B790" s="61"/>
    </row>
    <row r="791">
      <c r="B791" s="61"/>
    </row>
    <row r="792">
      <c r="B792" s="61"/>
    </row>
    <row r="793">
      <c r="B793" s="61"/>
    </row>
    <row r="794">
      <c r="B794" s="61"/>
    </row>
    <row r="795">
      <c r="B795" s="61"/>
    </row>
    <row r="796">
      <c r="B796" s="61"/>
    </row>
    <row r="797">
      <c r="B797" s="61"/>
    </row>
    <row r="798">
      <c r="B798" s="61"/>
    </row>
    <row r="799">
      <c r="B799" s="61"/>
    </row>
    <row r="800">
      <c r="B800" s="61"/>
    </row>
    <row r="801">
      <c r="B801" s="61"/>
    </row>
    <row r="802">
      <c r="B802" s="61"/>
    </row>
    <row r="803">
      <c r="B803" s="61"/>
    </row>
    <row r="804">
      <c r="B804" s="61"/>
    </row>
    <row r="805">
      <c r="B805" s="61"/>
    </row>
    <row r="806">
      <c r="B806" s="61"/>
    </row>
    <row r="807">
      <c r="B807" s="61"/>
    </row>
    <row r="808">
      <c r="B808" s="61"/>
    </row>
    <row r="809">
      <c r="B809" s="61"/>
    </row>
    <row r="810">
      <c r="B810" s="61"/>
    </row>
    <row r="811">
      <c r="B811" s="61"/>
    </row>
    <row r="812">
      <c r="B812" s="61"/>
    </row>
    <row r="813">
      <c r="B813" s="61"/>
    </row>
    <row r="814">
      <c r="B814" s="61"/>
    </row>
    <row r="815">
      <c r="B815" s="61"/>
    </row>
    <row r="816">
      <c r="B816" s="61"/>
    </row>
    <row r="817">
      <c r="B817" s="61"/>
    </row>
    <row r="818">
      <c r="B818" s="61"/>
    </row>
    <row r="819">
      <c r="B819" s="61"/>
    </row>
    <row r="820">
      <c r="B820" s="61"/>
    </row>
    <row r="821">
      <c r="B821" s="61"/>
    </row>
    <row r="822">
      <c r="B822" s="61"/>
    </row>
    <row r="823">
      <c r="B823" s="61"/>
    </row>
    <row r="824">
      <c r="B824" s="61"/>
    </row>
    <row r="825">
      <c r="B825" s="61"/>
    </row>
    <row r="826">
      <c r="B826" s="61"/>
    </row>
    <row r="827">
      <c r="B827" s="61"/>
    </row>
    <row r="828">
      <c r="B828" s="61"/>
    </row>
    <row r="829">
      <c r="B829" s="61"/>
    </row>
    <row r="830">
      <c r="B830" s="61"/>
    </row>
    <row r="831">
      <c r="B831" s="61"/>
    </row>
    <row r="832">
      <c r="B832" s="61"/>
    </row>
    <row r="833">
      <c r="B833" s="61"/>
    </row>
    <row r="834">
      <c r="B834" s="61"/>
    </row>
    <row r="835">
      <c r="B835" s="61"/>
    </row>
    <row r="836">
      <c r="B836" s="61"/>
    </row>
    <row r="837">
      <c r="B837" s="61"/>
    </row>
    <row r="838">
      <c r="B838" s="61"/>
    </row>
    <row r="839">
      <c r="B839" s="61"/>
    </row>
    <row r="840">
      <c r="B840" s="61"/>
    </row>
    <row r="841">
      <c r="B841" s="61"/>
    </row>
    <row r="842">
      <c r="B842" s="61"/>
    </row>
    <row r="843">
      <c r="B843" s="61"/>
    </row>
    <row r="844">
      <c r="B844" s="61"/>
    </row>
    <row r="845">
      <c r="B845" s="61"/>
    </row>
    <row r="846">
      <c r="B846" s="61"/>
    </row>
    <row r="847">
      <c r="B847" s="61"/>
    </row>
    <row r="848">
      <c r="B848" s="61"/>
    </row>
    <row r="849">
      <c r="B849" s="61"/>
    </row>
    <row r="850">
      <c r="B850" s="61"/>
    </row>
    <row r="851">
      <c r="B851" s="61"/>
    </row>
    <row r="852">
      <c r="B852" s="61"/>
    </row>
    <row r="853">
      <c r="B853" s="61"/>
    </row>
    <row r="854">
      <c r="B854" s="61"/>
    </row>
    <row r="855">
      <c r="B855" s="61"/>
    </row>
    <row r="856">
      <c r="B856" s="61"/>
    </row>
    <row r="857">
      <c r="B857" s="61"/>
    </row>
    <row r="858">
      <c r="B858" s="61"/>
    </row>
    <row r="859">
      <c r="B859" s="61"/>
    </row>
    <row r="860">
      <c r="B860" s="61"/>
    </row>
    <row r="861">
      <c r="B861" s="61"/>
    </row>
    <row r="862">
      <c r="B862" s="61"/>
    </row>
    <row r="863">
      <c r="B863" s="61"/>
    </row>
    <row r="864">
      <c r="B864" s="61"/>
    </row>
    <row r="865">
      <c r="B865" s="61"/>
    </row>
    <row r="866">
      <c r="B866" s="61"/>
    </row>
    <row r="867">
      <c r="B867" s="61"/>
    </row>
    <row r="868">
      <c r="B868" s="61"/>
    </row>
    <row r="869">
      <c r="B869" s="61"/>
    </row>
    <row r="870">
      <c r="B870" s="61"/>
    </row>
    <row r="871">
      <c r="B871" s="61"/>
    </row>
    <row r="872">
      <c r="B872" s="61"/>
    </row>
    <row r="873">
      <c r="B873" s="61"/>
    </row>
    <row r="874">
      <c r="B874" s="61"/>
    </row>
    <row r="875">
      <c r="B875" s="61"/>
    </row>
    <row r="876">
      <c r="B876" s="61"/>
    </row>
    <row r="877">
      <c r="B877" s="61"/>
    </row>
    <row r="878">
      <c r="B878" s="61"/>
    </row>
    <row r="879">
      <c r="B879" s="61"/>
    </row>
    <row r="880">
      <c r="B880" s="61"/>
    </row>
    <row r="881">
      <c r="B881" s="61"/>
    </row>
    <row r="882">
      <c r="B882" s="61"/>
    </row>
    <row r="883">
      <c r="B883" s="61"/>
    </row>
    <row r="884">
      <c r="B884" s="61"/>
    </row>
    <row r="885">
      <c r="B885" s="61"/>
    </row>
    <row r="886">
      <c r="B886" s="61"/>
    </row>
    <row r="887">
      <c r="B887" s="61"/>
    </row>
    <row r="888">
      <c r="B888" s="61"/>
    </row>
    <row r="889">
      <c r="B889" s="61"/>
    </row>
    <row r="890">
      <c r="B890" s="61"/>
    </row>
    <row r="891">
      <c r="B891" s="61"/>
    </row>
    <row r="892">
      <c r="B892" s="61"/>
    </row>
    <row r="893">
      <c r="B893" s="61"/>
    </row>
    <row r="894">
      <c r="B894" s="61"/>
    </row>
    <row r="895">
      <c r="B895" s="61"/>
    </row>
    <row r="896">
      <c r="B896" s="61"/>
    </row>
    <row r="897">
      <c r="B897" s="61"/>
    </row>
    <row r="898">
      <c r="B898" s="61"/>
    </row>
    <row r="899">
      <c r="B899" s="61"/>
    </row>
    <row r="900">
      <c r="B900" s="61"/>
    </row>
    <row r="901">
      <c r="B901" s="61"/>
    </row>
    <row r="902">
      <c r="B902" s="61"/>
    </row>
    <row r="903">
      <c r="B903" s="61"/>
    </row>
    <row r="904">
      <c r="B904" s="61"/>
    </row>
    <row r="905">
      <c r="B905" s="61"/>
    </row>
    <row r="906">
      <c r="B906" s="61"/>
    </row>
    <row r="907">
      <c r="B907" s="61"/>
    </row>
    <row r="908">
      <c r="B908" s="61"/>
    </row>
    <row r="909">
      <c r="B909" s="61"/>
    </row>
    <row r="910">
      <c r="B910" s="61"/>
    </row>
    <row r="911">
      <c r="B911" s="61"/>
    </row>
    <row r="912">
      <c r="B912" s="61"/>
    </row>
    <row r="913">
      <c r="B913" s="61"/>
    </row>
    <row r="914">
      <c r="B914" s="61"/>
    </row>
    <row r="915">
      <c r="B915" s="61"/>
    </row>
    <row r="916">
      <c r="B916" s="61"/>
    </row>
    <row r="917">
      <c r="B917" s="61"/>
    </row>
    <row r="918">
      <c r="B918" s="61"/>
    </row>
    <row r="919">
      <c r="B919" s="61"/>
    </row>
    <row r="920">
      <c r="B920" s="61"/>
    </row>
    <row r="921">
      <c r="B921" s="61"/>
    </row>
    <row r="922">
      <c r="B922" s="61"/>
    </row>
    <row r="923">
      <c r="B923" s="61"/>
    </row>
    <row r="924">
      <c r="B924" s="61"/>
    </row>
    <row r="925">
      <c r="B925" s="61"/>
    </row>
    <row r="926">
      <c r="B926" s="61"/>
    </row>
    <row r="927">
      <c r="B927" s="61"/>
    </row>
    <row r="928">
      <c r="B928" s="61"/>
    </row>
    <row r="929">
      <c r="B929" s="61"/>
    </row>
    <row r="930">
      <c r="B930" s="61"/>
    </row>
    <row r="931">
      <c r="B931" s="61"/>
    </row>
    <row r="932">
      <c r="B932" s="61"/>
    </row>
    <row r="933">
      <c r="B933" s="61"/>
    </row>
    <row r="934">
      <c r="B934" s="61"/>
    </row>
    <row r="935">
      <c r="B935" s="61"/>
    </row>
    <row r="936">
      <c r="B936" s="61"/>
    </row>
    <row r="937">
      <c r="B937" s="61"/>
    </row>
    <row r="938">
      <c r="B938" s="61"/>
    </row>
    <row r="939">
      <c r="B939" s="61"/>
    </row>
    <row r="940">
      <c r="B940" s="61"/>
    </row>
    <row r="941">
      <c r="B941" s="61"/>
    </row>
    <row r="942">
      <c r="B942" s="61"/>
    </row>
    <row r="943">
      <c r="B943" s="61"/>
    </row>
    <row r="944">
      <c r="B944" s="61"/>
    </row>
    <row r="945">
      <c r="B945" s="61"/>
    </row>
    <row r="946">
      <c r="B946" s="61"/>
    </row>
    <row r="947">
      <c r="B947" s="61"/>
    </row>
    <row r="948">
      <c r="B948" s="61"/>
    </row>
    <row r="949">
      <c r="B949" s="61"/>
    </row>
    <row r="950">
      <c r="B950" s="61"/>
    </row>
    <row r="951">
      <c r="B951" s="61"/>
    </row>
    <row r="952">
      <c r="B952" s="61"/>
    </row>
    <row r="953">
      <c r="B953" s="61"/>
    </row>
    <row r="954">
      <c r="B954" s="61"/>
    </row>
    <row r="955">
      <c r="B955" s="61"/>
    </row>
    <row r="956">
      <c r="B956" s="61"/>
    </row>
    <row r="957">
      <c r="B957" s="61"/>
    </row>
    <row r="958">
      <c r="B958" s="61"/>
    </row>
    <row r="959">
      <c r="B959" s="61"/>
    </row>
    <row r="960">
      <c r="B960" s="61"/>
    </row>
    <row r="961">
      <c r="B961" s="61"/>
    </row>
    <row r="962">
      <c r="B962" s="61"/>
    </row>
    <row r="963">
      <c r="B963" s="61"/>
    </row>
    <row r="964">
      <c r="B964" s="61"/>
    </row>
    <row r="965">
      <c r="B965" s="61"/>
    </row>
    <row r="966">
      <c r="B966" s="61"/>
    </row>
    <row r="967">
      <c r="B967" s="61"/>
    </row>
    <row r="968">
      <c r="B968" s="61"/>
    </row>
    <row r="969">
      <c r="B969" s="61"/>
    </row>
    <row r="970">
      <c r="B970" s="61"/>
    </row>
    <row r="971">
      <c r="B971" s="61"/>
    </row>
    <row r="972">
      <c r="B972" s="61"/>
    </row>
    <row r="973">
      <c r="B973" s="61"/>
    </row>
    <row r="974">
      <c r="B974" s="61"/>
    </row>
    <row r="975">
      <c r="B975" s="61"/>
    </row>
    <row r="976">
      <c r="B976" s="61"/>
    </row>
    <row r="977">
      <c r="B977" s="61"/>
    </row>
    <row r="978">
      <c r="B978" s="61"/>
    </row>
    <row r="979">
      <c r="B979" s="61"/>
    </row>
    <row r="980">
      <c r="B980" s="61"/>
    </row>
    <row r="981">
      <c r="B981" s="61"/>
    </row>
    <row r="982">
      <c r="B982" s="61"/>
    </row>
    <row r="983">
      <c r="B983" s="61"/>
    </row>
    <row r="984">
      <c r="B984" s="61"/>
    </row>
    <row r="985">
      <c r="B985" s="61"/>
    </row>
    <row r="986">
      <c r="B986" s="61"/>
    </row>
    <row r="987">
      <c r="B987" s="61"/>
    </row>
    <row r="988">
      <c r="B988" s="61"/>
    </row>
    <row r="989">
      <c r="B989" s="61"/>
    </row>
    <row r="990">
      <c r="B990" s="61"/>
    </row>
    <row r="991">
      <c r="B991" s="61"/>
    </row>
    <row r="992">
      <c r="B992" s="61"/>
    </row>
    <row r="993">
      <c r="B993" s="61"/>
    </row>
    <row r="994">
      <c r="B994" s="61"/>
    </row>
    <row r="995">
      <c r="B995" s="61"/>
    </row>
    <row r="996">
      <c r="B996" s="61"/>
    </row>
    <row r="997">
      <c r="B997" s="61"/>
    </row>
    <row r="998">
      <c r="B998" s="61"/>
    </row>
    <row r="999">
      <c r="B999" s="61"/>
    </row>
    <row r="1000">
      <c r="B1000" s="61"/>
    </row>
    <row r="1001">
      <c r="B1001" s="61"/>
    </row>
    <row r="1002">
      <c r="B1002" s="61"/>
    </row>
  </sheetData>
  <mergeCells count="4">
    <mergeCell ref="A1:G1"/>
    <mergeCell ref="H1:I4"/>
    <mergeCell ref="F2:G3"/>
    <mergeCell ref="A3:C3"/>
  </mergeCells>
  <dataValidations>
    <dataValidation type="list" allowBlank="1" showErrorMessage="1" sqref="A3">
      <formula1>'Información General'!$L$13:$L$27</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25"/>
    <col customWidth="1" min="4" max="4" width="31.88"/>
    <col customWidth="1" min="5" max="5" width="8.13"/>
    <col customWidth="1" min="7" max="7" width="16.63"/>
    <col customWidth="1" min="8" max="8" width="14.5"/>
    <col customWidth="1" min="9" max="9" width="8.75"/>
    <col customWidth="1" min="10" max="10" width="14.0"/>
  </cols>
  <sheetData>
    <row r="2" ht="26.25" customHeight="1">
      <c r="B2" s="87" t="s">
        <v>80</v>
      </c>
      <c r="C2" s="8"/>
      <c r="D2" s="8"/>
      <c r="E2" s="8"/>
      <c r="F2" s="8"/>
      <c r="G2" s="6"/>
      <c r="I2" s="87" t="s">
        <v>81</v>
      </c>
      <c r="J2" s="8"/>
      <c r="K2" s="8"/>
      <c r="L2" s="8"/>
      <c r="M2" s="8"/>
      <c r="N2" s="8"/>
      <c r="O2" s="8"/>
      <c r="P2" s="6"/>
    </row>
    <row r="3">
      <c r="B3" s="88">
        <v>1.0</v>
      </c>
      <c r="C3" s="89" t="s">
        <v>82</v>
      </c>
      <c r="D3" s="8"/>
      <c r="E3" s="8"/>
      <c r="F3" s="8"/>
      <c r="G3" s="6"/>
      <c r="H3" s="90"/>
      <c r="I3" s="88">
        <v>1.0</v>
      </c>
      <c r="J3" s="89" t="s">
        <v>83</v>
      </c>
      <c r="K3" s="8"/>
      <c r="L3" s="8"/>
      <c r="M3" s="8"/>
      <c r="N3" s="8"/>
      <c r="O3" s="8"/>
      <c r="P3" s="6"/>
    </row>
    <row r="4">
      <c r="B4" s="91">
        <v>2.0</v>
      </c>
      <c r="C4" s="89" t="s">
        <v>84</v>
      </c>
      <c r="D4" s="8"/>
      <c r="E4" s="8"/>
      <c r="F4" s="8"/>
      <c r="G4" s="6"/>
      <c r="I4" s="92">
        <v>2.0</v>
      </c>
      <c r="J4" s="89" t="s">
        <v>85</v>
      </c>
      <c r="K4" s="8"/>
      <c r="L4" s="8"/>
      <c r="M4" s="8"/>
      <c r="N4" s="8"/>
      <c r="O4" s="8"/>
      <c r="P4" s="6"/>
    </row>
    <row r="5">
      <c r="B5" s="91">
        <v>3.0</v>
      </c>
      <c r="C5" s="89" t="s">
        <v>86</v>
      </c>
      <c r="D5" s="8"/>
      <c r="E5" s="8"/>
      <c r="F5" s="8"/>
      <c r="G5" s="6"/>
      <c r="I5" s="92">
        <v>3.0</v>
      </c>
      <c r="J5" s="89" t="s">
        <v>87</v>
      </c>
      <c r="K5" s="8"/>
      <c r="L5" s="8"/>
      <c r="M5" s="8"/>
      <c r="N5" s="8"/>
      <c r="O5" s="8"/>
      <c r="P5" s="6"/>
    </row>
    <row r="6">
      <c r="B6" s="91">
        <v>4.0</v>
      </c>
      <c r="C6" s="89" t="s">
        <v>88</v>
      </c>
      <c r="D6" s="8"/>
      <c r="E6" s="8"/>
      <c r="F6" s="8"/>
      <c r="G6" s="6"/>
      <c r="I6" s="92">
        <v>4.0</v>
      </c>
      <c r="J6" s="89" t="s">
        <v>89</v>
      </c>
      <c r="K6" s="8"/>
      <c r="L6" s="8"/>
      <c r="M6" s="8"/>
      <c r="N6" s="8"/>
      <c r="O6" s="8"/>
      <c r="P6" s="6"/>
    </row>
    <row r="7">
      <c r="B7" s="91">
        <v>5.0</v>
      </c>
      <c r="C7" s="89"/>
      <c r="D7" s="8"/>
      <c r="E7" s="8"/>
      <c r="F7" s="8"/>
      <c r="G7" s="6"/>
      <c r="I7" s="92">
        <v>5.0</v>
      </c>
      <c r="J7" s="89"/>
      <c r="K7" s="8"/>
      <c r="L7" s="8"/>
      <c r="M7" s="8"/>
      <c r="N7" s="8"/>
      <c r="O7" s="8"/>
      <c r="P7" s="6"/>
    </row>
    <row r="8">
      <c r="B8" s="93"/>
      <c r="C8" s="94"/>
      <c r="D8" s="94"/>
      <c r="E8" s="94"/>
      <c r="F8" s="95"/>
      <c r="G8" s="95"/>
    </row>
    <row r="12">
      <c r="B12" s="96" t="s">
        <v>90</v>
      </c>
    </row>
    <row r="13">
      <c r="B13" s="97" t="s">
        <v>91</v>
      </c>
    </row>
    <row r="14">
      <c r="B14" s="98" t="s">
        <v>92</v>
      </c>
      <c r="C14" s="99"/>
      <c r="D14" s="99"/>
      <c r="E14" s="99"/>
      <c r="F14" s="99"/>
      <c r="G14" s="99"/>
      <c r="H14" s="99"/>
      <c r="I14" s="99"/>
      <c r="J14" s="99"/>
    </row>
    <row r="15">
      <c r="B15" s="100" t="s">
        <v>93</v>
      </c>
      <c r="C15" s="100" t="s">
        <v>94</v>
      </c>
      <c r="D15" s="100" t="s">
        <v>95</v>
      </c>
      <c r="E15" s="101" t="s">
        <v>96</v>
      </c>
      <c r="F15" s="6"/>
      <c r="G15" s="102" t="s">
        <v>97</v>
      </c>
      <c r="H15" s="103" t="s">
        <v>98</v>
      </c>
      <c r="I15" s="6"/>
      <c r="J15" s="100" t="s">
        <v>99</v>
      </c>
    </row>
    <row r="16" ht="42.0" customHeight="1">
      <c r="B16" s="104">
        <v>1.0</v>
      </c>
      <c r="C16" s="105" t="s">
        <v>100</v>
      </c>
      <c r="D16" s="106" t="s">
        <v>101</v>
      </c>
      <c r="E16" s="107" t="s">
        <v>102</v>
      </c>
      <c r="F16" s="6"/>
      <c r="G16" s="108" t="s">
        <v>103</v>
      </c>
      <c r="H16" s="109" t="s">
        <v>104</v>
      </c>
      <c r="I16" s="6"/>
      <c r="J16" s="110" t="s">
        <v>105</v>
      </c>
    </row>
    <row r="17" ht="39.75" customHeight="1">
      <c r="B17" s="111"/>
      <c r="C17" s="112" t="str">
        <f>D16 &amp; " " &amp; E16 &amp; " " &amp;G16&amp; " " &amp;H16&amp; " " </f>
        <v>Implementa  procesos de desarrollo de software  integrando sistemas de control de versiones, metodologías ágiles y técnicas de modelado para construir soluciones informáticas que cumplan con requerimientos funcionales y no funcionales en entornos colaborativos </v>
      </c>
      <c r="D17" s="8"/>
      <c r="E17" s="8"/>
      <c r="F17" s="8"/>
      <c r="G17" s="8"/>
      <c r="H17" s="8"/>
      <c r="I17" s="8"/>
      <c r="J17" s="6"/>
    </row>
    <row r="18">
      <c r="B18" s="99"/>
      <c r="C18" s="99"/>
      <c r="D18" s="99"/>
      <c r="E18" s="99"/>
      <c r="F18" s="99"/>
      <c r="G18" s="99"/>
      <c r="H18" s="99"/>
      <c r="I18" s="99"/>
      <c r="J18" s="99"/>
    </row>
    <row r="19">
      <c r="B19" s="98" t="s">
        <v>106</v>
      </c>
      <c r="C19" s="99"/>
      <c r="D19" s="99"/>
      <c r="E19" s="99"/>
      <c r="F19" s="99"/>
      <c r="G19" s="99"/>
      <c r="H19" s="99"/>
      <c r="I19" s="99"/>
      <c r="J19" s="99"/>
    </row>
    <row r="20">
      <c r="B20" s="99"/>
      <c r="C20" s="99"/>
      <c r="D20" s="99"/>
      <c r="E20" s="99"/>
      <c r="F20" s="99"/>
      <c r="G20" s="99"/>
      <c r="H20" s="99"/>
      <c r="I20" s="99"/>
      <c r="J20" s="99"/>
    </row>
    <row r="21">
      <c r="B21" s="100" t="s">
        <v>93</v>
      </c>
      <c r="C21" s="100" t="s">
        <v>94</v>
      </c>
      <c r="D21" s="100" t="s">
        <v>95</v>
      </c>
      <c r="E21" s="101" t="s">
        <v>96</v>
      </c>
      <c r="F21" s="6"/>
      <c r="G21" s="102" t="s">
        <v>97</v>
      </c>
      <c r="H21" s="103" t="s">
        <v>98</v>
      </c>
      <c r="I21" s="6"/>
      <c r="J21" s="100" t="s">
        <v>99</v>
      </c>
    </row>
    <row r="22" ht="50.25" customHeight="1">
      <c r="B22" s="104">
        <v>1.0</v>
      </c>
      <c r="C22" s="113" t="s">
        <v>107</v>
      </c>
      <c r="D22" s="114" t="s">
        <v>108</v>
      </c>
      <c r="E22" s="115" t="s">
        <v>109</v>
      </c>
      <c r="F22" s="6"/>
      <c r="G22" s="116" t="s">
        <v>110</v>
      </c>
      <c r="H22" s="117" t="s">
        <v>111</v>
      </c>
      <c r="I22" s="6"/>
      <c r="J22" s="118" t="s">
        <v>112</v>
      </c>
    </row>
    <row r="23" ht="46.5" customHeight="1">
      <c r="B23" s="111"/>
      <c r="C23" s="112" t="str">
        <f>D22 &amp; " " &amp; E22 &amp; " " &amp;G22&amp; " " &amp;H22&amp; " " </f>
        <v>Aplica principios de programacion y estructuras de datos utilizando distintos lenguajes y control de versiones para resolver problemas de organización y almacenamiento de datos de forma eficiente </v>
      </c>
      <c r="D23" s="8"/>
      <c r="E23" s="8"/>
      <c r="F23" s="8"/>
      <c r="G23" s="8"/>
      <c r="H23" s="8"/>
      <c r="I23" s="8"/>
      <c r="J23" s="6"/>
    </row>
    <row r="24" ht="29.25" customHeight="1">
      <c r="B24" s="104">
        <v>2.0</v>
      </c>
      <c r="C24" s="113" t="s">
        <v>107</v>
      </c>
      <c r="D24" s="114" t="s">
        <v>113</v>
      </c>
      <c r="E24" s="115" t="s">
        <v>114</v>
      </c>
      <c r="F24" s="6"/>
      <c r="G24" s="116" t="s">
        <v>115</v>
      </c>
      <c r="H24" s="117" t="s">
        <v>116</v>
      </c>
      <c r="I24" s="6"/>
      <c r="J24" s="118" t="s">
        <v>112</v>
      </c>
    </row>
    <row r="25" ht="46.5" customHeight="1">
      <c r="B25" s="111"/>
      <c r="C25" s="112" t="str">
        <f>D24 &amp; " " &amp; E24 &amp; " " &amp;G24&amp; " " &amp;H24&amp; " " </f>
        <v>Maneja grandes volúmenes de datos estructurados y no estructurados aplicando estructuras de arboles, grafos y tablas hash para optimizar procesos y búsqueda y toma de decisiones </v>
      </c>
      <c r="D25" s="8"/>
      <c r="E25" s="8"/>
      <c r="F25" s="8"/>
      <c r="G25" s="8"/>
      <c r="H25" s="8"/>
      <c r="I25" s="8"/>
      <c r="J25" s="6"/>
    </row>
    <row r="26" ht="30.75" customHeight="1">
      <c r="B26" s="104">
        <v>3.0</v>
      </c>
      <c r="C26" s="105" t="s">
        <v>100</v>
      </c>
      <c r="D26" s="114" t="s">
        <v>101</v>
      </c>
      <c r="E26" s="115" t="s">
        <v>117</v>
      </c>
      <c r="F26" s="6"/>
      <c r="G26" s="116" t="s">
        <v>118</v>
      </c>
      <c r="H26" s="117" t="s">
        <v>119</v>
      </c>
      <c r="I26" s="6"/>
      <c r="J26" s="118" t="s">
        <v>112</v>
      </c>
    </row>
    <row r="27" ht="50.25" customHeight="1">
      <c r="B27" s="111"/>
      <c r="C27" s="112" t="str">
        <f>D26 &amp; " " &amp; E26 &amp; " " &amp;G26&amp; " " &amp;H26&amp; " " </f>
        <v>Implementa estructuras de datos como listas, pilas, colas y árobles empleando programación orientada a objetos y puntos  para desarrollar soluciones modulares y eficienteas </v>
      </c>
      <c r="D27" s="8"/>
      <c r="E27" s="8"/>
      <c r="F27" s="8"/>
      <c r="G27" s="8"/>
      <c r="H27" s="8"/>
      <c r="I27" s="8"/>
      <c r="J27" s="6"/>
    </row>
    <row r="28" ht="33.0" customHeight="1">
      <c r="B28" s="104">
        <v>4.0</v>
      </c>
      <c r="C28" s="105" t="s">
        <v>100</v>
      </c>
      <c r="D28" s="114" t="s">
        <v>120</v>
      </c>
      <c r="E28" s="115" t="s">
        <v>121</v>
      </c>
      <c r="F28" s="6"/>
      <c r="G28" s="116" t="s">
        <v>122</v>
      </c>
      <c r="H28" s="117" t="s">
        <v>123</v>
      </c>
      <c r="I28" s="6"/>
      <c r="J28" s="118" t="s">
        <v>124</v>
      </c>
    </row>
    <row r="29" ht="62.25" customHeight="1">
      <c r="B29" s="111"/>
      <c r="C29" s="112" t="str">
        <f>D28 &amp; " " &amp; E28 &amp; " " &amp;G28&amp; " " &amp;H28&amp; " " </f>
        <v>Diseña algoritmos de búsqueda, ordenamiento y comprensión de datos integrando análisis de complejidad y estructuras eficientes para mejorar el rendimiento en el procesamiento de información </v>
      </c>
      <c r="D29" s="8"/>
      <c r="E29" s="8"/>
      <c r="F29" s="8"/>
      <c r="G29" s="8"/>
      <c r="H29" s="8"/>
      <c r="I29" s="8"/>
      <c r="J29" s="6"/>
    </row>
    <row r="30" ht="26.25" customHeight="1">
      <c r="B30" s="104">
        <v>5.0</v>
      </c>
      <c r="C30" s="105" t="s">
        <v>100</v>
      </c>
      <c r="D30" s="114" t="s">
        <v>125</v>
      </c>
      <c r="E30" s="115" t="s">
        <v>126</v>
      </c>
      <c r="F30" s="6"/>
      <c r="G30" s="116" t="s">
        <v>127</v>
      </c>
      <c r="H30" s="117" t="s">
        <v>128</v>
      </c>
      <c r="I30" s="6"/>
      <c r="J30" s="118" t="s">
        <v>129</v>
      </c>
    </row>
    <row r="31" ht="40.5" customHeight="1">
      <c r="B31" s="111"/>
      <c r="C31" s="112" t="str">
        <f>D30 &amp; " " &amp; E30 &amp; " " &amp;G30&amp; " " &amp;H30&amp; " " </f>
        <v>Analiza el comportamiento de algoritmos sobre distintas estructuras de datos utilizando técnicas de análisis de casos y notración O grande para seleccionar solucioens ótimas  </v>
      </c>
      <c r="D31" s="8"/>
      <c r="E31" s="8"/>
      <c r="F31" s="8"/>
      <c r="G31" s="8"/>
      <c r="H31" s="8"/>
      <c r="I31" s="8"/>
      <c r="J31" s="6"/>
    </row>
    <row r="32" ht="29.25" customHeight="1">
      <c r="B32" s="104">
        <v>6.0</v>
      </c>
      <c r="C32" s="105" t="s">
        <v>100</v>
      </c>
      <c r="D32" s="114" t="s">
        <v>130</v>
      </c>
      <c r="E32" s="115" t="s">
        <v>131</v>
      </c>
      <c r="F32" s="6"/>
      <c r="G32" s="116" t="s">
        <v>132</v>
      </c>
      <c r="H32" s="117" t="s">
        <v>133</v>
      </c>
      <c r="I32" s="6"/>
      <c r="J32" s="118" t="s">
        <v>112</v>
      </c>
    </row>
    <row r="33" ht="51.75" customHeight="1">
      <c r="B33" s="111"/>
      <c r="C33" s="112" t="str">
        <f>D32 &amp; " " &amp; E32 &amp; " " &amp;G32&amp; " " &amp;H32&amp; " " </f>
        <v>Utiliza técnias de hashing y comprensión  aplicando algoritmos como Huffman y Tablas Hash para optimizar el almacenamiento y recuperación de datos </v>
      </c>
      <c r="D33" s="8"/>
      <c r="E33" s="8"/>
      <c r="F33" s="8"/>
      <c r="G33" s="8"/>
      <c r="H33" s="8"/>
      <c r="I33" s="8"/>
      <c r="J33" s="6"/>
    </row>
    <row r="34" ht="30.0" customHeight="1">
      <c r="B34" s="104">
        <v>7.0</v>
      </c>
      <c r="C34" s="105" t="s">
        <v>100</v>
      </c>
      <c r="D34" s="114" t="s">
        <v>134</v>
      </c>
      <c r="E34" s="115" t="s">
        <v>135</v>
      </c>
      <c r="F34" s="6"/>
      <c r="G34" s="116" t="s">
        <v>136</v>
      </c>
      <c r="H34" s="117" t="s">
        <v>137</v>
      </c>
      <c r="I34" s="6"/>
      <c r="J34" s="118" t="s">
        <v>124</v>
      </c>
    </row>
    <row r="35" ht="42.0" customHeight="1">
      <c r="B35" s="111"/>
      <c r="C35" s="112" t="str">
        <f>D34 &amp; " " &amp; E34 &amp; " " &amp;G34&amp; " " &amp;H34&amp; " " </f>
        <v>Desarrolla soluciones que integran blockchain y criptografía implementando algoritmos de consenso y cifrado para asegurar la integridad y seguridad de los datos </v>
      </c>
      <c r="D35" s="8"/>
      <c r="E35" s="8"/>
      <c r="F35" s="8"/>
      <c r="G35" s="8"/>
      <c r="H35" s="8"/>
      <c r="I35" s="8"/>
      <c r="J35" s="6"/>
    </row>
    <row r="38">
      <c r="B38" s="119"/>
      <c r="C38" s="120" t="s">
        <v>138</v>
      </c>
      <c r="J38" s="121"/>
    </row>
    <row r="40">
      <c r="B40" s="122" t="s">
        <v>13</v>
      </c>
      <c r="C40" s="123" t="s">
        <v>38</v>
      </c>
      <c r="D40" s="8"/>
      <c r="E40" s="8"/>
      <c r="F40" s="8"/>
      <c r="G40" s="8"/>
      <c r="H40" s="8"/>
      <c r="I40" s="8"/>
      <c r="J40" s="6"/>
    </row>
    <row r="41">
      <c r="B41" s="124">
        <v>1.0</v>
      </c>
      <c r="C41" s="125" t="s">
        <v>139</v>
      </c>
      <c r="D41" s="8"/>
      <c r="E41" s="8"/>
      <c r="F41" s="8"/>
      <c r="G41" s="8"/>
      <c r="H41" s="8"/>
      <c r="I41" s="8"/>
      <c r="J41" s="6"/>
    </row>
    <row r="42">
      <c r="B42" s="126">
        <v>2.0</v>
      </c>
      <c r="C42" s="127" t="s">
        <v>140</v>
      </c>
      <c r="D42" s="8"/>
      <c r="E42" s="8"/>
      <c r="F42" s="8"/>
      <c r="G42" s="8"/>
      <c r="H42" s="8"/>
      <c r="I42" s="8"/>
      <c r="J42" s="6"/>
    </row>
    <row r="43">
      <c r="B43" s="126">
        <v>3.0</v>
      </c>
      <c r="C43" s="127" t="s">
        <v>141</v>
      </c>
      <c r="D43" s="8"/>
      <c r="E43" s="8"/>
      <c r="F43" s="8"/>
      <c r="G43" s="8"/>
      <c r="H43" s="8"/>
      <c r="I43" s="8"/>
      <c r="J43" s="6"/>
    </row>
    <row r="44">
      <c r="B44" s="126">
        <v>4.0</v>
      </c>
      <c r="C44" s="127" t="s">
        <v>142</v>
      </c>
      <c r="D44" s="8"/>
      <c r="E44" s="8"/>
      <c r="F44" s="8"/>
      <c r="G44" s="8"/>
      <c r="H44" s="8"/>
      <c r="I44" s="8"/>
      <c r="J44" s="6"/>
    </row>
    <row r="45">
      <c r="B45" s="126">
        <v>5.0</v>
      </c>
      <c r="C45" s="127" t="s">
        <v>143</v>
      </c>
      <c r="D45" s="8"/>
      <c r="E45" s="8"/>
      <c r="F45" s="8"/>
      <c r="G45" s="8"/>
      <c r="H45" s="8"/>
      <c r="I45" s="8"/>
      <c r="J45" s="6"/>
    </row>
    <row r="47">
      <c r="C47" s="69"/>
    </row>
  </sheetData>
  <mergeCells count="49">
    <mergeCell ref="C44:J44"/>
    <mergeCell ref="C45:J45"/>
    <mergeCell ref="H34:I34"/>
    <mergeCell ref="C35:J35"/>
    <mergeCell ref="C38:I38"/>
    <mergeCell ref="C40:J40"/>
    <mergeCell ref="C41:J41"/>
    <mergeCell ref="C42:J42"/>
    <mergeCell ref="C43:J43"/>
    <mergeCell ref="J6:P6"/>
    <mergeCell ref="J7:P7"/>
    <mergeCell ref="B2:G2"/>
    <mergeCell ref="I2:P2"/>
    <mergeCell ref="C3:G3"/>
    <mergeCell ref="J3:P3"/>
    <mergeCell ref="C4:G4"/>
    <mergeCell ref="J4:P4"/>
    <mergeCell ref="J5:P5"/>
    <mergeCell ref="C5:G5"/>
    <mergeCell ref="C6:G6"/>
    <mergeCell ref="C7:G7"/>
    <mergeCell ref="B12:J12"/>
    <mergeCell ref="B13:J13"/>
    <mergeCell ref="E15:F15"/>
    <mergeCell ref="E16:F16"/>
    <mergeCell ref="C17:J17"/>
    <mergeCell ref="H15:I15"/>
    <mergeCell ref="H16:I16"/>
    <mergeCell ref="E21:F21"/>
    <mergeCell ref="H21:I21"/>
    <mergeCell ref="E22:F22"/>
    <mergeCell ref="H22:I22"/>
    <mergeCell ref="C23:J23"/>
    <mergeCell ref="E24:F24"/>
    <mergeCell ref="H24:I24"/>
    <mergeCell ref="C25:J25"/>
    <mergeCell ref="E26:F26"/>
    <mergeCell ref="H26:I26"/>
    <mergeCell ref="C27:J27"/>
    <mergeCell ref="E28:F28"/>
    <mergeCell ref="E32:F32"/>
    <mergeCell ref="E34:F34"/>
    <mergeCell ref="H28:I28"/>
    <mergeCell ref="C29:J29"/>
    <mergeCell ref="E30:F30"/>
    <mergeCell ref="H30:I30"/>
    <mergeCell ref="C31:J31"/>
    <mergeCell ref="H32:I32"/>
    <mergeCell ref="C33:J33"/>
  </mergeCells>
  <dataValidations>
    <dataValidation type="list" allowBlank="1" showErrorMessage="1" sqref="C3:C7">
      <formula1>MetaData!$D:$D</formula1>
    </dataValidation>
    <dataValidation type="list" allowBlank="1" showErrorMessage="1" sqref="J3:J7">
      <formula1>MetaData!$G:$G</formula1>
    </dataValidation>
    <dataValidation type="list" allowBlank="1" showErrorMessage="1" sqref="C16 C22 C24 C26 C28 C30 C32 C34">
      <formula1>MetaData!$L:$L</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2.63"/>
    <col customWidth="1" min="2" max="2" width="43.75"/>
    <col customWidth="1" min="3" max="3" width="19.75"/>
    <col customWidth="1" min="4" max="4" width="58.75"/>
    <col customWidth="1" min="5" max="5" width="17.0"/>
    <col customWidth="1" min="7" max="7" width="58.38"/>
    <col customWidth="1" min="8" max="8" width="4.75"/>
    <col customWidth="1" min="9" max="9" width="10.5"/>
    <col customWidth="1" min="11" max="11" width="9.38"/>
    <col customWidth="1" min="12" max="12" width="13.75"/>
    <col customWidth="1" min="13" max="13" width="4.13"/>
    <col customWidth="1" min="14" max="14" width="18.38"/>
    <col customWidth="1" min="15" max="15" width="5.0"/>
    <col customWidth="1" min="16" max="16" width="41.0"/>
    <col customWidth="1" min="17" max="17" width="4.88"/>
    <col customWidth="1" min="18" max="18" width="49.88"/>
  </cols>
  <sheetData>
    <row r="1">
      <c r="A1" s="128" t="s">
        <v>144</v>
      </c>
      <c r="C1" s="128" t="s">
        <v>145</v>
      </c>
      <c r="E1" s="69" t="s">
        <v>146</v>
      </c>
      <c r="F1" s="128" t="s">
        <v>147</v>
      </c>
      <c r="J1" s="129" t="s">
        <v>148</v>
      </c>
      <c r="L1" s="129"/>
      <c r="N1" s="129"/>
      <c r="P1" s="129"/>
    </row>
    <row r="2">
      <c r="A2" s="130" t="str">
        <f>IFERROR(__xludf.DUMMYFUNCTION("IMPORTRANGE(""1--DGkU5oDw3gpAa_rQkeu1olWCf2iv8Pm7BNjqiyiuY"", ""Listado Cursos!H:H"")"),"Codigo - Nombre")</f>
        <v>Codigo - Nombre</v>
      </c>
      <c r="B2" s="131" t="str">
        <f>IFERROR(__xludf.DUMMYFUNCTION("IMPORTRANGE(""1--DGkU5oDw3gpAa_rQkeu1olWCf2iv8Pm7BNjqiyiuY"", ""Listado Cursos!I:I"")"),"Diseño Curricular")</f>
        <v>Diseño Curricular</v>
      </c>
      <c r="C2" s="132" t="str">
        <f>IFERROR(__xludf.DUMMYFUNCTION("QUERY(IMPORTRANGE(""1--DGkU5oDw3gpAa_rQkeu1olWCf2iv8Pm7BNjqiyiuY"", ""Perfil egresado!A:C""), ""SELECT Col2, Col3 WHERE Col1 = 'Competencia General' ORDER BY Col2"")"),"No.")</f>
        <v>No.</v>
      </c>
      <c r="D2" s="133" t="str">
        <f>IFERROR(__xludf.DUMMYFUNCTION("""COMPUTED_VALUE"""),"Descripcion")</f>
        <v>Descripcion</v>
      </c>
      <c r="E2" s="133"/>
      <c r="F2" s="132" t="str">
        <f>IFERROR(__xludf.DUMMYFUNCTION("QUERY(IMPORTRANGE(""1--DGkU5oDw3gpAa_rQkeu1olWCf2iv8Pm7BNjqiyiuY"", ""Perfil egresado!A:C""), ""SELECT Col2, Col3 WHERE Col1 = 'Competencias Específica' ORDER BY Col2"")"),"No.")</f>
        <v>No.</v>
      </c>
      <c r="G2" s="133" t="str">
        <f>IFERROR(__xludf.DUMMYFUNCTION("""COMPUTED_VALUE"""),"Descripcion")</f>
        <v>Descripcion</v>
      </c>
      <c r="H2" s="133"/>
      <c r="I2" s="133" t="s">
        <v>149</v>
      </c>
      <c r="J2" s="133" t="str">
        <f>IFERROR(__xludf.DUMMYFUNCTION("IMPORTRANGE(""1--DGkU5oDw3gpAa_rQkeu1olWCf2iv8Pm7BNjqiyiuY"", ""Taxonomia!A:B"")"),"Nivel")</f>
        <v>Nivel</v>
      </c>
      <c r="K2" s="132" t="str">
        <f>IFERROR(__xludf.DUMMYFUNCTION("""COMPUTED_VALUE"""),"Verbo")</f>
        <v>Verbo</v>
      </c>
      <c r="L2" s="133" t="str">
        <f>IFERROR(__xludf.DUMMYFUNCTION("IMPORTRANGE(""1--DGkU5oDw3gpAa_rQkeu1olWCf2iv8Pm7BNjqiyiuY"", ""Taxonomia!C:C"")"),"Tipo")</f>
        <v>Tipo</v>
      </c>
      <c r="M2" s="133"/>
      <c r="N2" s="133" t="str">
        <f>IFERROR(__xludf.DUMMYFUNCTION("IMPORTRANGE(""1--DGkU5oDw3gpAa_rQkeu1olWCf2iv8Pm7BNjqiyiuY"", ""Taxonomia!D:D"")"),"Conector")</f>
        <v>Conector</v>
      </c>
      <c r="O2" s="133"/>
      <c r="P2" s="133" t="str">
        <f>IFERROR(__xludf.DUMMYFUNCTION("IMPORTRANGE(""1--DGkU5oDw3gpAa_rQkeu1olWCf2iv8Pm7BNjqiyiuY"", ""Catedraticos Cursos!K:K"")"),"Nombre - Apellido")</f>
        <v>Nombre - Apellido</v>
      </c>
      <c r="Q2" s="133"/>
      <c r="R2" s="133"/>
      <c r="S2" s="133"/>
      <c r="T2" s="133"/>
      <c r="U2" s="133"/>
      <c r="V2" s="133"/>
      <c r="W2" s="133"/>
      <c r="X2" s="133"/>
      <c r="Y2" s="133"/>
      <c r="Z2" s="133"/>
    </row>
    <row r="3">
      <c r="A3" s="70" t="str">
        <f>IFERROR(__xludf.DUMMYFUNCTION("""COMPUTED_VALUE"""),"17 - Área Social Humanística 1")</f>
        <v>17 - Área Social Humanística 1</v>
      </c>
      <c r="B3" s="70"/>
      <c r="C3" s="70">
        <f>IFERROR(__xludf.DUMMYFUNCTION("""COMPUTED_VALUE"""),1.0)</f>
        <v>1</v>
      </c>
      <c r="D3" s="70" t="str">
        <f>IFERROR(__xludf.DUMMYFUNCTION("""COMPUTED_VALUE"""),"Aplica los conocimientos de su disciplina en la elaboración, fundamentación
 y defensa de argumentos para prevenir y resolver problemas complejos en
 su campo profesional, identificando y aplicando innovaciones.")</f>
        <v>Aplica los conocimientos de su disciplina en la elaboración, fundamentación
 y defensa de argumentos para prevenir y resolver problemas complejos en
 su campo profesional, identificando y aplicando innovaciones.</v>
      </c>
      <c r="F3" s="70">
        <f>IFERROR(__xludf.DUMMYFUNCTION("""COMPUTED_VALUE"""),1.0)</f>
        <v>1</v>
      </c>
      <c r="G3" s="70" t="str">
        <f>IFERROR(__xludf.DUMMYFUNCTION("""COMPUTED_VALUE"""),"Aplica principios básicos de ingeniería, ciencias de computación y sistemas
 de información y comunicación, en la formulación y resolución adecuada de
 problemas complejos.")</f>
        <v>Aplica principios básicos de ingeniería, ciencias de computación y sistemas
 de información y comunicación, en la formulación y resolución adecuada de
 problemas complejos.</v>
      </c>
      <c r="I3" s="70" t="s">
        <v>150</v>
      </c>
      <c r="J3" s="70" t="str">
        <f>IFERROR(__xludf.DUMMYFUNCTION("""COMPUTED_VALUE"""),"Recordar")</f>
        <v>Recordar</v>
      </c>
      <c r="K3" s="70" t="str">
        <f>IFERROR(__xludf.DUMMYFUNCTION("""COMPUTED_VALUE"""),"Definir")</f>
        <v>Definir</v>
      </c>
      <c r="L3" s="70" t="str">
        <f>IFERROR(__xludf.DUMMYFUNCTION("""COMPUTED_VALUE"""),"Especifica")</f>
        <v>Especifica</v>
      </c>
      <c r="N3" s="70" t="str">
        <f>IFERROR(__xludf.DUMMYFUNCTION("""COMPUTED_VALUE"""),"Además")</f>
        <v>Además</v>
      </c>
      <c r="P3" s="70" t="str">
        <f>IFERROR(__xludf.DUMMYFUNCTION("""COMPUTED_VALUE"""),"WILLIAM SAMUEL GUEVARA ORELLANA")</f>
        <v>WILLIAM SAMUEL GUEVARA ORELLANA</v>
      </c>
    </row>
    <row r="4">
      <c r="A4" s="70" t="str">
        <f>IFERROR(__xludf.DUMMYFUNCTION("""COMPUTED_VALUE"""),"101 - Área Matemática Básica 1")</f>
        <v>101 - Área Matemática Básica 1</v>
      </c>
      <c r="B4" s="70"/>
      <c r="C4" s="70">
        <f>IFERROR(__xludf.DUMMYFUNCTION("""COMPUTED_VALUE"""),2.0)</f>
        <v>2</v>
      </c>
      <c r="D4" s="70" t="str">
        <f>IFERROR(__xludf.DUMMYFUNCTION("""COMPUTED_VALUE"""),"Identifica oportunidades y riesgos para la innovación y adaptación de
 conocimientos y tecnologías para resolver problemas.")</f>
        <v>Identifica oportunidades y riesgos para la innovación y adaptación de
 conocimientos y tecnologías para resolver problemas.</v>
      </c>
      <c r="F4" s="70">
        <f>IFERROR(__xludf.DUMMYFUNCTION("""COMPUTED_VALUE"""),2.0)</f>
        <v>2</v>
      </c>
      <c r="G4" s="70" t="str">
        <f>IFERROR(__xludf.DUMMYFUNCTION("""COMPUTED_VALUE"""),"Aplica estándares de calidad, eficiencia y seguridad en la implementación
 adecuada de soluciones de software, hardware y TIC en general.")</f>
        <v>Aplica estándares de calidad, eficiencia y seguridad en la implementación
 adecuada de soluciones de software, hardware y TIC en general.</v>
      </c>
      <c r="I4" s="70" t="s">
        <v>151</v>
      </c>
      <c r="J4" s="70" t="str">
        <f>IFERROR(__xludf.DUMMYFUNCTION("""COMPUTED_VALUE"""),"Recordar")</f>
        <v>Recordar</v>
      </c>
      <c r="K4" s="70" t="str">
        <f>IFERROR(__xludf.DUMMYFUNCTION("""COMPUTED_VALUE"""),"Identificar")</f>
        <v>Identificar</v>
      </c>
      <c r="L4" s="70" t="str">
        <f>IFERROR(__xludf.DUMMYFUNCTION("""COMPUTED_VALUE"""),"General")</f>
        <v>General</v>
      </c>
      <c r="N4" s="70" t="str">
        <f>IFERROR(__xludf.DUMMYFUNCTION("""COMPUTED_VALUE"""),"También")</f>
        <v>También</v>
      </c>
      <c r="P4" s="70" t="str">
        <f>IFERROR(__xludf.DUMMYFUNCTION("""COMPUTED_VALUE"""),"EDGAR FRANCISCO RODAS ROBLEDO")</f>
        <v>EDGAR FRANCISCO RODAS ROBLEDO</v>
      </c>
    </row>
    <row r="5">
      <c r="A5" s="70" t="str">
        <f>IFERROR(__xludf.DUMMYFUNCTION("""COMPUTED_VALUE"""),"5 - Técnicas de Estudio e Investigación")</f>
        <v>5 - Técnicas de Estudio e Investigación</v>
      </c>
      <c r="B5" s="70"/>
      <c r="C5" s="70">
        <f>IFERROR(__xludf.DUMMYFUNCTION("""COMPUTED_VALUE"""),3.0)</f>
        <v>3</v>
      </c>
      <c r="D5" s="70" t="str">
        <f>IFERROR(__xludf.DUMMYFUNCTION("""COMPUTED_VALUE"""),"Demuestra pensamiento crítico, actitud investigativa y rigor analítico en el
 planteamiento y la resolución de problemas complejos.")</f>
        <v>Demuestra pensamiento crítico, actitud investigativa y rigor analítico en el
 planteamiento y la resolución de problemas complejos.</v>
      </c>
      <c r="F5" s="70">
        <f>IFERROR(__xludf.DUMMYFUNCTION("""COMPUTED_VALUE"""),3.0)</f>
        <v>3</v>
      </c>
      <c r="G5" s="70" t="str">
        <f>IFERROR(__xludf.DUMMYFUNCTION("""COMPUTED_VALUE"""),"Aplica conocimientos tecnológicos con ética profesional y respetando y
 cuidando los recursos naturales, humanos y financieros.")</f>
        <v>Aplica conocimientos tecnológicos con ética profesional y respetando y
 cuidando los recursos naturales, humanos y financieros.</v>
      </c>
      <c r="I5" s="70" t="s">
        <v>152</v>
      </c>
      <c r="J5" s="70" t="str">
        <f>IFERROR(__xludf.DUMMYFUNCTION("""COMPUTED_VALUE"""),"Recordar")</f>
        <v>Recordar</v>
      </c>
      <c r="K5" s="70" t="str">
        <f>IFERROR(__xludf.DUMMYFUNCTION("""COMPUTED_VALUE"""),"Listar")</f>
        <v>Listar</v>
      </c>
      <c r="L5" s="70"/>
      <c r="N5" s="70" t="str">
        <f>IFERROR(__xludf.DUMMYFUNCTION("""COMPUTED_VALUE"""),"Asimismo")</f>
        <v>Asimismo</v>
      </c>
      <c r="P5" s="70" t="str">
        <f>IFERROR(__xludf.DUMMYFUNCTION("""COMPUTED_VALUE"""),"CLAUDIA LICETH ROJAS MORALES")</f>
        <v>CLAUDIA LICETH ROJAS MORALES</v>
      </c>
    </row>
    <row r="6">
      <c r="A6" s="70" t="str">
        <f>IFERROR(__xludf.DUMMYFUNCTION("""COMPUTED_VALUE"""),"39 - Deportes 1")</f>
        <v>39 - Deportes 1</v>
      </c>
      <c r="B6" s="70"/>
      <c r="C6" s="70">
        <f>IFERROR(__xludf.DUMMYFUNCTION("""COMPUTED_VALUE"""),4.0)</f>
        <v>4</v>
      </c>
      <c r="D6" s="70" t="str">
        <f>IFERROR(__xludf.DUMMYFUNCTION("""COMPUTED_VALUE"""),"Toma decisiones profesionales con base en fundamentos teóricos, datos e
 información pertinente, válida y confiable.")</f>
        <v>Toma decisiones profesionales con base en fundamentos teóricos, datos e
 información pertinente, válida y confiable.</v>
      </c>
      <c r="F6" s="70">
        <f>IFERROR(__xludf.DUMMYFUNCTION("""COMPUTED_VALUE"""),4.0)</f>
        <v>4</v>
      </c>
      <c r="G6" s="70" t="str">
        <f>IFERROR(__xludf.DUMMYFUNCTION("""COMPUTED_VALUE"""),"Maneja e Interpreta adecuadamente datos masivos, sean estos
 estructurados o no estructurados, facilitando su visualización e interpretación
 de forma eficaz en apoyo a la toma de decisiones.")</f>
        <v>Maneja e Interpreta adecuadamente datos masivos, sean estos
 estructurados o no estructurados, facilitando su visualización e interpretación
 de forma eficaz en apoyo a la toma de decisiones.</v>
      </c>
      <c r="I6" s="70" t="s">
        <v>153</v>
      </c>
      <c r="J6" s="70" t="str">
        <f>IFERROR(__xludf.DUMMYFUNCTION("""COMPUTED_VALUE"""),"Recordar")</f>
        <v>Recordar</v>
      </c>
      <c r="K6" s="70" t="str">
        <f>IFERROR(__xludf.DUMMYFUNCTION("""COMPUTED_VALUE"""),"Nombrar")</f>
        <v>Nombrar</v>
      </c>
      <c r="L6" s="70"/>
      <c r="N6" s="70" t="str">
        <f>IFERROR(__xludf.DUMMYFUNCTION("""COMPUTED_VALUE"""),"Igualmente")</f>
        <v>Igualmente</v>
      </c>
      <c r="P6" s="70" t="str">
        <f>IFERROR(__xludf.DUMMYFUNCTION("""COMPUTED_VALUE"""),"MIRNA IVONNE ALDANA LARRAZABAL")</f>
        <v>MIRNA IVONNE ALDANA LARRAZABAL</v>
      </c>
    </row>
    <row r="7">
      <c r="A7" s="70" t="str">
        <f>IFERROR(__xludf.DUMMYFUNCTION("""COMPUTED_VALUE"""),"6 - Idioma Tecnico 1")</f>
        <v>6 - Idioma Tecnico 1</v>
      </c>
      <c r="B7" s="70"/>
      <c r="C7" s="70">
        <f>IFERROR(__xludf.DUMMYFUNCTION("""COMPUTED_VALUE"""),5.0)</f>
        <v>5</v>
      </c>
      <c r="D7" s="70" t="str">
        <f>IFERROR(__xludf.DUMMYFUNCTION("""COMPUTED_VALUE"""),"Demuestra destreza y habilidad en la selección, uso y adaptación de
 herramientas metodológicas, tecnológicas, equipos especializados y en la
 lectura e interpretación de datos, pertinentes al contexto de su ejercicio
 profesional.")</f>
        <v>Demuestra destreza y habilidad en la selección, uso y adaptación de
 herramientas metodológicas, tecnológicas, equipos especializados y en la
 lectura e interpretación de datos, pertinentes al contexto de su ejercicio
 profesional.</v>
      </c>
      <c r="F7" s="70">
        <f>IFERROR(__xludf.DUMMYFUNCTION("""COMPUTED_VALUE"""),5.0)</f>
        <v>5</v>
      </c>
      <c r="G7" s="70" t="str">
        <f>IFERROR(__xludf.DUMMYFUNCTION("""COMPUTED_VALUE"""),"Domina diversos recursos de comunicación con el objetivo de presentar
 adecuadamente sus propuestas a variados tipos de audiencias, en idioma
 español, inglés e idealmente en un tercer idioma acorde a las necesidades
 globales.")</f>
        <v>Domina diversos recursos de comunicación con el objetivo de presentar
 adecuadamente sus propuestas a variados tipos de audiencias, en idioma
 español, inglés e idealmente en un tercer idioma acorde a las necesidades
 globales.</v>
      </c>
      <c r="I7" s="70" t="s">
        <v>154</v>
      </c>
      <c r="J7" s="70" t="str">
        <f>IFERROR(__xludf.DUMMYFUNCTION("""COMPUTED_VALUE"""),"Recordar")</f>
        <v>Recordar</v>
      </c>
      <c r="K7" s="70" t="str">
        <f>IFERROR(__xludf.DUMMYFUNCTION("""COMPUTED_VALUE"""),"Reconocer")</f>
        <v>Reconocer</v>
      </c>
      <c r="L7" s="70"/>
      <c r="N7" s="70" t="str">
        <f>IFERROR(__xludf.DUMMYFUNCTION("""COMPUTED_VALUE"""),"A su vez")</f>
        <v>A su vez</v>
      </c>
      <c r="P7" s="70" t="str">
        <f>IFERROR(__xludf.DUMMYFUNCTION("""COMPUTED_VALUE"""),"OTTO RENE ESCOBAR LEIVA")</f>
        <v>OTTO RENE ESCOBAR LEIVA</v>
      </c>
    </row>
    <row r="8">
      <c r="A8" s="70" t="str">
        <f>IFERROR(__xludf.DUMMYFUNCTION("""COMPUTED_VALUE"""),"19 - Área Social Humanística 2")</f>
        <v>19 - Área Social Humanística 2</v>
      </c>
      <c r="B8" s="70"/>
      <c r="C8" s="70">
        <f>IFERROR(__xludf.DUMMYFUNCTION("""COMPUTED_VALUE"""),6.0)</f>
        <v>6</v>
      </c>
      <c r="D8" s="70" t="str">
        <f>IFERROR(__xludf.DUMMYFUNCTION("""COMPUTED_VALUE"""),"Identifica sus necesidades de actualización, capacitación y formación,
 durante su proceso formativo y en el ejercicio profesional, y busca los medios
 para cubrirlas por medios formales e informales, nacionales e
 internacionales, presenciales y en línea"&amp;".")</f>
        <v>Identifica sus necesidades de actualización, capacitación y formación,
 durante su proceso formativo y en el ejercicio profesional, y busca los medios
 para cubrirlas por medios formales e informales, nacionales e
 internacionales, presenciales y en línea.</v>
      </c>
      <c r="F8" s="70">
        <f>IFERROR(__xludf.DUMMYFUNCTION("""COMPUTED_VALUE"""),6.0)</f>
        <v>6</v>
      </c>
      <c r="G8" s="70" t="str">
        <f>IFERROR(__xludf.DUMMYFUNCTION("""COMPUTED_VALUE"""),"Construye soluciones integrales trabajando en forma colaborativa y
 propositiva en equipos interdisciplinarios, en forma presencial o utilizando
 plataformas virtuales.")</f>
        <v>Construye soluciones integrales trabajando en forma colaborativa y
 propositiva en equipos interdisciplinarios, en forma presencial o utilizando
 plataformas virtuales.</v>
      </c>
      <c r="I8" s="70" t="s">
        <v>155</v>
      </c>
      <c r="J8" s="70" t="str">
        <f>IFERROR(__xludf.DUMMYFUNCTION("""COMPUTED_VALUE"""),"Recordar")</f>
        <v>Recordar</v>
      </c>
      <c r="K8" s="70" t="str">
        <f>IFERROR(__xludf.DUMMYFUNCTION("""COMPUTED_VALUE"""),"Recuperar")</f>
        <v>Recuperar</v>
      </c>
      <c r="L8" s="70"/>
      <c r="N8" s="70" t="str">
        <f>IFERROR(__xludf.DUMMYFUNCTION("""COMPUTED_VALUE"""),"De igual forma")</f>
        <v>De igual forma</v>
      </c>
      <c r="P8" s="70" t="str">
        <f>IFERROR(__xludf.DUMMYFUNCTION("""COMPUTED_VALUE"""),"OTTO RENE ESCOBAR LEIVA")</f>
        <v>OTTO RENE ESCOBAR LEIVA</v>
      </c>
    </row>
    <row r="9">
      <c r="A9" s="70" t="str">
        <f>IFERROR(__xludf.DUMMYFUNCTION("""COMPUTED_VALUE"""),"103 - Área Matemática Básica 2")</f>
        <v>103 - Área Matemática Básica 2</v>
      </c>
      <c r="B9" s="70"/>
      <c r="C9" s="70">
        <f>IFERROR(__xludf.DUMMYFUNCTION("""COMPUTED_VALUE"""),7.0)</f>
        <v>7</v>
      </c>
      <c r="D9" s="70" t="str">
        <f>IFERROR(__xludf.DUMMYFUNCTION("""COMPUTED_VALUE"""),"Comunica a diversos públicos, información de su campo profesional, en
 varios lenguajes y formatos de manera asertiva, clara, rigurosa y precisa, con
 el uso apropiado de recursos tecnológicos.")</f>
        <v>Comunica a diversos públicos, información de su campo profesional, en
 varios lenguajes y formatos de manera asertiva, clara, rigurosa y precisa, con
 el uso apropiado de recursos tecnológicos.</v>
      </c>
      <c r="F9" s="70">
        <f>IFERROR(__xludf.DUMMYFUNCTION("""COMPUTED_VALUE"""),7.0)</f>
        <v>7</v>
      </c>
      <c r="G9" s="70" t="str">
        <f>IFERROR(__xludf.DUMMYFUNCTION("""COMPUTED_VALUE"""),"Actualiza permanente sus conocimientos relacionados con TIC en general,
 apoyándose en las estrategias de aprendizaje apropiadas.")</f>
        <v>Actualiza permanente sus conocimientos relacionados con TIC en general,
 apoyándose en las estrategias de aprendizaje apropiadas.</v>
      </c>
      <c r="I9" s="70" t="s">
        <v>156</v>
      </c>
      <c r="J9" s="70" t="str">
        <f>IFERROR(__xludf.DUMMYFUNCTION("""COMPUTED_VALUE"""),"Recordar")</f>
        <v>Recordar</v>
      </c>
      <c r="K9" s="70" t="str">
        <f>IFERROR(__xludf.DUMMYFUNCTION("""COMPUTED_VALUE"""),"Enumerar")</f>
        <v>Enumerar</v>
      </c>
      <c r="L9" s="70"/>
      <c r="N9" s="70" t="str">
        <f>IFERROR(__xludf.DUMMYFUNCTION("""COMPUTED_VALUE"""),"Incluso")</f>
        <v>Incluso</v>
      </c>
      <c r="P9" s="70" t="str">
        <f>IFERROR(__xludf.DUMMYFUNCTION("""COMPUTED_VALUE"""),"GABRIEL ALEJANDRO DÍAZ LÓPEZ")</f>
        <v>GABRIEL ALEJANDRO DÍAZ LÓPEZ</v>
      </c>
    </row>
    <row r="10">
      <c r="A10" s="70" t="str">
        <f>IFERROR(__xludf.DUMMYFUNCTION("""COMPUTED_VALUE"""),"960 - Matemática Para Computación 1")</f>
        <v>960 - Matemática Para Computación 1</v>
      </c>
      <c r="B10" s="70"/>
      <c r="C10" s="70">
        <f>IFERROR(__xludf.DUMMYFUNCTION("""COMPUTED_VALUE"""),8.0)</f>
        <v>8</v>
      </c>
      <c r="D10" s="70" t="str">
        <f>IFERROR(__xludf.DUMMYFUNCTION("""COMPUTED_VALUE"""),"Se comunica correctamente en su lengua oficial y utiliza una lengua
 extranjera con el dominio requerido para el ejercicio de su profesión.")</f>
        <v>Se comunica correctamente en su lengua oficial y utiliza una lengua
 extranjera con el dominio requerido para el ejercicio de su profesión.</v>
      </c>
      <c r="I10" s="70" t="s">
        <v>157</v>
      </c>
      <c r="J10" s="70" t="str">
        <f>IFERROR(__xludf.DUMMYFUNCTION("""COMPUTED_VALUE"""),"Recordar")</f>
        <v>Recordar</v>
      </c>
      <c r="K10" s="70" t="str">
        <f>IFERROR(__xludf.DUMMYFUNCTION("""COMPUTED_VALUE"""),"Memorizar")</f>
        <v>Memorizar</v>
      </c>
      <c r="L10" s="70"/>
      <c r="N10" s="70" t="str">
        <f>IFERROR(__xludf.DUMMYFUNCTION("""COMPUTED_VALUE"""),"De la misma manera")</f>
        <v>De la misma manera</v>
      </c>
      <c r="P10" s="70" t="str">
        <f>IFERROR(__xludf.DUMMYFUNCTION("""COMPUTED_VALUE"""),"JURGEN ANDONI RAMIREZ RAMIREZ")</f>
        <v>JURGEN ANDONI RAMIREZ RAMIREZ</v>
      </c>
    </row>
    <row r="11">
      <c r="A11" s="70" t="str">
        <f>IFERROR(__xludf.DUMMYFUNCTION("""COMPUTED_VALUE"""),"147 - Física Básica")</f>
        <v>147 - Física Básica</v>
      </c>
      <c r="B11" s="70"/>
      <c r="C11" s="70">
        <f>IFERROR(__xludf.DUMMYFUNCTION("""COMPUTED_VALUE"""),9.0)</f>
        <v>9</v>
      </c>
      <c r="D11" s="70" t="str">
        <f>IFERROR(__xludf.DUMMYFUNCTION("""COMPUTED_VALUE"""),"Lidera y colabora proactivamente en equipos de trabajo y en comunidades
 profesionales para el logro de objetivos y mejoramiento de la calidad de vida.")</f>
        <v>Lidera y colabora proactivamente en equipos de trabajo y en comunidades
 profesionales para el logro de objetivos y mejoramiento de la calidad de vida.</v>
      </c>
      <c r="I11" s="70" t="s">
        <v>158</v>
      </c>
      <c r="J11" s="70" t="str">
        <f>IFERROR(__xludf.DUMMYFUNCTION("""COMPUTED_VALUE"""),"Recordar")</f>
        <v>Recordar</v>
      </c>
      <c r="K11" s="70" t="str">
        <f>IFERROR(__xludf.DUMMYFUNCTION("""COMPUTED_VALUE"""),"Registrar")</f>
        <v>Registrar</v>
      </c>
      <c r="L11" s="70"/>
      <c r="N11" s="70" t="str">
        <f>IFERROR(__xludf.DUMMYFUNCTION("""COMPUTED_VALUE"""),"Así como")</f>
        <v>Así como</v>
      </c>
      <c r="P11" s="70" t="str">
        <f>IFERROR(__xludf.DUMMYFUNCTION("""COMPUTED_VALUE"""),"LUIS FERNANDO ESPINO BARRIOS")</f>
        <v>LUIS FERNANDO ESPINO BARRIOS</v>
      </c>
    </row>
    <row r="12">
      <c r="A12" s="70" t="str">
        <f>IFERROR(__xludf.DUMMYFUNCTION("""COMPUTED_VALUE"""),"40 - Deportes 2")</f>
        <v>40 - Deportes 2</v>
      </c>
      <c r="B12" s="70"/>
      <c r="I12" s="70" t="s">
        <v>159</v>
      </c>
      <c r="J12" s="70" t="str">
        <f>IFERROR(__xludf.DUMMYFUNCTION("""COMPUTED_VALUE"""),"Recordar")</f>
        <v>Recordar</v>
      </c>
      <c r="K12" s="70" t="str">
        <f>IFERROR(__xludf.DUMMYFUNCTION("""COMPUTED_VALUE"""),"Reproducir")</f>
        <v>Reproducir</v>
      </c>
      <c r="L12" s="70"/>
      <c r="N12" s="70" t="str">
        <f>IFERROR(__xludf.DUMMYFUNCTION("""COMPUTED_VALUE"""),"Sin embargo")</f>
        <v>Sin embargo</v>
      </c>
      <c r="P12" s="70" t="str">
        <f>IFERROR(__xludf.DUMMYFUNCTION("""COMPUTED_VALUE"""),"ALVARO GIOVANNI LONGO MORALES")</f>
        <v>ALVARO GIOVANNI LONGO MORALES</v>
      </c>
    </row>
    <row r="13">
      <c r="A13" s="70" t="str">
        <f>IFERROR(__xludf.DUMMYFUNCTION("""COMPUTED_VALUE"""),"8 - Idioma Técnico 2")</f>
        <v>8 - Idioma Técnico 2</v>
      </c>
      <c r="B13" s="70"/>
      <c r="I13" s="70" t="s">
        <v>160</v>
      </c>
      <c r="J13" s="70" t="str">
        <f>IFERROR(__xludf.DUMMYFUNCTION("""COMPUTED_VALUE"""),"Comprender")</f>
        <v>Comprender</v>
      </c>
      <c r="K13" s="70" t="str">
        <f>IFERROR(__xludf.DUMMYFUNCTION("""COMPUTED_VALUE"""),"Explicar")</f>
        <v>Explicar</v>
      </c>
      <c r="L13" s="70"/>
      <c r="N13" s="70" t="str">
        <f>IFERROR(__xludf.DUMMYFUNCTION("""COMPUTED_VALUE"""),"No obstante")</f>
        <v>No obstante</v>
      </c>
      <c r="P13" s="70" t="str">
        <f>IFERROR(__xludf.DUMMYFUNCTION("""COMPUTED_VALUE"""),"OTTO AMILCAR RODRIGUEZ ACOSTA")</f>
        <v>OTTO AMILCAR RODRIGUEZ ACOSTA</v>
      </c>
    </row>
    <row r="14">
      <c r="A14" s="70" t="str">
        <f>IFERROR(__xludf.DUMMYFUNCTION("""COMPUTED_VALUE"""),"795 - Logica de Sitemas")</f>
        <v>795 - Logica de Sitemas</v>
      </c>
      <c r="B14" s="70" t="str">
        <f>IFERROR(__xludf.DUMMYFUNCTION("""COMPUTED_VALUE"""),"1tGblVNcAY7QU_u00ZUgf5GJjDZOK39vXt9FvZeMfPKg")</f>
        <v>1tGblVNcAY7QU_u00ZUgf5GJjDZOK39vXt9FvZeMfPKg</v>
      </c>
      <c r="I14" s="70" t="s">
        <v>161</v>
      </c>
      <c r="J14" s="70" t="str">
        <f>IFERROR(__xludf.DUMMYFUNCTION("""COMPUTED_VALUE"""),"Comprender")</f>
        <v>Comprender</v>
      </c>
      <c r="K14" s="70" t="str">
        <f>IFERROR(__xludf.DUMMYFUNCTION("""COMPUTED_VALUE"""),"Describir")</f>
        <v>Describir</v>
      </c>
      <c r="L14" s="70"/>
      <c r="N14" s="70" t="str">
        <f>IFERROR(__xludf.DUMMYFUNCTION("""COMPUTED_VALUE"""),"Aunque")</f>
        <v>Aunque</v>
      </c>
      <c r="P14" s="70" t="str">
        <f>IFERROR(__xludf.DUMMYFUNCTION("""COMPUTED_VALUE"""),"LUIS ALBERTO ARIAS")</f>
        <v>LUIS ALBERTO ARIAS</v>
      </c>
    </row>
    <row r="15">
      <c r="A15" s="70" t="str">
        <f>IFERROR(__xludf.DUMMYFUNCTION("""COMPUTED_VALUE"""),"962 - Matemática Para Computación 2")</f>
        <v>962 - Matemática Para Computación 2</v>
      </c>
      <c r="B15" s="70"/>
      <c r="I15" s="70" t="s">
        <v>162</v>
      </c>
      <c r="J15" s="70" t="str">
        <f>IFERROR(__xludf.DUMMYFUNCTION("""COMPUTED_VALUE"""),"Comprender")</f>
        <v>Comprender</v>
      </c>
      <c r="K15" s="70" t="str">
        <f>IFERROR(__xludf.DUMMYFUNCTION("""COMPUTED_VALUE"""),"Interpretar")</f>
        <v>Interpretar</v>
      </c>
      <c r="L15" s="70"/>
      <c r="N15" s="70" t="str">
        <f>IFERROR(__xludf.DUMMYFUNCTION("""COMPUTED_VALUE"""),"A pesar de")</f>
        <v>A pesar de</v>
      </c>
      <c r="P15" s="70" t="str">
        <f>IFERROR(__xludf.DUMMYFUNCTION("""COMPUTED_VALUE"""),"ILEANA GUISELA RALDA RECINOS")</f>
        <v>ILEANA GUISELA RALDA RECINOS</v>
      </c>
    </row>
    <row r="16">
      <c r="A16" s="70" t="str">
        <f>IFERROR(__xludf.DUMMYFUNCTION("""COMPUTED_VALUE"""),"770 - Introducción a ala programación y computación 1")</f>
        <v>770 - Introducción a ala programación y computación 1</v>
      </c>
      <c r="B16" s="70" t="str">
        <f>IFERROR(__xludf.DUMMYFUNCTION("""COMPUTED_VALUE"""),"1hnCz3e7R539DMJA_6KBromYXyQWjR5cbX4eUFYyZB78")</f>
        <v>1hnCz3e7R539DMJA_6KBromYXyQWjR5cbX4eUFYyZB78</v>
      </c>
      <c r="I16" s="70" t="s">
        <v>163</v>
      </c>
      <c r="J16" s="70" t="str">
        <f>IFERROR(__xludf.DUMMYFUNCTION("""COMPUTED_VALUE"""),"Comprender")</f>
        <v>Comprender</v>
      </c>
      <c r="K16" s="70" t="str">
        <f>IFERROR(__xludf.DUMMYFUNCTION("""COMPUTED_VALUE"""),"Parafrasear")</f>
        <v>Parafrasear</v>
      </c>
      <c r="L16" s="70"/>
      <c r="N16" s="70" t="str">
        <f>IFERROR(__xludf.DUMMYFUNCTION("""COMPUTED_VALUE"""),"Por el contrario")</f>
        <v>Por el contrario</v>
      </c>
      <c r="P16" s="70" t="str">
        <f>IFERROR(__xludf.DUMMYFUNCTION("""COMPUTED_VALUE"""),"EVELYN CAROLINA MORALES RUIZ")</f>
        <v>EVELYN CAROLINA MORALES RUIZ</v>
      </c>
    </row>
    <row r="17">
      <c r="A17" s="70" t="str">
        <f>IFERROR(__xludf.DUMMYFUNCTION("""COMPUTED_VALUE"""),"107 - Área Matemática Intermedia 1")</f>
        <v>107 - Área Matemática Intermedia 1</v>
      </c>
      <c r="B17" s="70"/>
      <c r="I17" s="70" t="s">
        <v>164</v>
      </c>
      <c r="J17" s="70" t="str">
        <f>IFERROR(__xludf.DUMMYFUNCTION("""COMPUTED_VALUE"""),"Comprender")</f>
        <v>Comprender</v>
      </c>
      <c r="K17" s="70" t="str">
        <f>IFERROR(__xludf.DUMMYFUNCTION("""COMPUTED_VALUE"""),"Resumir")</f>
        <v>Resumir</v>
      </c>
      <c r="L17" s="70"/>
      <c r="N17" s="70" t="str">
        <f>IFERROR(__xludf.DUMMYFUNCTION("""COMPUTED_VALUE"""),"En cambio")</f>
        <v>En cambio</v>
      </c>
      <c r="P17" s="70" t="str">
        <f>IFERROR(__xludf.DUMMYFUNCTION("""COMPUTED_VALUE"""),"EDGAR RENE ORNELIS HOIL")</f>
        <v>EDGAR RENE ORNELIS HOIL</v>
      </c>
    </row>
    <row r="18">
      <c r="A18" s="70" t="str">
        <f>IFERROR(__xludf.DUMMYFUNCTION("""COMPUTED_VALUE"""),"150 - Fisica 1")</f>
        <v>150 - Fisica 1</v>
      </c>
      <c r="B18" s="70"/>
      <c r="I18" s="70" t="s">
        <v>165</v>
      </c>
      <c r="J18" s="70" t="str">
        <f>IFERROR(__xludf.DUMMYFUNCTION("""COMPUTED_VALUE"""),"Comprender")</f>
        <v>Comprender</v>
      </c>
      <c r="K18" s="70" t="str">
        <f>IFERROR(__xludf.DUMMYFUNCTION("""COMPUTED_VALUE"""),"Clasificar")</f>
        <v>Clasificar</v>
      </c>
      <c r="L18" s="70"/>
      <c r="N18" s="70" t="str">
        <f>IFERROR(__xludf.DUMMYFUNCTION("""COMPUTED_VALUE"""),"Mientras que")</f>
        <v>Mientras que</v>
      </c>
      <c r="P18" s="70" t="str">
        <f>IFERROR(__xludf.DUMMYFUNCTION("""COMPUTED_VALUE"""),"ALVARO OBRAYAN HERNANDEZ GARCIA")</f>
        <v>ALVARO OBRAYAN HERNANDEZ GARCIA</v>
      </c>
    </row>
    <row r="19">
      <c r="A19" s="70" t="str">
        <f>IFERROR(__xludf.DUMMYFUNCTION("""COMPUTED_VALUE"""),"1 - Ética Profesional")</f>
        <v>1 - Ética Profesional</v>
      </c>
      <c r="B19" s="70"/>
      <c r="I19" s="70" t="s">
        <v>166</v>
      </c>
      <c r="J19" s="70" t="str">
        <f>IFERROR(__xludf.DUMMYFUNCTION("""COMPUTED_VALUE"""),"Comprender")</f>
        <v>Comprender</v>
      </c>
      <c r="K19" s="70" t="str">
        <f>IFERROR(__xludf.DUMMYFUNCTION("""COMPUTED_VALUE"""),"Ejemplificar")</f>
        <v>Ejemplificar</v>
      </c>
      <c r="L19" s="70"/>
      <c r="N19" s="70" t="str">
        <f>IFERROR(__xludf.DUMMYFUNCTION("""COMPUTED_VALUE"""),"Por otra parte")</f>
        <v>Por otra parte</v>
      </c>
      <c r="P19" s="70" t="str">
        <f>IFERROR(__xludf.DUMMYFUNCTION("""COMPUTED_VALUE"""),"LUIS FERNANDO ESPINO BARRIOS")</f>
        <v>LUIS FERNANDO ESPINO BARRIOS</v>
      </c>
    </row>
    <row r="20">
      <c r="A20" s="70" t="str">
        <f>IFERROR(__xludf.DUMMYFUNCTION("""COMPUTED_VALUE"""),"9 - Idioma Técnico 3")</f>
        <v>9 - Idioma Técnico 3</v>
      </c>
      <c r="B20" s="70"/>
      <c r="I20" s="70" t="s">
        <v>167</v>
      </c>
      <c r="J20" s="70" t="str">
        <f>IFERROR(__xludf.DUMMYFUNCTION("""COMPUTED_VALUE"""),"Comprender")</f>
        <v>Comprender</v>
      </c>
      <c r="K20" s="70" t="str">
        <f>IFERROR(__xludf.DUMMYFUNCTION("""COMPUTED_VALUE"""),"Inferir")</f>
        <v>Inferir</v>
      </c>
      <c r="L20" s="70"/>
      <c r="N20" s="70" t="str">
        <f>IFERROR(__xludf.DUMMYFUNCTION("""COMPUTED_VALUE"""),"Si bien")</f>
        <v>Si bien</v>
      </c>
      <c r="P20" s="70" t="str">
        <f>IFERROR(__xludf.DUMMYFUNCTION("""COMPUTED_VALUE"""),"MARIO JOSE BAUTISTA FUENTES")</f>
        <v>MARIO JOSE BAUTISTA FUENTES</v>
      </c>
    </row>
    <row r="21">
      <c r="A21" s="70" t="str">
        <f>IFERROR(__xludf.DUMMYFUNCTION("""COMPUTED_VALUE"""),"796 - Lenguajes Formales y de Programación")</f>
        <v>796 - Lenguajes Formales y de Programación</v>
      </c>
      <c r="B21" s="70" t="str">
        <f>IFERROR(__xludf.DUMMYFUNCTION("""COMPUTED_VALUE"""),"1-dPQ2ZCWWgBi4gyaV8KmnDWxF063I-zfJutKPMwJjrw")</f>
        <v>1-dPQ2ZCWWgBi4gyaV8KmnDWxF063I-zfJutKPMwJjrw</v>
      </c>
      <c r="I21" s="70" t="s">
        <v>168</v>
      </c>
      <c r="J21" s="70" t="str">
        <f>IFERROR(__xludf.DUMMYFUNCTION("""COMPUTED_VALUE"""),"Comprender")</f>
        <v>Comprender</v>
      </c>
      <c r="K21" s="70" t="str">
        <f>IFERROR(__xludf.DUMMYFUNCTION("""COMPUTED_VALUE"""),"Comparar")</f>
        <v>Comparar</v>
      </c>
      <c r="L21" s="70"/>
      <c r="N21" s="70" t="str">
        <f>IFERROR(__xludf.DUMMYFUNCTION("""COMPUTED_VALUE"""),"Aun cuando")</f>
        <v>Aun cuando</v>
      </c>
      <c r="P21" s="70" t="str">
        <f>IFERROR(__xludf.DUMMYFUNCTION("""COMPUTED_VALUE"""),"LUIS ALBERTO VETTORAZZI ESPANA")</f>
        <v>LUIS ALBERTO VETTORAZZI ESPANA</v>
      </c>
    </row>
    <row r="22">
      <c r="A22" s="70" t="str">
        <f>IFERROR(__xludf.DUMMYFUNCTION("""COMPUTED_VALUE"""),"771 - Introducción a la Programación y Computación 2")</f>
        <v>771 - Introducción a la Programación y Computación 2</v>
      </c>
      <c r="B22" s="70" t="str">
        <f>IFERROR(__xludf.DUMMYFUNCTION("""COMPUTED_VALUE"""),"1__RmanO4MiKBpppCFzGzdDC2fWb5cD2m02xjOur_6nk")</f>
        <v>1__RmanO4MiKBpppCFzGzdDC2fWb5cD2m02xjOur_6nk</v>
      </c>
      <c r="I22" s="70" t="s">
        <v>169</v>
      </c>
      <c r="J22" s="70" t="str">
        <f>IFERROR(__xludf.DUMMYFUNCTION("""COMPUTED_VALUE"""),"Comprender")</f>
        <v>Comprender</v>
      </c>
      <c r="K22" s="70" t="str">
        <f>IFERROR(__xludf.DUMMYFUNCTION("""COMPUTED_VALUE"""),"Traducir")</f>
        <v>Traducir</v>
      </c>
      <c r="L22" s="70"/>
      <c r="N22" s="70" t="str">
        <f>IFERROR(__xludf.DUMMYFUNCTION("""COMPUTED_VALUE"""),"Porque")</f>
        <v>Porque</v>
      </c>
      <c r="P22" s="70" t="str">
        <f>IFERROR(__xludf.DUMMYFUNCTION("""COMPUTED_VALUE"""),"LUIS FERNANDO ESPINO BARRIOS")</f>
        <v>LUIS FERNANDO ESPINO BARRIOS</v>
      </c>
    </row>
    <row r="23">
      <c r="A23" s="70" t="str">
        <f>IFERROR(__xludf.DUMMYFUNCTION("""COMPUTED_VALUE"""),"112 - Área Matemática Intermedia 2")</f>
        <v>112 - Área Matemática Intermedia 2</v>
      </c>
      <c r="B23" s="70"/>
      <c r="I23" s="70" t="s">
        <v>170</v>
      </c>
      <c r="J23" s="70" t="str">
        <f>IFERROR(__xludf.DUMMYFUNCTION("""COMPUTED_VALUE"""),"Aplicar")</f>
        <v>Aplicar</v>
      </c>
      <c r="K23" s="70" t="str">
        <f>IFERROR(__xludf.DUMMYFUNCTION("""COMPUTED_VALUE"""),"Implementar")</f>
        <v>Implementar</v>
      </c>
      <c r="L23" s="70"/>
      <c r="N23" s="70" t="str">
        <f>IFERROR(__xludf.DUMMYFUNCTION("""COMPUTED_VALUE"""),"Ya que")</f>
        <v>Ya que</v>
      </c>
      <c r="P23" s="70" t="str">
        <f>IFERROR(__xludf.DUMMYFUNCTION("""COMPUTED_VALUE"""),"GABRIEL ALEJANDRO DÍAZ LÓPEZ")</f>
        <v>GABRIEL ALEJANDRO DÍAZ LÓPEZ</v>
      </c>
    </row>
    <row r="24">
      <c r="A24" s="70" t="str">
        <f>IFERROR(__xludf.DUMMYFUNCTION("""COMPUTED_VALUE"""),"114 - Área Matemática Intermedia 3")</f>
        <v>114 - Área Matemática Intermedia 3</v>
      </c>
      <c r="B24" s="70"/>
      <c r="I24" s="70" t="s">
        <v>171</v>
      </c>
      <c r="J24" s="70" t="str">
        <f>IFERROR(__xludf.DUMMYFUNCTION("""COMPUTED_VALUE"""),"Aplicar")</f>
        <v>Aplicar</v>
      </c>
      <c r="K24" s="70" t="str">
        <f>IFERROR(__xludf.DUMMYFUNCTION("""COMPUTED_VALUE"""),"Ejecutar")</f>
        <v>Ejecutar</v>
      </c>
      <c r="L24" s="70"/>
      <c r="N24" s="70" t="str">
        <f>IFERROR(__xludf.DUMMYFUNCTION("""COMPUTED_VALUE"""),"Debido a que")</f>
        <v>Debido a que</v>
      </c>
      <c r="P24" s="70" t="str">
        <f>IFERROR(__xludf.DUMMYFUNCTION("""COMPUTED_VALUE"""),"WILLIAM ESTUARDO ESCOBAR ARGUETA")</f>
        <v>WILLIAM ESTUARDO ESCOBAR ARGUETA</v>
      </c>
    </row>
    <row r="25">
      <c r="A25" s="70" t="str">
        <f>IFERROR(__xludf.DUMMYFUNCTION("""COMPUTED_VALUE"""),"152 - Física 2")</f>
        <v>152 - Física 2</v>
      </c>
      <c r="B25" s="70"/>
      <c r="I25" s="70" t="s">
        <v>172</v>
      </c>
      <c r="J25" s="70" t="str">
        <f>IFERROR(__xludf.DUMMYFUNCTION("""COMPUTED_VALUE"""),"Aplicar")</f>
        <v>Aplicar</v>
      </c>
      <c r="K25" s="70" t="str">
        <f>IFERROR(__xludf.DUMMYFUNCTION("""COMPUTED_VALUE"""),"Usar")</f>
        <v>Usar</v>
      </c>
      <c r="L25" s="70"/>
      <c r="N25" s="70" t="str">
        <f>IFERROR(__xludf.DUMMYFUNCTION("""COMPUTED_VALUE"""),"Puesto que")</f>
        <v>Puesto que</v>
      </c>
      <c r="P25" s="70" t="str">
        <f>IFERROR(__xludf.DUMMYFUNCTION("""COMPUTED_VALUE"""),"MOISES EDUARDO VELASQUEZ OLIVA")</f>
        <v>MOISES EDUARDO VELASQUEZ OLIVA</v>
      </c>
    </row>
    <row r="26">
      <c r="A26" s="70" t="str">
        <f>IFERROR(__xludf.DUMMYFUNCTION("""COMPUTED_VALUE"""),"10 - Lógica")</f>
        <v>10 - Lógica</v>
      </c>
      <c r="B26" s="70"/>
      <c r="I26" s="70" t="s">
        <v>173</v>
      </c>
      <c r="J26" s="70" t="str">
        <f>IFERROR(__xludf.DUMMYFUNCTION("""COMPUTED_VALUE"""),"Aplicar")</f>
        <v>Aplicar</v>
      </c>
      <c r="K26" s="70" t="str">
        <f>IFERROR(__xludf.DUMMYFUNCTION("""COMPUTED_VALUE"""),"Operar")</f>
        <v>Operar</v>
      </c>
      <c r="L26" s="70"/>
      <c r="N26" s="70" t="str">
        <f>IFERROR(__xludf.DUMMYFUNCTION("""COMPUTED_VALUE"""),"Como consecuencia de")</f>
        <v>Como consecuencia de</v>
      </c>
      <c r="P26" s="70" t="str">
        <f>IFERROR(__xludf.DUMMYFUNCTION("""COMPUTED_VALUE"""),"HERMAN IGOR VELIZ LINARES")</f>
        <v>HERMAN IGOR VELIZ LINARES</v>
      </c>
    </row>
    <row r="27">
      <c r="A27" s="70" t="str">
        <f>IFERROR(__xludf.DUMMYFUNCTION("""COMPUTED_VALUE"""),"11 - Idioma Técnico 4")</f>
        <v>11 - Idioma Técnico 4</v>
      </c>
      <c r="B27" s="70"/>
      <c r="I27" s="70" t="s">
        <v>174</v>
      </c>
      <c r="J27" s="70" t="str">
        <f>IFERROR(__xludf.DUMMYFUNCTION("""COMPUTED_VALUE"""),"Aplicar")</f>
        <v>Aplicar</v>
      </c>
      <c r="K27" s="70" t="str">
        <f>IFERROR(__xludf.DUMMYFUNCTION("""COMPUTED_VALUE"""),"Calcular")</f>
        <v>Calcular</v>
      </c>
      <c r="L27" s="70"/>
      <c r="N27" s="70" t="str">
        <f>IFERROR(__xludf.DUMMYFUNCTION("""COMPUTED_VALUE"""),"Gracias a")</f>
        <v>Gracias a</v>
      </c>
      <c r="P27" s="70" t="str">
        <f>IFERROR(__xludf.DUMMYFUNCTION("""COMPUTED_VALUE"""),"NEFTALI DE JESUS CALDERON MENDEZ")</f>
        <v>NEFTALI DE JESUS CALDERON MENDEZ</v>
      </c>
    </row>
    <row r="28">
      <c r="A28" s="70" t="str">
        <f>IFERROR(__xludf.DUMMYFUNCTION("""COMPUTED_VALUE"""),"2025 - Prácticas Iniciales")</f>
        <v>2025 - Prácticas Iniciales</v>
      </c>
      <c r="B28" s="70"/>
      <c r="I28" s="70" t="s">
        <v>175</v>
      </c>
      <c r="J28" s="70" t="str">
        <f>IFERROR(__xludf.DUMMYFUNCTION("""COMPUTED_VALUE"""),"Aplicar")</f>
        <v>Aplicar</v>
      </c>
      <c r="K28" s="70" t="str">
        <f>IFERROR(__xludf.DUMMYFUNCTION("""COMPUTED_VALUE"""),"Resolver")</f>
        <v>Resolver</v>
      </c>
      <c r="L28" s="70"/>
      <c r="N28" s="70" t="str">
        <f>IFERROR(__xludf.DUMMYFUNCTION("""COMPUTED_VALUE"""),"Pues")</f>
        <v>Pues</v>
      </c>
      <c r="P28" s="70" t="str">
        <f>IFERROR(__xludf.DUMMYFUNCTION("""COMPUTED_VALUE"""),"WILLIAM ESTUARDO ESCOBAR ARGUETA")</f>
        <v>WILLIAM ESTUARDO ESCOBAR ARGUETA</v>
      </c>
    </row>
    <row r="29">
      <c r="A29" s="70" t="str">
        <f>IFERROR(__xludf.DUMMYFUNCTION("""COMPUTED_VALUE"""),"732 - Estadística 1")</f>
        <v>732 - Estadística 1</v>
      </c>
      <c r="B29" s="70"/>
      <c r="I29" s="70" t="s">
        <v>176</v>
      </c>
      <c r="J29" s="70" t="str">
        <f>IFERROR(__xludf.DUMMYFUNCTION("""COMPUTED_VALUE"""),"Aplicar")</f>
        <v>Aplicar</v>
      </c>
      <c r="K29" s="70" t="str">
        <f>IFERROR(__xludf.DUMMYFUNCTION("""COMPUTED_VALUE"""),"Demostrar")</f>
        <v>Demostrar</v>
      </c>
      <c r="L29" s="70"/>
      <c r="N29" s="70" t="str">
        <f>IFERROR(__xludf.DUMMYFUNCTION("""COMPUTED_VALUE"""),"A causa de")</f>
        <v>A causa de</v>
      </c>
      <c r="P29" s="70" t="str">
        <f>IFERROR(__xludf.DUMMYFUNCTION("""COMPUTED_VALUE"""),"EDGAR FRANCISCO RODAS ROBLEDO")</f>
        <v>EDGAR FRANCISCO RODAS ROBLEDO</v>
      </c>
    </row>
    <row r="30">
      <c r="A30" s="70" t="str">
        <f>IFERROR(__xludf.DUMMYFUNCTION("""COMPUTED_VALUE"""),"777 - Organización de Lenguajes y Compiladores 1")</f>
        <v>777 - Organización de Lenguajes y Compiladores 1</v>
      </c>
      <c r="B30" s="70" t="str">
        <f>IFERROR(__xludf.DUMMYFUNCTION("""COMPUTED_VALUE"""),"1sMJr8kYIDF7fR6Jn6GMDZp8CdJCeGqxbVA5UTdBCrkM")</f>
        <v>1sMJr8kYIDF7fR6Jn6GMDZp8CdJCeGqxbVA5UTdBCrkM</v>
      </c>
      <c r="I30" s="70" t="s">
        <v>177</v>
      </c>
      <c r="J30" s="70" t="str">
        <f>IFERROR(__xludf.DUMMYFUNCTION("""COMPUTED_VALUE"""),"Aplicar")</f>
        <v>Aplicar</v>
      </c>
      <c r="K30" s="70" t="str">
        <f>IFERROR(__xludf.DUMMYFUNCTION("""COMPUTED_VALUE"""),"Desarrollar")</f>
        <v>Desarrollar</v>
      </c>
      <c r="L30" s="70"/>
      <c r="N30" s="70" t="str">
        <f>IFERROR(__xludf.DUMMYFUNCTION("""COMPUTED_VALUE"""),"En vista de que")</f>
        <v>En vista de que</v>
      </c>
      <c r="P30" s="70" t="str">
        <f>IFERROR(__xludf.DUMMYFUNCTION("""COMPUTED_VALUE"""),"MARLON ANTONIO PÉREZ TÜRK")</f>
        <v>MARLON ANTONIO PÉREZ TÜRK</v>
      </c>
    </row>
    <row r="31">
      <c r="A31" s="70" t="str">
        <f>IFERROR(__xludf.DUMMYFUNCTION("""COMPUTED_VALUE"""),"964 - Organización Computacional")</f>
        <v>964 - Organización Computacional</v>
      </c>
      <c r="B31" s="70" t="str">
        <f>IFERROR(__xludf.DUMMYFUNCTION("""COMPUTED_VALUE"""),"1daYmFoqU1khKZXb4p_ygv5jH4tkv8-tTjdTDSUh72F0")</f>
        <v>1daYmFoqU1khKZXb4p_ygv5jH4tkv8-tTjdTDSUh72F0</v>
      </c>
      <c r="I31" s="70" t="s">
        <v>178</v>
      </c>
      <c r="J31" s="70" t="str">
        <f>IFERROR(__xludf.DUMMYFUNCTION("""COMPUTED_VALUE"""),"Aplicar")</f>
        <v>Aplicar</v>
      </c>
      <c r="K31" s="70" t="str">
        <f>IFERROR(__xludf.DUMMYFUNCTION("""COMPUTED_VALUE"""),"Programar")</f>
        <v>Programar</v>
      </c>
      <c r="L31" s="70"/>
      <c r="N31" s="70" t="str">
        <f>IFERROR(__xludf.DUMMYFUNCTION("""COMPUTED_VALUE"""),"Dado que")</f>
        <v>Dado que</v>
      </c>
      <c r="P31" s="70" t="str">
        <f>IFERROR(__xludf.DUMMYFUNCTION("""COMPUTED_VALUE"""),"CLAUDIA LICETH ROJAS MORALES")</f>
        <v>CLAUDIA LICETH ROJAS MORALES</v>
      </c>
    </row>
    <row r="32">
      <c r="A32" s="70" t="str">
        <f>IFERROR(__xludf.DUMMYFUNCTION("""COMPUTED_VALUE"""),"772 - Estructuras de Datos")</f>
        <v>772 - Estructuras de Datos</v>
      </c>
      <c r="B32" s="70" t="str">
        <f>IFERROR(__xludf.DUMMYFUNCTION("""COMPUTED_VALUE"""),"1rTNY7hLmB5N26Z2z6EtF0axcaKKizdu0eLKqLiwUhto")</f>
        <v>1rTNY7hLmB5N26Z2z6EtF0axcaKKizdu0eLKqLiwUhto</v>
      </c>
      <c r="I32" s="70" t="s">
        <v>179</v>
      </c>
      <c r="J32" s="70" t="str">
        <f>IFERROR(__xludf.DUMMYFUNCTION("""COMPUTED_VALUE"""),"Aplicar")</f>
        <v>Aplicar</v>
      </c>
      <c r="K32" s="70" t="str">
        <f>IFERROR(__xludf.DUMMYFUNCTION("""COMPUTED_VALUE"""),"Depurar")</f>
        <v>Depurar</v>
      </c>
      <c r="L32" s="70"/>
      <c r="N32" s="70" t="str">
        <f>IFERROR(__xludf.DUMMYFUNCTION("""COMPUTED_VALUE"""),"para")</f>
        <v>para</v>
      </c>
      <c r="P32" s="70" t="str">
        <f>IFERROR(__xludf.DUMMYFUNCTION("""COMPUTED_VALUE"""),"JOSE MANUEL RUIZ JUAREZ")</f>
        <v>JOSE MANUEL RUIZ JUAREZ</v>
      </c>
    </row>
    <row r="33">
      <c r="A33" s="70" t="str">
        <f>IFERROR(__xludf.DUMMYFUNCTION("""COMPUTED_VALUE"""),"116 - Matemática Aplicada 3")</f>
        <v>116 - Matemática Aplicada 3</v>
      </c>
      <c r="B33" s="70"/>
      <c r="I33" s="70" t="s">
        <v>180</v>
      </c>
      <c r="J33" s="70" t="str">
        <f>IFERROR(__xludf.DUMMYFUNCTION("""COMPUTED_VALUE"""),"Evaluar")</f>
        <v>Evaluar</v>
      </c>
      <c r="K33" s="70" t="str">
        <f>IFERROR(__xludf.DUMMYFUNCTION("""COMPUTED_VALUE"""),"Comprobar")</f>
        <v>Comprobar</v>
      </c>
      <c r="L33" s="70"/>
      <c r="N33" s="70"/>
      <c r="P33" s="70" t="str">
        <f>IFERROR(__xludf.DUMMYFUNCTION("""COMPUTED_VALUE"""),"STANLY BARRIOS")</f>
        <v>STANLY BARRIOS</v>
      </c>
    </row>
    <row r="34">
      <c r="A34" s="70" t="str">
        <f>IFERROR(__xludf.DUMMYFUNCTION("""COMPUTED_VALUE"""),"118 - Matemática Aplicada 1")</f>
        <v>118 - Matemática Aplicada 1</v>
      </c>
      <c r="B34" s="70"/>
      <c r="I34" s="70" t="s">
        <v>181</v>
      </c>
      <c r="J34" s="70" t="str">
        <f>IFERROR(__xludf.DUMMYFUNCTION("""COMPUTED_VALUE"""),"Evaluar")</f>
        <v>Evaluar</v>
      </c>
      <c r="K34" s="70" t="str">
        <f>IFERROR(__xludf.DUMMYFUNCTION("""COMPUTED_VALUE"""),"Criticar")</f>
        <v>Criticar</v>
      </c>
      <c r="L34" s="70"/>
      <c r="N34" s="70"/>
      <c r="P34" s="70" t="str">
        <f>IFERROR(__xludf.DUMMYFUNCTION("""COMPUTED_VALUE"""),"EDWIN ESTUARDO ZAPETA GÓMEZ")</f>
        <v>EDWIN ESTUARDO ZAPETA GÓMEZ</v>
      </c>
    </row>
    <row r="35">
      <c r="A35" s="70" t="str">
        <f>IFERROR(__xludf.DUMMYFUNCTION("""COMPUTED_VALUE"""),"18 - Filosofía de la Ciencia")</f>
        <v>18 - Filosofía de la Ciencia</v>
      </c>
      <c r="B35" s="70"/>
      <c r="I35" s="70" t="s">
        <v>182</v>
      </c>
      <c r="J35" s="70" t="str">
        <f>IFERROR(__xludf.DUMMYFUNCTION("""COMPUTED_VALUE"""),"Evaluar")</f>
        <v>Evaluar</v>
      </c>
      <c r="K35" s="70" t="str">
        <f>IFERROR(__xludf.DUMMYFUNCTION("""COMPUTED_VALUE"""),"Revisar")</f>
        <v>Revisar</v>
      </c>
      <c r="L35" s="70"/>
      <c r="N35" s="70"/>
      <c r="P35" s="70" t="str">
        <f>IFERROR(__xludf.DUMMYFUNCTION("""COMPUTED_VALUE"""),"FERNANDO JOSÉ PAZ GONZÁLEZ")</f>
        <v>FERNANDO JOSÉ PAZ GONZÁLEZ</v>
      </c>
    </row>
    <row r="36">
      <c r="A36" s="70" t="str">
        <f>IFERROR(__xludf.DUMMYFUNCTION("""COMPUTED_VALUE"""),"722 - Teoría de Sistemas 1")</f>
        <v>722 - Teoría de Sistemas 1</v>
      </c>
      <c r="B36" s="70" t="str">
        <f>IFERROR(__xludf.DUMMYFUNCTION("""COMPUTED_VALUE"""),"1npGvBttUX2JHkjnmDRQmNhZacltUudlNKCQsLV09BaU")</f>
        <v>1npGvBttUX2JHkjnmDRQmNhZacltUudlNKCQsLV09BaU</v>
      </c>
      <c r="I36" s="70" t="s">
        <v>183</v>
      </c>
      <c r="J36" s="70" t="str">
        <f>IFERROR(__xludf.DUMMYFUNCTION("""COMPUTED_VALUE"""),"Evaluar")</f>
        <v>Evaluar</v>
      </c>
      <c r="K36" s="70" t="str">
        <f>IFERROR(__xludf.DUMMYFUNCTION("""COMPUTED_VALUE"""),"Justificar")</f>
        <v>Justificar</v>
      </c>
      <c r="L36" s="70"/>
      <c r="N36" s="70"/>
      <c r="P36" s="70" t="str">
        <f>IFERROR(__xludf.DUMMYFUNCTION("""COMPUTED_VALUE"""),"OTTO AMILCAR RODRIGUEZ ACOSTA")</f>
        <v>OTTO AMILCAR RODRIGUEZ ACOSTA</v>
      </c>
    </row>
    <row r="37">
      <c r="A37" s="70" t="str">
        <f>IFERROR(__xludf.DUMMYFUNCTION("""COMPUTED_VALUE"""),"601 - Investigación de Operaciones 1")</f>
        <v>601 - Investigación de Operaciones 1</v>
      </c>
      <c r="B37" s="70"/>
      <c r="I37" s="70" t="s">
        <v>184</v>
      </c>
      <c r="J37" s="70" t="str">
        <f>IFERROR(__xludf.DUMMYFUNCTION("""COMPUTED_VALUE"""),"Evaluar")</f>
        <v>Evaluar</v>
      </c>
      <c r="K37" s="70" t="str">
        <f>IFERROR(__xludf.DUMMYFUNCTION("""COMPUTED_VALUE"""),"Validar")</f>
        <v>Validar</v>
      </c>
      <c r="L37" s="70"/>
      <c r="N37" s="70"/>
      <c r="P37" s="70" t="str">
        <f>IFERROR(__xludf.DUMMYFUNCTION("""COMPUTED_VALUE"""),"DAMARIS CAMPOS DE LÓPEZ")</f>
        <v>DAMARIS CAMPOS DE LÓPEZ</v>
      </c>
    </row>
    <row r="38">
      <c r="A38" s="70" t="str">
        <f>IFERROR(__xludf.DUMMYFUNCTION("""COMPUTED_VALUE"""),"14 - Economía")</f>
        <v>14 - Economía</v>
      </c>
      <c r="B38" s="70" t="str">
        <f>IFERROR(__xludf.DUMMYFUNCTION("""COMPUTED_VALUE"""),"169ieOogZaXHMs_PddYQfqqWTOgqfbgT1NUf8dchmb4U")</f>
        <v>169ieOogZaXHMs_PddYQfqqWTOgqfbgT1NUf8dchmb4U</v>
      </c>
      <c r="I38" s="70" t="s">
        <v>185</v>
      </c>
      <c r="J38" s="70" t="str">
        <f>IFERROR(__xludf.DUMMYFUNCTION("""COMPUTED_VALUE"""),"Evaluar")</f>
        <v>Evaluar</v>
      </c>
      <c r="K38" s="70" t="str">
        <f>IFERROR(__xludf.DUMMYFUNCTION("""COMPUTED_VALUE"""),"Verificar")</f>
        <v>Verificar</v>
      </c>
      <c r="L38" s="70"/>
      <c r="N38" s="70"/>
      <c r="P38" s="70" t="str">
        <f>IFERROR(__xludf.DUMMYFUNCTION("""COMPUTED_VALUE"""),"David Estuardo Morales")</f>
        <v>David Estuardo Morales</v>
      </c>
    </row>
    <row r="39">
      <c r="A39" s="70" t="str">
        <f>IFERROR(__xludf.DUMMYFUNCTION("""COMPUTED_VALUE"""),"781 - Organización de Lenguajes y Compiladores 2")</f>
        <v>781 - Organización de Lenguajes y Compiladores 2</v>
      </c>
      <c r="B39" s="70" t="str">
        <f>IFERROR(__xludf.DUMMYFUNCTION("""COMPUTED_VALUE"""),"18dQYgiKWkpI2wogupgHf8u3PbCa0cKqMH6-ZsAIhLPw")</f>
        <v>18dQYgiKWkpI2wogupgHf8u3PbCa0cKqMH6-ZsAIhLPw</v>
      </c>
      <c r="I39" s="70" t="s">
        <v>186</v>
      </c>
      <c r="J39" s="70" t="str">
        <f>IFERROR(__xludf.DUMMYFUNCTION("""COMPUTED_VALUE"""),"Evaluar")</f>
        <v>Evaluar</v>
      </c>
      <c r="K39" s="70" t="str">
        <f>IFERROR(__xludf.DUMMYFUNCTION("""COMPUTED_VALUE"""),"Optimizar")</f>
        <v>Optimizar</v>
      </c>
      <c r="L39" s="70"/>
      <c r="N39" s="70"/>
      <c r="P39" s="70" t="str">
        <f>IFERROR(__xludf.DUMMYFUNCTION("""COMPUTED_VALUE"""),"ZULMA KARINA AGUIRRE ORDONEZ")</f>
        <v>ZULMA KARINA AGUIRRE ORDONEZ</v>
      </c>
    </row>
    <row r="40">
      <c r="A40" s="70" t="str">
        <f>IFERROR(__xludf.DUMMYFUNCTION("""COMPUTED_VALUE"""),"778 - Arquitectura de Computadoras y Ensambladores 1")</f>
        <v>778 - Arquitectura de Computadoras y Ensambladores 1</v>
      </c>
      <c r="B40" s="70" t="str">
        <f>IFERROR(__xludf.DUMMYFUNCTION("""COMPUTED_VALUE"""),"13gNb-7XS_aMptaL1TLnLB5k06Y_okRzOgjzOxLHNuiI")</f>
        <v>13gNb-7XS_aMptaL1TLnLB5k06Y_okRzOgjzOxLHNuiI</v>
      </c>
      <c r="I40" s="70" t="s">
        <v>187</v>
      </c>
      <c r="J40" s="70" t="str">
        <f>IFERROR(__xludf.DUMMYFUNCTION("""COMPUTED_VALUE"""),"Evaluar")</f>
        <v>Evaluar</v>
      </c>
      <c r="K40" s="70" t="str">
        <f>IFERROR(__xludf.DUMMYFUNCTION("""COMPUTED_VALUE"""),"Monitorear")</f>
        <v>Monitorear</v>
      </c>
      <c r="L40" s="70"/>
      <c r="N40" s="70"/>
      <c r="P40" s="70" t="str">
        <f>IFERROR(__xludf.DUMMYFUNCTION("""COMPUTED_VALUE"""),"VIRGINIA VICTORIA TALA AYERDI")</f>
        <v>VIRGINIA VICTORIA TALA AYERDI</v>
      </c>
    </row>
    <row r="41">
      <c r="A41" s="70" t="str">
        <f>IFERROR(__xludf.DUMMYFUNCTION("""COMPUTED_VALUE"""),"773 - Manejo e Implementación de Archivos")</f>
        <v>773 - Manejo e Implementación de Archivos</v>
      </c>
      <c r="B41" s="70" t="str">
        <f>IFERROR(__xludf.DUMMYFUNCTION("""COMPUTED_VALUE"""),"1VDaIod2C3XfezxQfz50xvWZ9yVVdVvNIqd-1xbJmaD8")</f>
        <v>1VDaIod2C3XfezxQfz50xvWZ9yVVdVvNIqd-1xbJmaD8</v>
      </c>
      <c r="I41" s="70" t="s">
        <v>188</v>
      </c>
      <c r="J41" s="70" t="str">
        <f>IFERROR(__xludf.DUMMYFUNCTION("""COMPUTED_VALUE"""),"Evaluar")</f>
        <v>Evaluar</v>
      </c>
      <c r="K41" s="70" t="str">
        <f>IFERROR(__xludf.DUMMYFUNCTION("""COMPUTED_VALUE"""),"Testear")</f>
        <v>Testear</v>
      </c>
      <c r="L41" s="70"/>
      <c r="N41" s="70"/>
      <c r="P41" s="70" t="str">
        <f>IFERROR(__xludf.DUMMYFUNCTION("""COMPUTED_VALUE"""),"FLORIZA FELIPA AVILA PESQUERA DE MEDINILLA")</f>
        <v>FLORIZA FELIPA AVILA PESQUERA DE MEDINILLA</v>
      </c>
    </row>
    <row r="42">
      <c r="A42" s="70" t="str">
        <f>IFERROR(__xludf.DUMMYFUNCTION("""COMPUTED_VALUE"""),"122 - Matemática Aplicada 4")</f>
        <v>122 - Matemática Aplicada 4</v>
      </c>
      <c r="B42" s="70"/>
      <c r="I42" s="70" t="s">
        <v>189</v>
      </c>
      <c r="J42" s="70" t="str">
        <f>IFERROR(__xludf.DUMMYFUNCTION("""COMPUTED_VALUE"""),"Evaluar")</f>
        <v>Evaluar</v>
      </c>
      <c r="K42" s="70" t="str">
        <f>IFERROR(__xludf.DUMMYFUNCTION("""COMPUTED_VALUE"""),"Determinar")</f>
        <v>Determinar</v>
      </c>
      <c r="L42" s="70"/>
      <c r="N42" s="70"/>
      <c r="P42" s="70" t="str">
        <f>IFERROR(__xludf.DUMMYFUNCTION("""COMPUTED_VALUE"""),"FLORIZA FELIPA AVILA PESQUERA DE MEDINILLA")</f>
        <v>FLORIZA FELIPA AVILA PESQUERA DE MEDINILLA</v>
      </c>
    </row>
    <row r="43">
      <c r="A43" s="70" t="str">
        <f>IFERROR(__xludf.DUMMYFUNCTION("""COMPUTED_VALUE"""),"120 - Matemática Aplicada 2")</f>
        <v>120 - Matemática Aplicada 2</v>
      </c>
      <c r="B43" s="70"/>
      <c r="I43" s="70" t="s">
        <v>190</v>
      </c>
      <c r="J43" s="70" t="str">
        <f>IFERROR(__xludf.DUMMYFUNCTION("""COMPUTED_VALUE"""),"Crear")</f>
        <v>Crear</v>
      </c>
      <c r="K43" s="70" t="str">
        <f>IFERROR(__xludf.DUMMYFUNCTION("""COMPUTED_VALUE"""),"Diseñar")</f>
        <v>Diseñar</v>
      </c>
      <c r="L43" s="70"/>
      <c r="N43" s="70"/>
      <c r="P43" s="70" t="str">
        <f>IFERROR(__xludf.DUMMYFUNCTION("""COMPUTED_VALUE"""),"JUAN ALVARO DIAZ ARDAVIN")</f>
        <v>JUAN ALVARO DIAZ ARDAVIN</v>
      </c>
    </row>
    <row r="44">
      <c r="A44" s="70" t="str">
        <f>IFERROR(__xludf.DUMMYFUNCTION("""COMPUTED_VALUE"""),"200 - Ingeniería Eléctrica 1")</f>
        <v>200 - Ingeniería Eléctrica 1</v>
      </c>
      <c r="B44" s="70"/>
      <c r="I44" s="70" t="s">
        <v>191</v>
      </c>
      <c r="J44" s="70" t="str">
        <f>IFERROR(__xludf.DUMMYFUNCTION("""COMPUTED_VALUE"""),"Crear")</f>
        <v>Crear</v>
      </c>
      <c r="K44" s="70" t="str">
        <f>IFERROR(__xludf.DUMMYFUNCTION("""COMPUTED_VALUE"""),"Construir")</f>
        <v>Construir</v>
      </c>
      <c r="L44" s="70"/>
      <c r="N44" s="70"/>
      <c r="P44" s="70" t="str">
        <f>IFERROR(__xludf.DUMMYFUNCTION("""COMPUTED_VALUE"""),"WILLIAM ESTUARDO ESCOBAR ARGUETA")</f>
        <v>WILLIAM ESTUARDO ESCOBAR ARGUETA</v>
      </c>
    </row>
    <row r="45">
      <c r="A45" s="70" t="str">
        <f>IFERROR(__xludf.DUMMYFUNCTION("""COMPUTED_VALUE"""),"724 - Teoría de Sistemas 2")</f>
        <v>724 - Teoría de Sistemas 2</v>
      </c>
      <c r="B45" s="70" t="str">
        <f>IFERROR(__xludf.DUMMYFUNCTION("""COMPUTED_VALUE"""),"1Oh-yJJ9oc8SdDPJao-u31YXfwOPrsifu2o1a7Sf2-9k")</f>
        <v>1Oh-yJJ9oc8SdDPJao-u31YXfwOPrsifu2o1a7Sf2-9k</v>
      </c>
      <c r="I45" s="70" t="s">
        <v>192</v>
      </c>
      <c r="J45" s="70" t="str">
        <f>IFERROR(__xludf.DUMMYFUNCTION("""COMPUTED_VALUE"""),"Crear")</f>
        <v>Crear</v>
      </c>
      <c r="K45" s="70" t="str">
        <f>IFERROR(__xludf.DUMMYFUNCTION("""COMPUTED_VALUE"""),"Producir")</f>
        <v>Producir</v>
      </c>
      <c r="L45" s="70"/>
      <c r="N45" s="70"/>
      <c r="P45" s="70" t="str">
        <f>IFERROR(__xludf.DUMMYFUNCTION("""COMPUTED_VALUE"""),"OSCAR ALEJANDRO PAZ CAMPOS")</f>
        <v>OSCAR ALEJANDRO PAZ CAMPOS</v>
      </c>
    </row>
    <row r="46">
      <c r="A46" s="70" t="str">
        <f>IFERROR(__xludf.DUMMYFUNCTION("""COMPUTED_VALUE"""),"603 - Investigación de Operaciones 2")</f>
        <v>603 - Investigación de Operaciones 2</v>
      </c>
      <c r="B46" s="70"/>
      <c r="I46" s="70" t="s">
        <v>193</v>
      </c>
      <c r="J46" s="70" t="str">
        <f>IFERROR(__xludf.DUMMYFUNCTION("""COMPUTED_VALUE"""),"Crear")</f>
        <v>Crear</v>
      </c>
      <c r="K46" s="70" t="str">
        <f>IFERROR(__xludf.DUMMYFUNCTION("""COMPUTED_VALUE"""),"Planificar")</f>
        <v>Planificar</v>
      </c>
      <c r="L46" s="70"/>
      <c r="N46" s="70"/>
      <c r="P46" s="70" t="str">
        <f>IFERROR(__xludf.DUMMYFUNCTION("""COMPUTED_VALUE"""),"JURGEN ANDONI RAMIREZ RAMIREZ")</f>
        <v>JURGEN ANDONI RAMIREZ RAMIREZ</v>
      </c>
    </row>
    <row r="47">
      <c r="A47" s="70" t="str">
        <f>IFERROR(__xludf.DUMMYFUNCTION("""COMPUTED_VALUE"""),"734 - Estadística 2")</f>
        <v>734 - Estadística 2</v>
      </c>
      <c r="B47" s="70"/>
      <c r="I47" s="70" t="s">
        <v>194</v>
      </c>
      <c r="J47" s="70" t="str">
        <f>IFERROR(__xludf.DUMMYFUNCTION("""COMPUTED_VALUE"""),"Crear")</f>
        <v>Crear</v>
      </c>
      <c r="K47" s="70" t="str">
        <f>IFERROR(__xludf.DUMMYFUNCTION("""COMPUTED_VALUE"""),"Elaborar")</f>
        <v>Elaborar</v>
      </c>
      <c r="L47" s="70"/>
      <c r="N47" s="70"/>
      <c r="P47" s="70" t="str">
        <f>IFERROR(__xludf.DUMMYFUNCTION("""COMPUTED_VALUE"""),"CESAR AUGUSTO FERNANDEZ CACERES")</f>
        <v>CESAR AUGUSTO FERNANDEZ CACERES</v>
      </c>
    </row>
    <row r="48">
      <c r="A48" s="70" t="str">
        <f>IFERROR(__xludf.DUMMYFUNCTION("""COMPUTED_VALUE"""),"281 - Sistemas Operativos 1")</f>
        <v>281 - Sistemas Operativos 1</v>
      </c>
      <c r="B48" s="70" t="str">
        <f>IFERROR(__xludf.DUMMYFUNCTION("""COMPUTED_VALUE"""),"1RAzDRLQZEv8Ck7PxnFQbrklrekiw5bDJFX0wgP7vFSQ")</f>
        <v>1RAzDRLQZEv8Ck7PxnFQbrklrekiw5bDJFX0wgP7vFSQ</v>
      </c>
      <c r="I48" s="70" t="s">
        <v>195</v>
      </c>
      <c r="J48" s="70" t="str">
        <f>IFERROR(__xludf.DUMMYFUNCTION("""COMPUTED_VALUE"""),"Crear")</f>
        <v>Crear</v>
      </c>
      <c r="K48" s="70" t="str">
        <f>IFERROR(__xludf.DUMMYFUNCTION("""COMPUTED_VALUE"""),"Formular")</f>
        <v>Formular</v>
      </c>
      <c r="L48" s="70"/>
      <c r="N48" s="70"/>
      <c r="P48" s="70" t="str">
        <f>IFERROR(__xludf.DUMMYFUNCTION("""COMPUTED_VALUE"""),"MIGUEL ANGEL CANCINOS RENDON")</f>
        <v>MIGUEL ANGEL CANCINOS RENDON</v>
      </c>
    </row>
    <row r="49">
      <c r="A49" s="70" t="str">
        <f>IFERROR(__xludf.DUMMYFUNCTION("""COMPUTED_VALUE"""),"779 - Arquitectura de Computadoras y Ensambladores 2")</f>
        <v>779 - Arquitectura de Computadoras y Ensambladores 2</v>
      </c>
      <c r="B49" s="70" t="str">
        <f>IFERROR(__xludf.DUMMYFUNCTION("""COMPUTED_VALUE"""),"1_uxBhWcRvgBlCjf2s6O-Hvly7rBvJyZdswUKwm6KP5Y")</f>
        <v>1_uxBhWcRvgBlCjf2s6O-Hvly7rBvJyZdswUKwm6KP5Y</v>
      </c>
      <c r="I49" s="70" t="s">
        <v>196</v>
      </c>
      <c r="J49" s="70" t="str">
        <f>IFERROR(__xludf.DUMMYFUNCTION("""COMPUTED_VALUE"""),"Crear")</f>
        <v>Crear</v>
      </c>
      <c r="K49" s="70" t="str">
        <f>IFERROR(__xludf.DUMMYFUNCTION("""COMPUTED_VALUE"""),"Generar")</f>
        <v>Generar</v>
      </c>
      <c r="L49" s="70"/>
      <c r="N49" s="70"/>
      <c r="P49" s="70" t="str">
        <f>IFERROR(__xludf.DUMMYFUNCTION("""COMPUTED_VALUE"""),"CESAR AUGUSTO FERNANDEZ CACERES")</f>
        <v>CESAR AUGUSTO FERNANDEZ CACERES</v>
      </c>
    </row>
    <row r="50">
      <c r="A50" s="70" t="str">
        <f>IFERROR(__xludf.DUMMYFUNCTION("""COMPUTED_VALUE"""),"970 - Redes de Computadoras 1")</f>
        <v>970 - Redes de Computadoras 1</v>
      </c>
      <c r="B50" s="70" t="str">
        <f>IFERROR(__xludf.DUMMYFUNCTION("""COMPUTED_VALUE"""),"1z_6lSkIcVZpEVQ4tR8c-eSvVvTxWsXwhmFojsLWeBGc")</f>
        <v>1z_6lSkIcVZpEVQ4tR8c-eSvVvTxWsXwhmFojsLWeBGc</v>
      </c>
      <c r="I50" s="70" t="s">
        <v>197</v>
      </c>
      <c r="J50" s="70" t="str">
        <f>IFERROR(__xludf.DUMMYFUNCTION("""COMPUTED_VALUE"""),"Crear")</f>
        <v>Crear</v>
      </c>
      <c r="K50" s="70" t="str">
        <f>IFERROR(__xludf.DUMMYFUNCTION("""COMPUTED_VALUE"""),"Integrar")</f>
        <v>Integrar</v>
      </c>
      <c r="L50" s="70"/>
      <c r="N50" s="70"/>
      <c r="P50" s="70" t="str">
        <f>IFERROR(__xludf.DUMMYFUNCTION("""COMPUTED_VALUE"""),"OTTO RENE ESCOBAR LEIVA")</f>
        <v>OTTO RENE ESCOBAR LEIVA</v>
      </c>
    </row>
    <row r="51">
      <c r="A51" s="70" t="str">
        <f>IFERROR(__xludf.DUMMYFUNCTION("""COMPUTED_VALUE"""),"774 - Sistemas de Bases de Datos 1")</f>
        <v>774 - Sistemas de Bases de Datos 1</v>
      </c>
      <c r="B51" s="70" t="str">
        <f>IFERROR(__xludf.DUMMYFUNCTION("""COMPUTED_VALUE"""),"1h1zzA1-Xq9ihet57bP4f0PLQnKeojJUanhgpuP67hKs")</f>
        <v>1h1zzA1-Xq9ihet57bP4f0PLQnKeojJUanhgpuP67hKs</v>
      </c>
      <c r="I51" s="70" t="s">
        <v>198</v>
      </c>
      <c r="J51" s="70" t="str">
        <f>IFERROR(__xludf.DUMMYFUNCTION("""COMPUTED_VALUE"""),"Crear")</f>
        <v>Crear</v>
      </c>
      <c r="K51" s="70" t="str">
        <f>IFERROR(__xludf.DUMMYFUNCTION("""COMPUTED_VALUE"""),"Sintetizar")</f>
        <v>Sintetizar</v>
      </c>
      <c r="L51" s="70"/>
      <c r="N51" s="70"/>
      <c r="P51" s="70" t="str">
        <f>IFERROR(__xludf.DUMMYFUNCTION("""COMPUTED_VALUE"""),"OTTO RENE ESCOBAR LEIVA")</f>
        <v>OTTO RENE ESCOBAR LEIVA</v>
      </c>
    </row>
    <row r="52">
      <c r="A52" s="70" t="str">
        <f>IFERROR(__xludf.DUMMYFUNCTION("""COMPUTED_VALUE"""),"2036 - Prácticas Intermedias")</f>
        <v>2036 - Prácticas Intermedias</v>
      </c>
      <c r="B52" s="70"/>
      <c r="I52" s="70" t="s">
        <v>199</v>
      </c>
      <c r="J52" s="70" t="str">
        <f>IFERROR(__xludf.DUMMYFUNCTION("""COMPUTED_VALUE"""),"Crear")</f>
        <v>Crear</v>
      </c>
      <c r="K52" s="70" t="str">
        <f>IFERROR(__xludf.DUMMYFUNCTION("""COMPUTED_VALUE"""),"Arquitecturar")</f>
        <v>Arquitecturar</v>
      </c>
      <c r="L52" s="70"/>
      <c r="N52" s="70"/>
      <c r="P52" s="70" t="str">
        <f>IFERROR(__xludf.DUMMYFUNCTION("""COMPUTED_VALUE"""),"FERNANDO JOSÉ PAZ GONZÁLEZ")</f>
        <v>FERNANDO JOSÉ PAZ GONZÁLEZ</v>
      </c>
    </row>
    <row r="53">
      <c r="A53" s="70" t="str">
        <f>IFERROR(__xludf.DUMMYFUNCTION("""COMPUTED_VALUE"""),"285 - Sistemas Operativos 2")</f>
        <v>285 - Sistemas Operativos 2</v>
      </c>
      <c r="B53" s="70" t="str">
        <f>IFERROR(__xludf.DUMMYFUNCTION("""COMPUTED_VALUE"""),"1VCx3jdfVNJvtMfY5j_W624CAT1QxC-9qVw_ts_erFM8")</f>
        <v>1VCx3jdfVNJvtMfY5j_W624CAT1QxC-9qVw_ts_erFM8</v>
      </c>
      <c r="J53" s="70"/>
      <c r="K53" s="70"/>
      <c r="L53" s="70"/>
      <c r="N53" s="70"/>
      <c r="P53" s="70" t="str">
        <f>IFERROR(__xludf.DUMMYFUNCTION("""COMPUTED_VALUE"""),"BAYRON WOSVELY LOPEZ LOPEZ")</f>
        <v>BAYRON WOSVELY LOPEZ LOPEZ</v>
      </c>
    </row>
    <row r="54">
      <c r="A54" s="70" t="str">
        <f>IFERROR(__xludf.DUMMYFUNCTION("""COMPUTED_VALUE"""),"975 - Redes de Computadoras 2")</f>
        <v>975 - Redes de Computadoras 2</v>
      </c>
      <c r="B54" s="69" t="str">
        <f>IFERROR(__xludf.DUMMYFUNCTION("""COMPUTED_VALUE"""),"1JcTacSIMIoXQmOixc1cssvrK_MVzZYH-Yo4FFSny6Nk")</f>
        <v>1JcTacSIMIoXQmOixc1cssvrK_MVzZYH-Yo4FFSny6Nk</v>
      </c>
      <c r="J54" s="70"/>
      <c r="K54" s="70"/>
      <c r="L54" s="70"/>
      <c r="N54" s="70"/>
      <c r="P54" s="70" t="str">
        <f>IFERROR(__xludf.DUMMYFUNCTION("""COMPUTED_VALUE"""),"EDGAR RUBEN SABAN RAXON")</f>
        <v>EDGAR RUBEN SABAN RAXON</v>
      </c>
    </row>
    <row r="55">
      <c r="A55" s="70" t="str">
        <f>IFERROR(__xludf.DUMMYFUNCTION("""COMPUTED_VALUE"""),"775 - Sistemas de Bases de Datos 2")</f>
        <v>775 - Sistemas de Bases de Datos 2</v>
      </c>
      <c r="B55" s="70" t="str">
        <f>IFERROR(__xludf.DUMMYFUNCTION("""COMPUTED_VALUE"""),"1TCVGX95CGGMGYvyB2K8cDve9RSMthqD6Tc1-CrmctiM")</f>
        <v>1TCVGX95CGGMGYvyB2K8cDve9RSMthqD6Tc1-CrmctiM</v>
      </c>
      <c r="J55" s="70"/>
      <c r="K55" s="70"/>
      <c r="L55" s="70"/>
      <c r="N55" s="70"/>
      <c r="P55" s="70" t="str">
        <f>IFERROR(__xludf.DUMMYFUNCTION("""COMPUTED_VALUE"""),"LUIS FERNANDO ESPINO BARRIOS")</f>
        <v>LUIS FERNANDO ESPINO BARRIOS</v>
      </c>
    </row>
    <row r="56">
      <c r="A56" s="70" t="str">
        <f>IFERROR(__xludf.DUMMYFUNCTION("""COMPUTED_VALUE"""),"283 - Análisis y Diseño de Sistemas 1")</f>
        <v>283 - Análisis y Diseño de Sistemas 1</v>
      </c>
      <c r="B56" s="70" t="str">
        <f>IFERROR(__xludf.DUMMYFUNCTION("""COMPUTED_VALUE"""),"1Y3HF-OxPbgEhNi6pNhbpImrQsH3btlYO6xtsnryrunY")</f>
        <v>1Y3HF-OxPbgEhNi6pNhbpImrQsH3btlYO6xtsnryrunY</v>
      </c>
      <c r="J56" s="70"/>
      <c r="K56" s="70"/>
      <c r="L56" s="70"/>
      <c r="N56" s="70"/>
      <c r="P56" s="70" t="str">
        <f>IFERROR(__xludf.DUMMYFUNCTION("""COMPUTED_VALUE"""),"MANUEL HAROLDO CASTILLO REYNA")</f>
        <v>MANUEL HAROLDO CASTILLO REYNA</v>
      </c>
    </row>
    <row r="57">
      <c r="A57" s="70" t="str">
        <f>IFERROR(__xludf.DUMMYFUNCTION("""COMPUTED_VALUE"""),"797 - Seminario de Sistemas 1")</f>
        <v>797 - Seminario de Sistemas 1</v>
      </c>
      <c r="B57" s="70" t="str">
        <f>IFERROR(__xludf.DUMMYFUNCTION("""COMPUTED_VALUE"""),"1VXfuZgL8iNYOe8XfW_5s4rVnIq-_Xurqk8xlOGGexqY")</f>
        <v>1VXfuZgL8iNYOe8XfW_5s4rVnIq-_Xurqk8xlOGGexqY</v>
      </c>
      <c r="J57" s="70"/>
      <c r="K57" s="70"/>
      <c r="L57" s="70"/>
      <c r="N57" s="70"/>
      <c r="P57" s="70" t="str">
        <f>IFERROR(__xludf.DUMMYFUNCTION("""COMPUTED_VALUE"""),"Kevin Adiel Lajpop Ajpacajá")</f>
        <v>Kevin Adiel Lajpop Ajpacajá</v>
      </c>
    </row>
    <row r="58">
      <c r="A58" s="70" t="str">
        <f>IFERROR(__xludf.DUMMYFUNCTION("""COMPUTED_VALUE"""),"700 - Ingeniería Económica 1")</f>
        <v>700 - Ingeniería Económica 1</v>
      </c>
      <c r="B58" s="70"/>
      <c r="J58" s="70"/>
      <c r="K58" s="70"/>
      <c r="L58" s="70"/>
      <c r="N58" s="70"/>
      <c r="P58" s="70" t="str">
        <f>IFERROR(__xludf.DUMMYFUNCTION("""COMPUTED_VALUE"""),"MARIO JOSE BAUTISTA FUENTES")</f>
        <v>MARIO JOSE BAUTISTA FUENTES</v>
      </c>
    </row>
    <row r="59">
      <c r="A59" s="70" t="str">
        <f>IFERROR(__xludf.DUMMYFUNCTION("""COMPUTED_VALUE"""),"729 - Modelación y Simulación 1")</f>
        <v>729 - Modelación y Simulación 1</v>
      </c>
      <c r="B59" s="70" t="str">
        <f>IFERROR(__xludf.DUMMYFUNCTION("""COMPUTED_VALUE"""),"17u8GNz3HZ-i9KS-yxFiuJx9u7OawTwjyLcvLoG_x6W8")</f>
        <v>17u8GNz3HZ-i9KS-yxFiuJx9u7OawTwjyLcvLoG_x6W8</v>
      </c>
      <c r="J59" s="70"/>
      <c r="K59" s="70"/>
      <c r="L59" s="70"/>
      <c r="N59" s="70"/>
      <c r="P59" s="70" t="str">
        <f>IFERROR(__xludf.DUMMYFUNCTION("""COMPUTED_VALUE"""),"GUIPPSY JEANNIRA MENENDEZ PEREZ")</f>
        <v>GUIPPSY JEANNIRA MENENDEZ PEREZ</v>
      </c>
    </row>
    <row r="60">
      <c r="A60" s="70" t="str">
        <f>IFERROR(__xludf.DUMMYFUNCTION("""COMPUTED_VALUE"""),"786 - Sistemas Organizacionales y Gerenciales 1")</f>
        <v>786 - Sistemas Organizacionales y Gerenciales 1</v>
      </c>
      <c r="B60" s="70" t="str">
        <f>IFERROR(__xludf.DUMMYFUNCTION("""COMPUTED_VALUE"""),"1VTtCckO64u9REDx8UoxNJrYiavZGQU_hh4HvsOUiqlc")</f>
        <v>1VTtCckO64u9REDx8UoxNJrYiavZGQU_hh4HvsOUiqlc</v>
      </c>
      <c r="J60" s="70"/>
      <c r="K60" s="70"/>
      <c r="L60" s="70"/>
      <c r="N60" s="70"/>
      <c r="P60" s="70" t="str">
        <f>IFERROR(__xludf.DUMMYFUNCTION("""COMPUTED_VALUE"""),"JURGEN ANDONI RAMIREZ RAMIREZ")</f>
        <v>JURGEN ANDONI RAMIREZ RAMIREZ</v>
      </c>
    </row>
    <row r="61">
      <c r="A61" s="70" t="str">
        <f>IFERROR(__xludf.DUMMYFUNCTION("""COMPUTED_VALUE"""),"972 - Inteligencia Artificial 1")</f>
        <v>972 - Inteligencia Artificial 1</v>
      </c>
      <c r="B61" s="70" t="str">
        <f>IFERROR(__xludf.DUMMYFUNCTION("""COMPUTED_VALUE"""),"1C04a6qH3d2zJVb1hJwa6tsRQVM9LUb_nwyxMovG5tdI")</f>
        <v>1C04a6qH3d2zJVb1hJwa6tsRQVM9LUb_nwyxMovG5tdI</v>
      </c>
      <c r="J61" s="70"/>
      <c r="K61" s="70"/>
      <c r="L61" s="70"/>
      <c r="N61" s="70"/>
      <c r="P61" s="70" t="str">
        <f>IFERROR(__xludf.DUMMYFUNCTION("""COMPUTED_VALUE"""),"HERMAN IGOR VELIZ LINARES")</f>
        <v>HERMAN IGOR VELIZ LINARES</v>
      </c>
    </row>
    <row r="62">
      <c r="A62" s="70" t="str">
        <f>IFERROR(__xludf.DUMMYFUNCTION("""COMPUTED_VALUE"""),"966 - Seguridad y Auditoría de Redes de Computadoras")</f>
        <v>966 - Seguridad y Auditoría de Redes de Computadoras</v>
      </c>
      <c r="B62" s="70"/>
      <c r="J62" s="70"/>
      <c r="K62" s="70"/>
      <c r="L62" s="70"/>
      <c r="N62" s="70"/>
      <c r="P62" s="70" t="str">
        <f>IFERROR(__xludf.DUMMYFUNCTION("""COMPUTED_VALUE"""),"WILLIAM ESTUARDO ESCOBAR ARGUETA")</f>
        <v>WILLIAM ESTUARDO ESCOBAR ARGUETA</v>
      </c>
    </row>
    <row r="63">
      <c r="A63" s="70" t="str">
        <f>IFERROR(__xludf.DUMMYFUNCTION("""COMPUTED_VALUE"""),"785 - Análisis y Diseño de Sistemas 2")</f>
        <v>785 - Análisis y Diseño de Sistemas 2</v>
      </c>
      <c r="B63" s="70" t="str">
        <f>IFERROR(__xludf.DUMMYFUNCTION("""COMPUTED_VALUE"""),"1_ufF1kvClwUUTsCz0V0fLuXjs_JRZWRSMCWkUEd8co4")</f>
        <v>1_ufF1kvClwUUTsCz0V0fLuXjs_JRZWRSMCWkUEd8co4</v>
      </c>
      <c r="J63" s="70"/>
      <c r="K63" s="70"/>
      <c r="L63" s="70"/>
      <c r="N63" s="70"/>
      <c r="P63" s="70" t="str">
        <f>IFERROR(__xludf.DUMMYFUNCTION("""COMPUTED_VALUE"""),"HERMAN IGOR VELIZ LINARES")</f>
        <v>HERMAN IGOR VELIZ LINARES</v>
      </c>
    </row>
    <row r="64">
      <c r="A64" s="70" t="str">
        <f>IFERROR(__xludf.DUMMYFUNCTION("""COMPUTED_VALUE"""),"798 - Seminario de Sistemas 2")</f>
        <v>798 - Seminario de Sistemas 2</v>
      </c>
      <c r="B64" s="70" t="str">
        <f>IFERROR(__xludf.DUMMYFUNCTION("""COMPUTED_VALUE"""),"1v6hbJdWzxkj7s5D7oM894pu3kMAvhEZGXUMfRFv7yKQ")</f>
        <v>1v6hbJdWzxkj7s5D7oM894pu3kMAvhEZGXUMfRFv7yKQ</v>
      </c>
      <c r="J64" s="70"/>
      <c r="K64" s="70"/>
      <c r="L64" s="70"/>
      <c r="N64" s="70"/>
      <c r="P64" s="70" t="str">
        <f>IFERROR(__xludf.DUMMYFUNCTION("""COMPUTED_VALUE"""),"WILLIAM ESTUARDO ESCOBAR ARGUETA")</f>
        <v>WILLIAM ESTUARDO ESCOBAR ARGUETA</v>
      </c>
    </row>
    <row r="65">
      <c r="A65" s="70" t="str">
        <f>IFERROR(__xludf.DUMMYFUNCTION("""COMPUTED_VALUE"""),"788 - Sistemas Aplicados 1")</f>
        <v>788 - Sistemas Aplicados 1</v>
      </c>
      <c r="B65" s="70"/>
      <c r="J65" s="70"/>
      <c r="K65" s="70"/>
      <c r="L65" s="70"/>
      <c r="N65" s="70"/>
      <c r="P65" s="70" t="str">
        <f>IFERROR(__xludf.DUMMYFUNCTION("""COMPUTED_VALUE"""),"JURGEN ANDONI RAMIREZ RAMIREZ")</f>
        <v>JURGEN ANDONI RAMIREZ RAMIREZ</v>
      </c>
    </row>
    <row r="66">
      <c r="A66" s="70" t="str">
        <f>IFERROR(__xludf.DUMMYFUNCTION("""COMPUTED_VALUE"""),"776 - Bases de Datos Avanzadas")</f>
        <v>776 - Bases de Datos Avanzadas</v>
      </c>
      <c r="B66" s="70" t="str">
        <f>IFERROR(__xludf.DUMMYFUNCTION("""COMPUTED_VALUE"""),"1SZ2dJz29IsruB5vMYQ514xwGe6wyVx6cjMu_iwnHpFo")</f>
        <v>1SZ2dJz29IsruB5vMYQ514xwGe6wyVx6cjMu_iwnHpFo</v>
      </c>
      <c r="J66" s="70"/>
      <c r="K66" s="70"/>
      <c r="L66" s="70"/>
      <c r="N66" s="70"/>
      <c r="P66" s="70" t="str">
        <f>IFERROR(__xludf.DUMMYFUNCTION("""COMPUTED_VALUE"""),"HERMAN IGOR VELIZ LINARES")</f>
        <v>HERMAN IGOR VELIZ LINARES</v>
      </c>
    </row>
    <row r="67">
      <c r="A67" s="70" t="str">
        <f>IFERROR(__xludf.DUMMYFUNCTION("""COMPUTED_VALUE"""),"2009 - Prácticas Finales Ingeniería Ciencias y Sistemas")</f>
        <v>2009 - Prácticas Finales Ingeniería Ciencias y Sistemas</v>
      </c>
      <c r="B67" s="70"/>
      <c r="J67" s="70"/>
      <c r="K67" s="70"/>
      <c r="L67" s="70"/>
      <c r="N67" s="70"/>
      <c r="P67" s="70" t="str">
        <f>IFERROR(__xludf.DUMMYFUNCTION("""COMPUTED_VALUE"""),"HERMAN IGOR VELIZ LINARES")</f>
        <v>HERMAN IGOR VELIZ LINARES</v>
      </c>
    </row>
    <row r="68">
      <c r="A68" s="70" t="str">
        <f>IFERROR(__xludf.DUMMYFUNCTION("""COMPUTED_VALUE"""),"720 - Modelación y Simulación 2")</f>
        <v>720 - Modelación y Simulación 2</v>
      </c>
      <c r="B68" s="70" t="str">
        <f>IFERROR(__xludf.DUMMYFUNCTION("""COMPUTED_VALUE"""),"1ebc3-I4AbsLDHtzhtolQz7pqZDPvmSE0yZJu1xY6lLY")</f>
        <v>1ebc3-I4AbsLDHtzhtolQz7pqZDPvmSE0yZJu1xY6lLY</v>
      </c>
      <c r="J68" s="70"/>
      <c r="K68" s="70"/>
      <c r="L68" s="70"/>
      <c r="N68" s="70"/>
      <c r="P68" s="70" t="str">
        <f>IFERROR(__xludf.DUMMYFUNCTION("""COMPUTED_VALUE"""),"JOSE ANIBAL SILVA DE LOS ANGELES")</f>
        <v>JOSE ANIBAL SILVA DE LOS ANGELES</v>
      </c>
    </row>
    <row r="69">
      <c r="A69" s="70" t="str">
        <f>IFERROR(__xludf.DUMMYFUNCTION("""COMPUTED_VALUE"""),"787 - Sistemas Organizacionales y Gerenciales 2")</f>
        <v>787 - Sistemas Organizacionales y Gerenciales 2</v>
      </c>
      <c r="B69" s="70" t="str">
        <f>IFERROR(__xludf.DUMMYFUNCTION("""COMPUTED_VALUE"""),"1KpYHYX_EAJ-h4GLtSoCT8Rqz-xU4Qh5pUnEiPyxmEZA")</f>
        <v>1KpYHYX_EAJ-h4GLtSoCT8Rqz-xU4Qh5pUnEiPyxmEZA</v>
      </c>
      <c r="J69" s="70"/>
      <c r="K69" s="70"/>
      <c r="L69" s="70"/>
      <c r="N69" s="70"/>
      <c r="P69" s="70" t="str">
        <f>IFERROR(__xludf.DUMMYFUNCTION("""COMPUTED_VALUE"""),"WILLIAM ESTUARDO ESCOBAR ARGUETA")</f>
        <v>WILLIAM ESTUARDO ESCOBAR ARGUETA</v>
      </c>
    </row>
    <row r="70">
      <c r="A70" s="70" t="str">
        <f>IFERROR(__xludf.DUMMYFUNCTION("""COMPUTED_VALUE"""),"790 - Emprendedores de Negocios Informáticos")</f>
        <v>790 - Emprendedores de Negocios Informáticos</v>
      </c>
      <c r="B70" s="70"/>
      <c r="J70" s="70"/>
      <c r="K70" s="70"/>
      <c r="L70" s="70"/>
      <c r="N70" s="70"/>
      <c r="P70" s="70" t="str">
        <f>IFERROR(__xludf.DUMMYFUNCTION("""COMPUTED_VALUE"""),"LUIS FERNANDO ESPINO BARRIOS")</f>
        <v>LUIS FERNANDO ESPINO BARRIOS</v>
      </c>
    </row>
    <row r="71">
      <c r="A71" s="70" t="str">
        <f>IFERROR(__xludf.DUMMYFUNCTION("""COMPUTED_VALUE"""),"968 - Inteligencia Artificial 2")</f>
        <v>968 - Inteligencia Artificial 2</v>
      </c>
      <c r="B71" s="70"/>
      <c r="J71" s="70"/>
      <c r="K71" s="70"/>
      <c r="L71" s="70"/>
      <c r="N71" s="70"/>
      <c r="P71" s="70" t="str">
        <f>IFERROR(__xludf.DUMMYFUNCTION("""COMPUTED_VALUE"""),"PEDRO PABLO HERNANDEZ RAMIREZ")</f>
        <v>PEDRO PABLO HERNANDEZ RAMIREZ</v>
      </c>
    </row>
    <row r="72">
      <c r="A72" s="70" t="str">
        <f>IFERROR(__xludf.DUMMYFUNCTION("""COMPUTED_VALUE"""),"974 - Redes de Nueva Generación")</f>
        <v>974 - Redes de Nueva Generación</v>
      </c>
      <c r="B72" s="70"/>
      <c r="J72" s="70"/>
      <c r="K72" s="70"/>
      <c r="L72" s="70"/>
      <c r="N72" s="70"/>
      <c r="P72" s="70" t="str">
        <f>IFERROR(__xludf.DUMMYFUNCTION("""COMPUTED_VALUE"""),"ALLAN ALBERTO MORATAYA")</f>
        <v>ALLAN ALBERTO MORATAYA</v>
      </c>
    </row>
    <row r="73">
      <c r="A73" s="70" t="str">
        <f>IFERROR(__xludf.DUMMYFUNCTION("""COMPUTED_VALUE"""),"780 - Software Avanzado")</f>
        <v>780 - Software Avanzado</v>
      </c>
      <c r="B73" s="70" t="str">
        <f>IFERROR(__xludf.DUMMYFUNCTION("""COMPUTED_VALUE"""),"1SZ2dJz29IsruB5vMYQ514xwGe6wyVx6cjMu_iwnHpFo")</f>
        <v>1SZ2dJz29IsruB5vMYQ514xwGe6wyVx6cjMu_iwnHpFo</v>
      </c>
      <c r="J73" s="70"/>
      <c r="K73" s="70"/>
      <c r="L73" s="70"/>
      <c r="N73" s="70"/>
      <c r="P73" s="70" t="str">
        <f>IFERROR(__xludf.DUMMYFUNCTION("""COMPUTED_VALUE"""),"MANUEL FERNANDO LOPEZ FERNANDEZ")</f>
        <v>MANUEL FERNANDO LOPEZ FERNANDEZ</v>
      </c>
    </row>
    <row r="74">
      <c r="A74" s="70" t="str">
        <f>IFERROR(__xludf.DUMMYFUNCTION("""COMPUTED_VALUE"""),"789 - Sistemas Aplicados 2")</f>
        <v>789 - Sistemas Aplicados 2</v>
      </c>
      <c r="B74" s="70"/>
      <c r="J74" s="70"/>
      <c r="K74" s="70"/>
      <c r="L74" s="70"/>
      <c r="N74" s="70"/>
      <c r="P74" s="70" t="str">
        <f>IFERROR(__xludf.DUMMYFUNCTION("""COMPUTED_VALUE"""),"LUDWING FEDERICO ALTAN SAC")</f>
        <v>LUDWING FEDERICO ALTAN SAC</v>
      </c>
    </row>
    <row r="75">
      <c r="A75" s="70" t="str">
        <f>IFERROR(__xludf.DUMMYFUNCTION("""COMPUTED_VALUE"""),"735 - Auditoría de Proyectos de Software")</f>
        <v>735 - Auditoría de Proyectos de Software</v>
      </c>
      <c r="B75" s="70"/>
      <c r="J75" s="70"/>
      <c r="K75" s="70"/>
      <c r="L75" s="70"/>
      <c r="N75" s="70"/>
      <c r="P75" s="70" t="str">
        <f>IFERROR(__xludf.DUMMYFUNCTION("""COMPUTED_VALUE"""),"LUIS ALBERTO VETTORAZZI ESPANA")</f>
        <v>LUIS ALBERTO VETTORAZZI ESPANA</v>
      </c>
    </row>
    <row r="76">
      <c r="A76" s="70" t="str">
        <f>IFERROR(__xludf.DUMMYFUNCTION("""COMPUTED_VALUE"""),"7999 - Seminario de Investigación EPS Sistemas")</f>
        <v>7999 - Seminario de Investigación EPS Sistemas</v>
      </c>
      <c r="B76" s="70"/>
      <c r="J76" s="70"/>
      <c r="K76" s="70"/>
      <c r="L76" s="70"/>
      <c r="N76" s="70"/>
      <c r="P76" s="70" t="str">
        <f>IFERROR(__xludf.DUMMYFUNCTION("""COMPUTED_VALUE"""),"FERNANDO JOSÉ PAZ GONZÁLEZ")</f>
        <v>FERNANDO JOSÉ PAZ GONZÁLEZ</v>
      </c>
    </row>
    <row r="77">
      <c r="A77" s="70" t="str">
        <f>IFERROR(__xludf.DUMMYFUNCTION("""COMPUTED_VALUE"""),"799 - Seminario de Investigación")</f>
        <v>799 - Seminario de Investigación</v>
      </c>
      <c r="B77" s="70"/>
      <c r="J77" s="70"/>
      <c r="K77" s="70"/>
      <c r="L77" s="70"/>
      <c r="N77" s="70"/>
      <c r="P77" s="70" t="str">
        <f>IFERROR(__xludf.DUMMYFUNCTION("""COMPUTED_VALUE"""),"Jesús Alberto Guzmán Polanco")</f>
        <v>Jesús Alberto Guzmán Polanco</v>
      </c>
    </row>
    <row r="78">
      <c r="A78" s="70" t="str">
        <f>IFERROR(__xludf.DUMMYFUNCTION("""COMPUTED_VALUE"""),"90 - Programacion de Computadoras 1")</f>
        <v>90 - Programacion de Computadoras 1</v>
      </c>
      <c r="B78" s="70" t="str">
        <f>IFERROR(__xludf.DUMMYFUNCTION("""COMPUTED_VALUE"""),"1qvDDGj5yCc7f5CzNszeAsW2HPXfptQjvWIcbjskCMYM")</f>
        <v>1qvDDGj5yCc7f5CzNszeAsW2HPXfptQjvWIcbjskCMYM</v>
      </c>
      <c r="J78" s="70"/>
      <c r="K78" s="70"/>
      <c r="L78" s="70"/>
      <c r="N78" s="70"/>
      <c r="P78" s="70" t="str">
        <f>IFERROR(__xludf.DUMMYFUNCTION("""COMPUTED_VALUE"""),"EDGAR RENE ORNELIS HOIL")</f>
        <v>EDGAR RENE ORNELIS HOIL</v>
      </c>
    </row>
    <row r="79">
      <c r="A79" s="70" t="str">
        <f>IFERROR(__xludf.DUMMYFUNCTION("""COMPUTED_VALUE"""),"92 - Programacion de Computadoras 2")</f>
        <v>92 - Programacion de Computadoras 2</v>
      </c>
      <c r="B79" s="70" t="str">
        <f>IFERROR(__xludf.DUMMYFUNCTION("""COMPUTED_VALUE"""),"1SCiXODhHsEGBVGnnYk9ZrO_gSOSvcGwu7lDEJBfLaEw")</f>
        <v>1SCiXODhHsEGBVGnnYk9ZrO_gSOSvcGwu7lDEJBfLaEw</v>
      </c>
      <c r="J79" s="70"/>
      <c r="K79" s="70"/>
      <c r="L79" s="70"/>
      <c r="N79" s="70"/>
      <c r="P79" s="70" t="str">
        <f>IFERROR(__xludf.DUMMYFUNCTION("""COMPUTED_VALUE"""),"FERNANDO JOSÉ PAZ GONZÁLEZ")</f>
        <v>FERNANDO JOSÉ PAZ GONZÁLEZ</v>
      </c>
    </row>
    <row r="80">
      <c r="A80" s="70" t="str">
        <f>IFERROR(__xludf.DUMMYFUNCTION("""COMPUTED_VALUE"""),"667 - Programacion Comercial 1")</f>
        <v>667 - Programacion Comercial 1</v>
      </c>
      <c r="B80" s="70" t="str">
        <f>IFERROR(__xludf.DUMMYFUNCTION("""COMPUTED_VALUE"""),"1q-0CM7N_hXOxknvTAL7P8U9-t9hqpm1-3l5E6r3G-qg")</f>
        <v>1q-0CM7N_hXOxknvTAL7P8U9-t9hqpm1-3l5E6r3G-qg</v>
      </c>
      <c r="J80" s="70"/>
      <c r="K80" s="70"/>
      <c r="L80" s="70"/>
      <c r="N80" s="70"/>
      <c r="P80" s="70" t="str">
        <f>IFERROR(__xludf.DUMMYFUNCTION("""COMPUTED_VALUE"""),"EDWIN ESTUARDO ZAPETA GÓMEZ")</f>
        <v>EDWIN ESTUARDO ZAPETA GÓMEZ</v>
      </c>
    </row>
    <row r="81">
      <c r="A81" s="70" t="str">
        <f>IFERROR(__xludf.DUMMYFUNCTION("""COMPUTED_VALUE"""),"768 - Algoritmos")</f>
        <v>768 - Algoritmos</v>
      </c>
      <c r="B81" s="70" t="str">
        <f>IFERROR(__xludf.DUMMYFUNCTION("""COMPUTED_VALUE"""),"1SjAd6zUsLAnVyCAYH7AjoRBdaM836qJGVSbcpa5npcA")</f>
        <v>1SjAd6zUsLAnVyCAYH7AjoRBdaM836qJGVSbcpa5npcA</v>
      </c>
      <c r="J81" s="70"/>
      <c r="K81" s="70"/>
      <c r="L81" s="70"/>
      <c r="N81" s="70"/>
      <c r="P81" s="70" t="str">
        <f>IFERROR(__xludf.DUMMYFUNCTION("""COMPUTED_VALUE"""),"EVEREST DARWIN MEDINILLA RODRIGUEZ")</f>
        <v>EVEREST DARWIN MEDINILLA RODRIGUEZ</v>
      </c>
    </row>
    <row r="82">
      <c r="A82" s="70"/>
      <c r="B82" s="70"/>
      <c r="J82" s="70"/>
      <c r="K82" s="70"/>
      <c r="L82" s="70"/>
      <c r="N82" s="70"/>
      <c r="P82" s="70" t="str">
        <f>IFERROR(__xludf.DUMMYFUNCTION("""COMPUTED_VALUE"""),"Marco Tulio Aldana Prillwitz")</f>
        <v>Marco Tulio Aldana Prillwitz</v>
      </c>
    </row>
    <row r="83">
      <c r="A83" s="70"/>
      <c r="B83" s="70"/>
      <c r="J83" s="70"/>
      <c r="K83" s="70"/>
      <c r="L83" s="70"/>
      <c r="N83" s="70"/>
      <c r="P83" s="70" t="str">
        <f>IFERROR(__xludf.DUMMYFUNCTION("""COMPUTED_VALUE"""),"JORGE LUIS ALVAREZ MEJIA")</f>
        <v>JORGE LUIS ALVAREZ MEJIA</v>
      </c>
    </row>
    <row r="84">
      <c r="A84" s="70"/>
      <c r="B84" s="70"/>
      <c r="J84" s="70"/>
      <c r="K84" s="70"/>
      <c r="L84" s="70"/>
      <c r="N84" s="70"/>
      <c r="P84" s="70" t="str">
        <f>IFERROR(__xludf.DUMMYFUNCTION("""COMPUTED_VALUE"""),"JORGE LUIS ALVAREZ MEJIA")</f>
        <v>JORGE LUIS ALVAREZ MEJIA</v>
      </c>
    </row>
    <row r="85">
      <c r="A85" s="70"/>
      <c r="B85" s="70"/>
      <c r="J85" s="70"/>
      <c r="K85" s="70"/>
      <c r="L85" s="70"/>
      <c r="N85" s="70"/>
      <c r="P85" s="70"/>
    </row>
    <row r="86">
      <c r="A86" s="70"/>
      <c r="B86" s="70"/>
      <c r="J86" s="70"/>
      <c r="K86" s="70"/>
      <c r="L86" s="70"/>
      <c r="N86" s="70"/>
      <c r="P86" s="70"/>
    </row>
    <row r="87">
      <c r="A87" s="70"/>
      <c r="B87" s="70"/>
      <c r="J87" s="70"/>
      <c r="K87" s="70"/>
      <c r="L87" s="70"/>
      <c r="N87" s="70"/>
      <c r="P87" s="70"/>
    </row>
    <row r="88">
      <c r="A88" s="70"/>
      <c r="B88" s="70"/>
      <c r="J88" s="70"/>
      <c r="K88" s="70"/>
      <c r="L88" s="70"/>
      <c r="N88" s="70"/>
      <c r="P88" s="70"/>
    </row>
    <row r="89">
      <c r="A89" s="70"/>
      <c r="B89" s="70"/>
      <c r="J89" s="70"/>
      <c r="K89" s="70"/>
      <c r="L89" s="70"/>
      <c r="N89" s="70"/>
      <c r="P89" s="70"/>
    </row>
    <row r="90">
      <c r="A90" s="70"/>
      <c r="B90" s="70"/>
      <c r="J90" s="70"/>
      <c r="K90" s="70"/>
      <c r="L90" s="70"/>
      <c r="N90" s="70"/>
      <c r="P90" s="70"/>
    </row>
    <row r="91">
      <c r="A91" s="70"/>
      <c r="B91" s="70"/>
      <c r="J91" s="70"/>
      <c r="K91" s="70"/>
      <c r="L91" s="70"/>
      <c r="N91" s="70"/>
      <c r="P91" s="70"/>
    </row>
    <row r="92">
      <c r="A92" s="70"/>
      <c r="B92" s="70"/>
      <c r="J92" s="70"/>
      <c r="K92" s="70"/>
      <c r="L92" s="70"/>
      <c r="N92" s="70"/>
      <c r="P92" s="70"/>
    </row>
    <row r="93">
      <c r="A93" s="70"/>
      <c r="B93" s="70"/>
      <c r="J93" s="70"/>
      <c r="K93" s="70"/>
      <c r="L93" s="70"/>
      <c r="N93" s="70"/>
      <c r="P93" s="70"/>
    </row>
    <row r="94">
      <c r="A94" s="70"/>
      <c r="B94" s="70"/>
      <c r="J94" s="70"/>
      <c r="K94" s="70"/>
      <c r="L94" s="70"/>
      <c r="N94" s="70"/>
      <c r="P94" s="70"/>
    </row>
    <row r="95">
      <c r="A95" s="70"/>
      <c r="B95" s="70"/>
      <c r="J95" s="70"/>
      <c r="K95" s="70"/>
      <c r="L95" s="70"/>
      <c r="N95" s="70"/>
      <c r="P95" s="70"/>
    </row>
    <row r="96">
      <c r="A96" s="70"/>
      <c r="B96" s="70"/>
      <c r="J96" s="70"/>
      <c r="K96" s="70"/>
      <c r="L96" s="70"/>
      <c r="N96" s="70"/>
      <c r="P96" s="70"/>
    </row>
    <row r="97">
      <c r="A97" s="70"/>
      <c r="B97" s="70"/>
      <c r="J97" s="70"/>
      <c r="K97" s="70"/>
      <c r="L97" s="70"/>
      <c r="N97" s="70"/>
      <c r="P97" s="70"/>
    </row>
    <row r="98">
      <c r="A98" s="70"/>
      <c r="B98" s="70"/>
      <c r="J98" s="70"/>
      <c r="K98" s="70"/>
      <c r="L98" s="70"/>
      <c r="N98" s="70"/>
      <c r="P98" s="70"/>
    </row>
    <row r="99">
      <c r="A99" s="70"/>
      <c r="B99" s="70"/>
      <c r="J99" s="70"/>
      <c r="K99" s="70"/>
      <c r="L99" s="70"/>
      <c r="N99" s="70"/>
      <c r="P99" s="70"/>
    </row>
    <row r="100">
      <c r="A100" s="70"/>
      <c r="B100" s="70"/>
      <c r="J100" s="70"/>
      <c r="K100" s="70"/>
      <c r="L100" s="70"/>
      <c r="N100" s="70"/>
      <c r="P100" s="70"/>
    </row>
    <row r="101">
      <c r="A101" s="70"/>
      <c r="B101" s="70"/>
      <c r="J101" s="70"/>
      <c r="K101" s="70"/>
      <c r="L101" s="70"/>
      <c r="N101" s="70"/>
      <c r="P101" s="70"/>
    </row>
    <row r="102">
      <c r="A102" s="70"/>
      <c r="B102" s="70"/>
      <c r="J102" s="70"/>
      <c r="K102" s="70"/>
      <c r="L102" s="70"/>
      <c r="N102" s="70"/>
      <c r="P102" s="70"/>
    </row>
    <row r="103">
      <c r="A103" s="70"/>
      <c r="B103" s="70"/>
      <c r="J103" s="70"/>
      <c r="K103" s="70"/>
      <c r="L103" s="70"/>
      <c r="N103" s="70"/>
      <c r="P103" s="70"/>
    </row>
    <row r="104">
      <c r="A104" s="70"/>
      <c r="B104" s="70"/>
      <c r="J104" s="70"/>
      <c r="K104" s="70"/>
      <c r="L104" s="70"/>
      <c r="N104" s="70"/>
      <c r="P104" s="70"/>
    </row>
    <row r="105">
      <c r="A105" s="70"/>
      <c r="B105" s="70"/>
      <c r="J105" s="70"/>
      <c r="K105" s="70"/>
      <c r="L105" s="70"/>
      <c r="N105" s="70"/>
      <c r="P105" s="70"/>
    </row>
    <row r="106">
      <c r="A106" s="70"/>
      <c r="B106" s="70"/>
      <c r="J106" s="70"/>
      <c r="K106" s="70"/>
      <c r="L106" s="70"/>
      <c r="N106" s="70"/>
      <c r="P106" s="70"/>
    </row>
    <row r="107">
      <c r="A107" s="70"/>
      <c r="B107" s="70"/>
      <c r="J107" s="70"/>
      <c r="K107" s="70"/>
      <c r="L107" s="70"/>
      <c r="N107" s="70"/>
      <c r="P107" s="70"/>
    </row>
    <row r="108">
      <c r="A108" s="70"/>
      <c r="B108" s="70"/>
      <c r="J108" s="70"/>
      <c r="K108" s="70"/>
      <c r="L108" s="70"/>
      <c r="N108" s="70"/>
      <c r="P108" s="70"/>
    </row>
    <row r="109">
      <c r="A109" s="70"/>
      <c r="B109" s="70"/>
      <c r="J109" s="70"/>
      <c r="K109" s="70"/>
      <c r="L109" s="70"/>
      <c r="N109" s="70"/>
      <c r="P109" s="70"/>
    </row>
    <row r="110">
      <c r="A110" s="70"/>
      <c r="B110" s="70"/>
      <c r="J110" s="70"/>
      <c r="K110" s="70"/>
      <c r="L110" s="70"/>
      <c r="N110" s="70"/>
      <c r="P110" s="70"/>
    </row>
    <row r="111">
      <c r="A111" s="70"/>
      <c r="B111" s="70"/>
      <c r="J111" s="70"/>
      <c r="K111" s="70"/>
      <c r="L111" s="70"/>
      <c r="N111" s="70"/>
      <c r="P111" s="70"/>
    </row>
    <row r="112">
      <c r="A112" s="70"/>
      <c r="B112" s="70"/>
      <c r="J112" s="70"/>
      <c r="K112" s="70"/>
      <c r="L112" s="70"/>
      <c r="N112" s="70"/>
      <c r="P112" s="70"/>
    </row>
    <row r="113">
      <c r="A113" s="70"/>
      <c r="B113" s="70"/>
      <c r="J113" s="70"/>
      <c r="K113" s="70"/>
      <c r="L113" s="70"/>
      <c r="N113" s="70"/>
      <c r="P113" s="70"/>
    </row>
    <row r="114">
      <c r="A114" s="70"/>
      <c r="B114" s="70"/>
      <c r="J114" s="70"/>
      <c r="K114" s="70"/>
      <c r="L114" s="70"/>
      <c r="N114" s="70"/>
      <c r="P114" s="70"/>
    </row>
    <row r="115">
      <c r="A115" s="70"/>
      <c r="B115" s="70"/>
      <c r="J115" s="70"/>
      <c r="K115" s="70"/>
      <c r="L115" s="70"/>
      <c r="N115" s="70"/>
      <c r="P115" s="70"/>
    </row>
    <row r="116">
      <c r="A116" s="70"/>
      <c r="B116" s="70"/>
      <c r="J116" s="70"/>
      <c r="K116" s="70"/>
      <c r="L116" s="70"/>
      <c r="N116" s="70"/>
      <c r="P116" s="70"/>
    </row>
    <row r="117">
      <c r="A117" s="70"/>
      <c r="B117" s="70"/>
      <c r="J117" s="70"/>
      <c r="K117" s="70"/>
      <c r="L117" s="70"/>
      <c r="N117" s="70"/>
      <c r="P117" s="70"/>
    </row>
    <row r="118">
      <c r="A118" s="70"/>
      <c r="B118" s="70"/>
      <c r="J118" s="70"/>
      <c r="K118" s="70"/>
      <c r="L118" s="70"/>
      <c r="N118" s="70"/>
      <c r="P118" s="70"/>
    </row>
    <row r="119">
      <c r="A119" s="70"/>
      <c r="B119" s="70"/>
      <c r="J119" s="70"/>
      <c r="K119" s="70"/>
      <c r="L119" s="70"/>
      <c r="N119" s="70"/>
      <c r="P119" s="70"/>
    </row>
    <row r="120">
      <c r="A120" s="70"/>
      <c r="B120" s="70"/>
      <c r="J120" s="70"/>
      <c r="K120" s="70"/>
      <c r="L120" s="70"/>
      <c r="N120" s="70"/>
      <c r="P120" s="70"/>
    </row>
    <row r="121">
      <c r="A121" s="70"/>
      <c r="B121" s="70"/>
      <c r="J121" s="70"/>
      <c r="K121" s="70"/>
      <c r="L121" s="70"/>
      <c r="N121" s="70"/>
      <c r="P121" s="70"/>
    </row>
    <row r="122">
      <c r="A122" s="70"/>
      <c r="B122" s="70"/>
      <c r="J122" s="70"/>
      <c r="K122" s="70"/>
      <c r="L122" s="70"/>
      <c r="N122" s="70"/>
      <c r="P122" s="70"/>
    </row>
    <row r="123">
      <c r="A123" s="70"/>
      <c r="B123" s="70"/>
      <c r="J123" s="70"/>
      <c r="K123" s="70"/>
      <c r="L123" s="70"/>
      <c r="N123" s="70"/>
      <c r="P123" s="70"/>
    </row>
    <row r="124">
      <c r="A124" s="70"/>
      <c r="B124" s="70"/>
      <c r="J124" s="70"/>
      <c r="K124" s="70"/>
      <c r="L124" s="70"/>
      <c r="N124" s="70"/>
      <c r="P124" s="70"/>
    </row>
    <row r="125">
      <c r="A125" s="70"/>
      <c r="B125" s="70"/>
      <c r="J125" s="70"/>
      <c r="K125" s="70"/>
      <c r="L125" s="70"/>
      <c r="N125" s="70"/>
      <c r="P125" s="70"/>
    </row>
    <row r="126">
      <c r="A126" s="70"/>
      <c r="B126" s="70"/>
      <c r="J126" s="70"/>
      <c r="K126" s="70"/>
      <c r="L126" s="70"/>
      <c r="N126" s="70"/>
      <c r="P126" s="70"/>
    </row>
    <row r="127">
      <c r="A127" s="70"/>
      <c r="B127" s="70"/>
      <c r="J127" s="70"/>
      <c r="K127" s="70"/>
      <c r="L127" s="70"/>
      <c r="N127" s="70"/>
      <c r="P127" s="70"/>
    </row>
    <row r="128">
      <c r="A128" s="70"/>
      <c r="B128" s="70"/>
      <c r="J128" s="70"/>
      <c r="K128" s="70"/>
      <c r="L128" s="70"/>
      <c r="N128" s="70"/>
      <c r="P128" s="70"/>
    </row>
    <row r="129">
      <c r="A129" s="70"/>
      <c r="B129" s="70"/>
      <c r="J129" s="70"/>
      <c r="K129" s="70"/>
      <c r="L129" s="70"/>
      <c r="N129" s="70"/>
      <c r="P129" s="70"/>
    </row>
    <row r="130">
      <c r="A130" s="70"/>
      <c r="B130" s="70"/>
      <c r="J130" s="70"/>
      <c r="K130" s="70"/>
      <c r="L130" s="70"/>
      <c r="N130" s="70"/>
      <c r="P130" s="70"/>
    </row>
    <row r="131">
      <c r="A131" s="70"/>
      <c r="B131" s="70"/>
      <c r="J131" s="70"/>
      <c r="K131" s="70"/>
      <c r="L131" s="70"/>
      <c r="N131" s="70"/>
      <c r="P131" s="70"/>
    </row>
    <row r="132">
      <c r="A132" s="70"/>
      <c r="B132" s="70"/>
      <c r="J132" s="70"/>
      <c r="K132" s="70"/>
      <c r="L132" s="70"/>
      <c r="N132" s="70"/>
      <c r="P132" s="70"/>
    </row>
    <row r="133">
      <c r="A133" s="70"/>
      <c r="B133" s="70"/>
      <c r="J133" s="70"/>
      <c r="K133" s="70"/>
      <c r="L133" s="70"/>
      <c r="N133" s="70"/>
      <c r="P133" s="70"/>
    </row>
    <row r="134">
      <c r="A134" s="70"/>
      <c r="B134" s="70"/>
      <c r="J134" s="70"/>
      <c r="K134" s="70"/>
      <c r="L134" s="70"/>
      <c r="N134" s="70"/>
      <c r="P134" s="70"/>
    </row>
    <row r="135">
      <c r="A135" s="70"/>
      <c r="B135" s="70"/>
      <c r="J135" s="70"/>
      <c r="K135" s="70"/>
      <c r="L135" s="70"/>
      <c r="N135" s="70"/>
      <c r="P135" s="70"/>
    </row>
    <row r="136">
      <c r="A136" s="70"/>
      <c r="B136" s="70"/>
      <c r="J136" s="70"/>
      <c r="K136" s="70"/>
      <c r="L136" s="70"/>
      <c r="N136" s="70"/>
      <c r="P136" s="70"/>
    </row>
    <row r="137">
      <c r="A137" s="70"/>
      <c r="B137" s="70"/>
      <c r="J137" s="70"/>
      <c r="K137" s="70"/>
      <c r="L137" s="70"/>
      <c r="N137" s="70"/>
      <c r="P137" s="70"/>
    </row>
    <row r="138">
      <c r="A138" s="70"/>
      <c r="B138" s="70"/>
      <c r="J138" s="70"/>
      <c r="K138" s="70"/>
      <c r="L138" s="70"/>
      <c r="N138" s="70"/>
      <c r="P138" s="70"/>
    </row>
    <row r="139">
      <c r="A139" s="70"/>
      <c r="B139" s="70"/>
      <c r="J139" s="70"/>
      <c r="K139" s="70"/>
      <c r="L139" s="70"/>
      <c r="N139" s="70"/>
      <c r="P139" s="70"/>
    </row>
    <row r="140">
      <c r="A140" s="70"/>
      <c r="B140" s="70"/>
      <c r="J140" s="70"/>
      <c r="K140" s="70"/>
      <c r="L140" s="70"/>
      <c r="N140" s="70"/>
      <c r="P140" s="70"/>
    </row>
    <row r="141">
      <c r="A141" s="70"/>
      <c r="B141" s="70"/>
      <c r="J141" s="70"/>
      <c r="K141" s="70"/>
      <c r="L141" s="70"/>
      <c r="N141" s="70"/>
      <c r="P141" s="70"/>
    </row>
    <row r="142">
      <c r="A142" s="70"/>
      <c r="B142" s="70"/>
      <c r="J142" s="70"/>
      <c r="K142" s="70"/>
      <c r="L142" s="70"/>
      <c r="N142" s="70"/>
      <c r="P142" s="70"/>
    </row>
    <row r="143">
      <c r="A143" s="70"/>
      <c r="B143" s="70"/>
      <c r="J143" s="70"/>
      <c r="K143" s="70"/>
      <c r="L143" s="70"/>
      <c r="N143" s="70"/>
      <c r="P143" s="70"/>
    </row>
    <row r="144">
      <c r="A144" s="70"/>
      <c r="B144" s="70"/>
      <c r="J144" s="70"/>
      <c r="K144" s="70"/>
      <c r="L144" s="70"/>
      <c r="N144" s="70"/>
      <c r="P144" s="70"/>
    </row>
    <row r="145">
      <c r="A145" s="70"/>
      <c r="B145" s="70"/>
      <c r="J145" s="70"/>
      <c r="K145" s="70"/>
      <c r="L145" s="70"/>
      <c r="N145" s="70"/>
      <c r="P145" s="70"/>
    </row>
    <row r="146">
      <c r="A146" s="70"/>
      <c r="B146" s="70"/>
      <c r="J146" s="70"/>
      <c r="K146" s="70"/>
      <c r="L146" s="70"/>
      <c r="N146" s="70"/>
      <c r="P146" s="70"/>
    </row>
    <row r="147">
      <c r="A147" s="70"/>
      <c r="B147" s="70"/>
      <c r="J147" s="70"/>
      <c r="K147" s="70"/>
      <c r="L147" s="70"/>
      <c r="N147" s="70"/>
      <c r="P147" s="70"/>
    </row>
    <row r="148">
      <c r="A148" s="70"/>
      <c r="B148" s="70"/>
      <c r="J148" s="70"/>
      <c r="K148" s="70"/>
      <c r="L148" s="70"/>
      <c r="N148" s="70"/>
      <c r="P148" s="70"/>
    </row>
    <row r="149">
      <c r="A149" s="70"/>
      <c r="B149" s="70"/>
      <c r="J149" s="70"/>
      <c r="K149" s="70"/>
      <c r="L149" s="70"/>
      <c r="N149" s="70"/>
      <c r="P149" s="70"/>
    </row>
    <row r="150">
      <c r="A150" s="70"/>
      <c r="B150" s="70"/>
      <c r="J150" s="70"/>
      <c r="K150" s="70"/>
      <c r="L150" s="70"/>
      <c r="N150" s="70"/>
      <c r="P150" s="70"/>
    </row>
    <row r="151">
      <c r="A151" s="70"/>
      <c r="B151" s="70"/>
      <c r="J151" s="70"/>
      <c r="K151" s="70"/>
      <c r="L151" s="70"/>
      <c r="N151" s="70"/>
      <c r="P151" s="70"/>
    </row>
    <row r="152">
      <c r="A152" s="70"/>
      <c r="B152" s="70"/>
      <c r="J152" s="70"/>
      <c r="K152" s="70"/>
      <c r="L152" s="70"/>
      <c r="N152" s="70"/>
      <c r="P152" s="70"/>
    </row>
    <row r="153">
      <c r="A153" s="70"/>
      <c r="B153" s="70"/>
      <c r="J153" s="70"/>
      <c r="K153" s="70"/>
      <c r="L153" s="70"/>
      <c r="N153" s="70"/>
      <c r="P153" s="70"/>
    </row>
    <row r="154">
      <c r="A154" s="70"/>
      <c r="B154" s="70"/>
      <c r="J154" s="70"/>
      <c r="K154" s="70"/>
      <c r="L154" s="70"/>
      <c r="N154" s="70"/>
      <c r="P154" s="70"/>
    </row>
    <row r="155">
      <c r="A155" s="70"/>
      <c r="B155" s="70"/>
      <c r="J155" s="70"/>
      <c r="K155" s="70"/>
      <c r="L155" s="70"/>
      <c r="N155" s="70"/>
      <c r="P155" s="70"/>
    </row>
    <row r="156">
      <c r="A156" s="70"/>
      <c r="B156" s="70"/>
      <c r="J156" s="70"/>
      <c r="K156" s="70"/>
      <c r="L156" s="70"/>
      <c r="N156" s="70"/>
      <c r="P156" s="70"/>
    </row>
    <row r="157">
      <c r="A157" s="70"/>
      <c r="B157" s="70"/>
      <c r="J157" s="70"/>
      <c r="K157" s="70"/>
      <c r="L157" s="70"/>
      <c r="N157" s="70"/>
      <c r="P157" s="70"/>
    </row>
    <row r="158">
      <c r="A158" s="70"/>
      <c r="B158" s="70"/>
      <c r="J158" s="70"/>
      <c r="K158" s="70"/>
      <c r="L158" s="70"/>
      <c r="N158" s="70"/>
      <c r="P158" s="70"/>
    </row>
    <row r="159">
      <c r="A159" s="70"/>
      <c r="B159" s="70"/>
      <c r="J159" s="70"/>
      <c r="K159" s="70"/>
      <c r="L159" s="70"/>
      <c r="N159" s="70"/>
      <c r="P159" s="70"/>
    </row>
    <row r="160">
      <c r="A160" s="70"/>
      <c r="B160" s="70"/>
      <c r="J160" s="70"/>
      <c r="K160" s="70"/>
      <c r="L160" s="70"/>
      <c r="N160" s="70"/>
      <c r="P160" s="70"/>
    </row>
    <row r="161">
      <c r="A161" s="70"/>
      <c r="B161" s="70"/>
      <c r="J161" s="70"/>
      <c r="K161" s="70"/>
      <c r="L161" s="70"/>
      <c r="N161" s="70"/>
      <c r="P161" s="70"/>
    </row>
    <row r="162">
      <c r="A162" s="70"/>
      <c r="B162" s="70"/>
      <c r="J162" s="70"/>
      <c r="K162" s="70"/>
      <c r="L162" s="70"/>
      <c r="N162" s="70"/>
      <c r="P162" s="70"/>
    </row>
    <row r="163">
      <c r="A163" s="70"/>
      <c r="B163" s="70"/>
      <c r="J163" s="70"/>
      <c r="K163" s="70"/>
      <c r="L163" s="70"/>
      <c r="N163" s="70"/>
      <c r="P163" s="70"/>
    </row>
    <row r="164">
      <c r="A164" s="70"/>
      <c r="B164" s="70"/>
      <c r="J164" s="70"/>
      <c r="K164" s="70"/>
      <c r="L164" s="70"/>
      <c r="N164" s="70"/>
      <c r="P164" s="70"/>
    </row>
    <row r="165">
      <c r="A165" s="70"/>
      <c r="B165" s="70"/>
      <c r="J165" s="70"/>
      <c r="K165" s="70"/>
      <c r="L165" s="70"/>
      <c r="N165" s="70"/>
      <c r="P165" s="70"/>
    </row>
    <row r="166">
      <c r="A166" s="70"/>
      <c r="B166" s="70"/>
      <c r="J166" s="70"/>
      <c r="K166" s="70"/>
      <c r="L166" s="70"/>
      <c r="N166" s="70"/>
      <c r="P166" s="70"/>
    </row>
    <row r="167">
      <c r="A167" s="70"/>
      <c r="B167" s="70"/>
      <c r="J167" s="70"/>
      <c r="K167" s="70"/>
      <c r="L167" s="70"/>
      <c r="N167" s="70"/>
      <c r="P167" s="70"/>
    </row>
    <row r="168">
      <c r="A168" s="70"/>
      <c r="B168" s="70"/>
      <c r="J168" s="70"/>
      <c r="K168" s="70"/>
      <c r="L168" s="70"/>
      <c r="N168" s="70"/>
      <c r="P168" s="70"/>
    </row>
    <row r="169">
      <c r="A169" s="70"/>
      <c r="B169" s="70"/>
      <c r="J169" s="70"/>
      <c r="K169" s="70"/>
      <c r="L169" s="70"/>
      <c r="N169" s="70"/>
      <c r="P169" s="70"/>
    </row>
    <row r="170">
      <c r="A170" s="70"/>
      <c r="B170" s="70"/>
      <c r="J170" s="70"/>
      <c r="K170" s="70"/>
      <c r="L170" s="70"/>
      <c r="N170" s="70"/>
      <c r="P170" s="70"/>
    </row>
    <row r="171">
      <c r="A171" s="70"/>
      <c r="B171" s="70"/>
      <c r="J171" s="70"/>
      <c r="K171" s="70"/>
      <c r="L171" s="70"/>
      <c r="N171" s="70"/>
      <c r="P171" s="70"/>
    </row>
    <row r="172">
      <c r="A172" s="70"/>
      <c r="B172" s="70"/>
      <c r="J172" s="70"/>
      <c r="K172" s="70"/>
      <c r="L172" s="70"/>
      <c r="N172" s="70"/>
      <c r="P172" s="70"/>
    </row>
    <row r="173">
      <c r="A173" s="70"/>
      <c r="B173" s="70"/>
      <c r="J173" s="70"/>
      <c r="K173" s="70"/>
      <c r="L173" s="70"/>
      <c r="N173" s="70"/>
      <c r="P173" s="70"/>
    </row>
    <row r="174">
      <c r="A174" s="70"/>
      <c r="B174" s="70"/>
      <c r="J174" s="70"/>
      <c r="K174" s="70"/>
      <c r="L174" s="70"/>
      <c r="N174" s="70"/>
      <c r="P174" s="70"/>
    </row>
    <row r="175">
      <c r="A175" s="70"/>
      <c r="B175" s="70"/>
      <c r="J175" s="70"/>
      <c r="K175" s="70"/>
      <c r="L175" s="70"/>
      <c r="N175" s="70"/>
      <c r="P175" s="70"/>
    </row>
    <row r="176">
      <c r="A176" s="70"/>
      <c r="B176" s="70"/>
      <c r="J176" s="70"/>
      <c r="K176" s="70"/>
      <c r="L176" s="70"/>
      <c r="N176" s="70"/>
      <c r="P176" s="70"/>
    </row>
    <row r="177">
      <c r="A177" s="70"/>
      <c r="B177" s="70"/>
      <c r="J177" s="70"/>
      <c r="K177" s="70"/>
      <c r="L177" s="70"/>
      <c r="N177" s="70"/>
      <c r="P177" s="70"/>
    </row>
    <row r="178">
      <c r="A178" s="70"/>
      <c r="B178" s="70"/>
      <c r="J178" s="70"/>
      <c r="K178" s="70"/>
      <c r="L178" s="70"/>
      <c r="N178" s="70"/>
      <c r="P178" s="70"/>
    </row>
    <row r="179">
      <c r="A179" s="70"/>
      <c r="B179" s="70"/>
      <c r="J179" s="70"/>
      <c r="K179" s="70"/>
      <c r="L179" s="70"/>
      <c r="N179" s="70"/>
      <c r="P179" s="70"/>
    </row>
    <row r="180">
      <c r="A180" s="70"/>
      <c r="B180" s="70"/>
      <c r="J180" s="70"/>
      <c r="K180" s="70"/>
      <c r="L180" s="70"/>
      <c r="N180" s="70"/>
      <c r="P180" s="70"/>
    </row>
    <row r="181">
      <c r="A181" s="70"/>
      <c r="B181" s="70"/>
      <c r="J181" s="70"/>
      <c r="K181" s="70"/>
      <c r="L181" s="70"/>
      <c r="N181" s="70"/>
      <c r="P181" s="70"/>
    </row>
    <row r="182">
      <c r="A182" s="70"/>
      <c r="B182" s="70"/>
      <c r="J182" s="70"/>
      <c r="K182" s="70"/>
      <c r="L182" s="70"/>
      <c r="N182" s="70"/>
      <c r="P182" s="70"/>
    </row>
    <row r="183">
      <c r="A183" s="70"/>
      <c r="B183" s="70"/>
      <c r="J183" s="70"/>
      <c r="K183" s="70"/>
      <c r="L183" s="70"/>
      <c r="N183" s="70"/>
      <c r="P183" s="70"/>
    </row>
    <row r="184">
      <c r="A184" s="70"/>
      <c r="B184" s="70"/>
      <c r="J184" s="70"/>
      <c r="K184" s="70"/>
      <c r="L184" s="70"/>
      <c r="N184" s="70"/>
      <c r="P184" s="70"/>
    </row>
    <row r="185">
      <c r="A185" s="70"/>
      <c r="B185" s="70"/>
      <c r="J185" s="70"/>
      <c r="K185" s="70"/>
      <c r="L185" s="70"/>
      <c r="N185" s="70"/>
      <c r="P185" s="70"/>
    </row>
    <row r="186">
      <c r="A186" s="70"/>
      <c r="B186" s="70"/>
      <c r="J186" s="70"/>
      <c r="K186" s="70"/>
      <c r="L186" s="70"/>
      <c r="N186" s="70"/>
      <c r="P186" s="70"/>
    </row>
    <row r="187">
      <c r="A187" s="70"/>
      <c r="B187" s="70"/>
      <c r="J187" s="70"/>
      <c r="K187" s="70"/>
      <c r="L187" s="70"/>
      <c r="N187" s="70"/>
      <c r="P187" s="70"/>
    </row>
    <row r="188">
      <c r="A188" s="70"/>
      <c r="B188" s="70"/>
      <c r="J188" s="70"/>
      <c r="K188" s="70"/>
      <c r="L188" s="70"/>
      <c r="N188" s="70"/>
      <c r="P188" s="70"/>
    </row>
    <row r="189">
      <c r="A189" s="70"/>
      <c r="B189" s="70"/>
      <c r="J189" s="70"/>
      <c r="K189" s="70"/>
      <c r="L189" s="70"/>
      <c r="N189" s="70"/>
      <c r="P189" s="70"/>
    </row>
    <row r="190">
      <c r="A190" s="70"/>
      <c r="B190" s="70"/>
      <c r="J190" s="70"/>
      <c r="K190" s="70"/>
      <c r="L190" s="70"/>
      <c r="N190" s="70"/>
      <c r="P190" s="70"/>
    </row>
    <row r="191">
      <c r="A191" s="70"/>
      <c r="B191" s="70"/>
      <c r="J191" s="70"/>
      <c r="K191" s="70"/>
      <c r="L191" s="70"/>
      <c r="N191" s="70"/>
      <c r="P191" s="70"/>
    </row>
    <row r="192">
      <c r="A192" s="70"/>
      <c r="B192" s="70"/>
      <c r="J192" s="70"/>
      <c r="K192" s="70"/>
      <c r="L192" s="70"/>
      <c r="N192" s="70"/>
      <c r="P192" s="70"/>
    </row>
    <row r="193">
      <c r="A193" s="70"/>
      <c r="B193" s="70"/>
      <c r="J193" s="70"/>
      <c r="K193" s="70"/>
      <c r="L193" s="70"/>
      <c r="N193" s="70"/>
      <c r="P193" s="70"/>
    </row>
    <row r="194">
      <c r="A194" s="70"/>
      <c r="B194" s="70"/>
      <c r="J194" s="70"/>
      <c r="K194" s="70"/>
      <c r="L194" s="70"/>
      <c r="N194" s="70"/>
      <c r="P194" s="70"/>
    </row>
    <row r="195">
      <c r="A195" s="70"/>
      <c r="B195" s="70"/>
      <c r="J195" s="70"/>
      <c r="K195" s="70"/>
      <c r="L195" s="70"/>
      <c r="N195" s="70"/>
      <c r="P195" s="70"/>
    </row>
    <row r="196">
      <c r="A196" s="70"/>
      <c r="B196" s="70"/>
      <c r="J196" s="70"/>
      <c r="K196" s="70"/>
      <c r="L196" s="70"/>
      <c r="N196" s="70"/>
      <c r="P196" s="70"/>
    </row>
    <row r="197">
      <c r="A197" s="70"/>
      <c r="B197" s="70"/>
      <c r="J197" s="70"/>
      <c r="K197" s="70"/>
      <c r="L197" s="70"/>
      <c r="N197" s="70"/>
      <c r="P197" s="70"/>
    </row>
    <row r="198">
      <c r="A198" s="70"/>
      <c r="B198" s="70"/>
      <c r="J198" s="70"/>
      <c r="K198" s="70"/>
      <c r="L198" s="70"/>
      <c r="N198" s="70"/>
      <c r="P198" s="70"/>
    </row>
    <row r="199">
      <c r="A199" s="70"/>
      <c r="B199" s="70"/>
      <c r="J199" s="70"/>
      <c r="K199" s="70"/>
      <c r="L199" s="70"/>
      <c r="N199" s="70"/>
      <c r="P199" s="70"/>
    </row>
    <row r="200">
      <c r="A200" s="70"/>
      <c r="B200" s="70"/>
      <c r="J200" s="70"/>
      <c r="K200" s="70"/>
      <c r="L200" s="70"/>
      <c r="N200" s="70"/>
      <c r="P200" s="70"/>
    </row>
    <row r="201">
      <c r="A201" s="70"/>
      <c r="B201" s="70"/>
      <c r="J201" s="70"/>
      <c r="K201" s="70"/>
      <c r="L201" s="70"/>
      <c r="N201" s="70"/>
      <c r="P201" s="70"/>
    </row>
    <row r="202">
      <c r="A202" s="70"/>
      <c r="B202" s="70"/>
      <c r="J202" s="70"/>
      <c r="K202" s="70"/>
      <c r="L202" s="70"/>
      <c r="N202" s="70"/>
      <c r="P202" s="70"/>
    </row>
    <row r="203">
      <c r="A203" s="70"/>
      <c r="B203" s="70"/>
      <c r="J203" s="70"/>
      <c r="K203" s="70"/>
      <c r="L203" s="70"/>
      <c r="N203" s="70"/>
      <c r="P203" s="70"/>
    </row>
    <row r="204">
      <c r="A204" s="70"/>
      <c r="B204" s="70"/>
      <c r="J204" s="70"/>
      <c r="K204" s="70"/>
      <c r="L204" s="70"/>
      <c r="N204" s="70"/>
      <c r="P204" s="70"/>
    </row>
    <row r="205">
      <c r="A205" s="70"/>
      <c r="B205" s="70"/>
      <c r="J205" s="70"/>
      <c r="K205" s="70"/>
      <c r="L205" s="70"/>
      <c r="N205" s="70"/>
      <c r="P205" s="70"/>
    </row>
    <row r="206">
      <c r="A206" s="70"/>
      <c r="B206" s="70"/>
      <c r="J206" s="70"/>
      <c r="K206" s="70"/>
      <c r="L206" s="70"/>
      <c r="N206" s="70"/>
      <c r="P206" s="70"/>
    </row>
    <row r="207">
      <c r="A207" s="70"/>
      <c r="B207" s="70"/>
      <c r="J207" s="70"/>
      <c r="K207" s="70"/>
      <c r="L207" s="70"/>
      <c r="N207" s="70"/>
      <c r="P207" s="70"/>
    </row>
    <row r="208">
      <c r="A208" s="70"/>
      <c r="B208" s="70"/>
      <c r="J208" s="70"/>
      <c r="K208" s="70"/>
      <c r="L208" s="70"/>
      <c r="N208" s="70"/>
      <c r="P208" s="70"/>
    </row>
    <row r="209">
      <c r="A209" s="70"/>
      <c r="B209" s="70"/>
      <c r="J209" s="70"/>
      <c r="K209" s="70"/>
      <c r="L209" s="70"/>
      <c r="N209" s="70"/>
      <c r="P209" s="70"/>
    </row>
    <row r="210">
      <c r="A210" s="70"/>
      <c r="B210" s="70"/>
      <c r="J210" s="70"/>
      <c r="K210" s="70"/>
      <c r="L210" s="70"/>
      <c r="N210" s="70"/>
      <c r="P210" s="70"/>
    </row>
    <row r="211">
      <c r="A211" s="70"/>
      <c r="B211" s="70"/>
      <c r="J211" s="70"/>
      <c r="K211" s="70"/>
      <c r="L211" s="70"/>
      <c r="N211" s="70"/>
      <c r="P211" s="70"/>
    </row>
    <row r="212">
      <c r="A212" s="70"/>
      <c r="B212" s="70"/>
      <c r="J212" s="70"/>
      <c r="K212" s="70"/>
      <c r="L212" s="70"/>
      <c r="N212" s="70"/>
      <c r="P212" s="70"/>
    </row>
    <row r="213">
      <c r="A213" s="70"/>
      <c r="B213" s="70"/>
      <c r="J213" s="70"/>
      <c r="K213" s="70"/>
      <c r="L213" s="70"/>
      <c r="N213" s="70"/>
      <c r="P213" s="70"/>
    </row>
    <row r="214">
      <c r="A214" s="70"/>
      <c r="B214" s="70"/>
      <c r="J214" s="70"/>
      <c r="K214" s="70"/>
      <c r="L214" s="70"/>
      <c r="N214" s="70"/>
      <c r="P214" s="70"/>
    </row>
    <row r="215">
      <c r="A215" s="70"/>
      <c r="B215" s="70"/>
      <c r="J215" s="70"/>
      <c r="K215" s="70"/>
      <c r="L215" s="70"/>
      <c r="N215" s="70"/>
      <c r="P215" s="70"/>
    </row>
    <row r="216">
      <c r="A216" s="70"/>
      <c r="B216" s="70"/>
      <c r="J216" s="70"/>
      <c r="K216" s="70"/>
      <c r="L216" s="70"/>
      <c r="N216" s="70"/>
      <c r="P216" s="70"/>
    </row>
    <row r="217">
      <c r="A217" s="70"/>
      <c r="B217" s="70"/>
      <c r="J217" s="70"/>
      <c r="K217" s="70"/>
      <c r="L217" s="70"/>
      <c r="N217" s="70"/>
      <c r="P217" s="70"/>
    </row>
    <row r="218">
      <c r="A218" s="70"/>
      <c r="B218" s="70"/>
      <c r="J218" s="70"/>
      <c r="K218" s="70"/>
      <c r="L218" s="70"/>
      <c r="N218" s="70"/>
      <c r="P218" s="70"/>
    </row>
    <row r="219">
      <c r="A219" s="70"/>
      <c r="B219" s="70"/>
      <c r="J219" s="70"/>
      <c r="K219" s="70"/>
      <c r="L219" s="70"/>
      <c r="N219" s="70"/>
      <c r="P219" s="70"/>
    </row>
    <row r="220">
      <c r="A220" s="70"/>
      <c r="B220" s="70"/>
      <c r="J220" s="70"/>
      <c r="K220" s="70"/>
      <c r="L220" s="70"/>
      <c r="N220" s="70"/>
      <c r="P220" s="70"/>
    </row>
    <row r="221">
      <c r="A221" s="70"/>
      <c r="B221" s="70"/>
      <c r="J221" s="70"/>
      <c r="K221" s="70"/>
      <c r="L221" s="70"/>
      <c r="N221" s="70"/>
      <c r="P221" s="70"/>
    </row>
    <row r="222">
      <c r="A222" s="70"/>
      <c r="B222" s="70"/>
      <c r="J222" s="70"/>
      <c r="K222" s="70"/>
      <c r="L222" s="70"/>
      <c r="N222" s="70"/>
      <c r="P222" s="70"/>
    </row>
    <row r="223">
      <c r="A223" s="70"/>
      <c r="B223" s="70"/>
      <c r="J223" s="70"/>
      <c r="K223" s="70"/>
      <c r="L223" s="70"/>
      <c r="N223" s="70"/>
      <c r="P223" s="70"/>
    </row>
    <row r="224">
      <c r="A224" s="70"/>
      <c r="B224" s="70"/>
      <c r="J224" s="70"/>
      <c r="K224" s="70"/>
      <c r="L224" s="70"/>
      <c r="N224" s="70"/>
      <c r="P224" s="70"/>
    </row>
    <row r="225">
      <c r="A225" s="70"/>
      <c r="B225" s="70"/>
      <c r="J225" s="70"/>
      <c r="K225" s="70"/>
      <c r="L225" s="70"/>
      <c r="N225" s="70"/>
      <c r="P225" s="70"/>
    </row>
    <row r="226">
      <c r="A226" s="70"/>
      <c r="B226" s="70"/>
      <c r="J226" s="70"/>
      <c r="K226" s="70"/>
      <c r="L226" s="70"/>
      <c r="N226" s="70"/>
      <c r="P226" s="70"/>
    </row>
    <row r="227">
      <c r="A227" s="70"/>
      <c r="B227" s="70"/>
      <c r="J227" s="70"/>
      <c r="K227" s="70"/>
      <c r="L227" s="70"/>
      <c r="N227" s="70"/>
      <c r="P227" s="70"/>
    </row>
    <row r="228">
      <c r="A228" s="70"/>
      <c r="B228" s="70"/>
      <c r="J228" s="70"/>
      <c r="K228" s="70"/>
      <c r="L228" s="70"/>
      <c r="N228" s="70"/>
      <c r="P228" s="70"/>
    </row>
    <row r="229">
      <c r="A229" s="70"/>
      <c r="B229" s="70"/>
      <c r="J229" s="70"/>
      <c r="K229" s="70"/>
      <c r="L229" s="70"/>
      <c r="N229" s="70"/>
      <c r="P229" s="70"/>
    </row>
    <row r="230">
      <c r="A230" s="70"/>
      <c r="B230" s="70"/>
      <c r="J230" s="70"/>
      <c r="K230" s="70"/>
      <c r="L230" s="70"/>
      <c r="N230" s="70"/>
      <c r="P230" s="70"/>
    </row>
    <row r="231">
      <c r="A231" s="70"/>
      <c r="B231" s="70"/>
      <c r="J231" s="70"/>
      <c r="K231" s="70"/>
      <c r="L231" s="70"/>
      <c r="N231" s="70"/>
      <c r="P231" s="70"/>
    </row>
    <row r="232">
      <c r="A232" s="70"/>
      <c r="B232" s="70"/>
      <c r="J232" s="70"/>
      <c r="K232" s="70"/>
      <c r="L232" s="70"/>
      <c r="N232" s="70"/>
      <c r="P232" s="70"/>
    </row>
    <row r="233">
      <c r="A233" s="70"/>
      <c r="B233" s="70"/>
      <c r="J233" s="70"/>
      <c r="K233" s="70"/>
      <c r="L233" s="70"/>
      <c r="N233" s="70"/>
      <c r="P233" s="70"/>
    </row>
    <row r="234">
      <c r="A234" s="70"/>
      <c r="B234" s="70"/>
      <c r="J234" s="70"/>
      <c r="K234" s="70"/>
      <c r="L234" s="70"/>
      <c r="N234" s="70"/>
      <c r="P234" s="70"/>
    </row>
    <row r="235">
      <c r="A235" s="70"/>
      <c r="B235" s="70"/>
      <c r="J235" s="70"/>
      <c r="K235" s="70"/>
      <c r="L235" s="70"/>
      <c r="N235" s="70"/>
      <c r="P235" s="70"/>
    </row>
    <row r="236">
      <c r="A236" s="70"/>
      <c r="B236" s="70"/>
      <c r="J236" s="70"/>
      <c r="K236" s="70"/>
      <c r="L236" s="70"/>
      <c r="N236" s="70"/>
      <c r="P236" s="70"/>
    </row>
    <row r="237">
      <c r="A237" s="70"/>
      <c r="B237" s="70"/>
      <c r="J237" s="70"/>
      <c r="K237" s="70"/>
      <c r="L237" s="70"/>
      <c r="N237" s="70"/>
      <c r="P237" s="70"/>
    </row>
    <row r="238">
      <c r="A238" s="70"/>
      <c r="B238" s="70"/>
      <c r="J238" s="70"/>
      <c r="K238" s="70"/>
      <c r="L238" s="70"/>
      <c r="N238" s="70"/>
      <c r="P238" s="70"/>
    </row>
    <row r="239">
      <c r="A239" s="70"/>
      <c r="B239" s="70"/>
      <c r="J239" s="70"/>
      <c r="K239" s="70"/>
      <c r="L239" s="70"/>
      <c r="N239" s="70"/>
      <c r="P239" s="70"/>
    </row>
    <row r="240">
      <c r="A240" s="70"/>
      <c r="B240" s="70"/>
      <c r="J240" s="70"/>
      <c r="K240" s="70"/>
      <c r="L240" s="70"/>
      <c r="N240" s="70"/>
      <c r="P240" s="70"/>
    </row>
    <row r="241">
      <c r="A241" s="70"/>
      <c r="B241" s="70"/>
      <c r="J241" s="70"/>
      <c r="K241" s="70"/>
      <c r="L241" s="70"/>
      <c r="N241" s="70"/>
      <c r="P241" s="70"/>
    </row>
    <row r="242">
      <c r="A242" s="70"/>
      <c r="B242" s="70"/>
      <c r="J242" s="70"/>
      <c r="K242" s="70"/>
      <c r="L242" s="70"/>
      <c r="N242" s="70"/>
      <c r="P242" s="70"/>
    </row>
    <row r="243">
      <c r="A243" s="70"/>
      <c r="B243" s="70"/>
      <c r="J243" s="70"/>
      <c r="K243" s="70"/>
      <c r="L243" s="70"/>
      <c r="N243" s="70"/>
      <c r="P243" s="70"/>
    </row>
    <row r="244">
      <c r="A244" s="70"/>
      <c r="B244" s="70"/>
      <c r="J244" s="70"/>
      <c r="K244" s="70"/>
      <c r="L244" s="70"/>
      <c r="N244" s="70"/>
      <c r="P244" s="70"/>
    </row>
    <row r="245">
      <c r="A245" s="70"/>
      <c r="B245" s="70"/>
      <c r="J245" s="70"/>
      <c r="K245" s="70"/>
      <c r="L245" s="70"/>
      <c r="N245" s="70"/>
      <c r="P245" s="70"/>
    </row>
    <row r="246">
      <c r="A246" s="70"/>
      <c r="B246" s="70"/>
      <c r="J246" s="70"/>
      <c r="K246" s="70"/>
      <c r="L246" s="70"/>
      <c r="N246" s="70"/>
      <c r="P246" s="70"/>
    </row>
    <row r="247">
      <c r="A247" s="70"/>
      <c r="B247" s="70"/>
      <c r="J247" s="70"/>
      <c r="K247" s="70"/>
      <c r="L247" s="70"/>
      <c r="N247" s="70"/>
      <c r="P247" s="70"/>
    </row>
    <row r="248">
      <c r="A248" s="70"/>
      <c r="B248" s="70"/>
      <c r="J248" s="70"/>
      <c r="K248" s="70"/>
      <c r="L248" s="70"/>
      <c r="N248" s="70"/>
      <c r="P248" s="70"/>
    </row>
    <row r="249">
      <c r="A249" s="70"/>
      <c r="B249" s="70"/>
      <c r="J249" s="70"/>
      <c r="K249" s="70"/>
      <c r="L249" s="70"/>
      <c r="N249" s="70"/>
      <c r="P249" s="70"/>
    </row>
    <row r="250">
      <c r="A250" s="70"/>
      <c r="B250" s="70"/>
      <c r="J250" s="70"/>
      <c r="K250" s="70"/>
      <c r="L250" s="70"/>
      <c r="N250" s="70"/>
      <c r="P250" s="70"/>
    </row>
    <row r="251">
      <c r="A251" s="70"/>
      <c r="B251" s="70"/>
      <c r="J251" s="70"/>
      <c r="K251" s="70"/>
      <c r="L251" s="70"/>
      <c r="N251" s="70"/>
      <c r="P251" s="70"/>
    </row>
    <row r="252">
      <c r="A252" s="70"/>
      <c r="B252" s="70"/>
      <c r="J252" s="70"/>
      <c r="K252" s="70"/>
      <c r="L252" s="70"/>
      <c r="N252" s="70"/>
      <c r="P252" s="70"/>
    </row>
    <row r="253">
      <c r="A253" s="70"/>
      <c r="B253" s="70"/>
      <c r="J253" s="70"/>
      <c r="K253" s="70"/>
      <c r="L253" s="70"/>
      <c r="N253" s="70"/>
      <c r="P253" s="70"/>
    </row>
    <row r="254">
      <c r="A254" s="70"/>
      <c r="B254" s="70"/>
      <c r="J254" s="70"/>
      <c r="K254" s="70"/>
      <c r="L254" s="70"/>
      <c r="N254" s="70"/>
      <c r="P254" s="70"/>
    </row>
    <row r="255">
      <c r="A255" s="70"/>
      <c r="B255" s="70"/>
      <c r="J255" s="70"/>
      <c r="K255" s="70"/>
      <c r="L255" s="70"/>
      <c r="N255" s="70"/>
      <c r="P255" s="70"/>
    </row>
    <row r="256">
      <c r="A256" s="70"/>
      <c r="B256" s="70"/>
      <c r="J256" s="70"/>
      <c r="K256" s="70"/>
      <c r="L256" s="70"/>
      <c r="N256" s="70"/>
      <c r="P256" s="70"/>
    </row>
    <row r="257">
      <c r="A257" s="70"/>
      <c r="B257" s="70"/>
      <c r="J257" s="70"/>
      <c r="K257" s="70"/>
      <c r="L257" s="70"/>
      <c r="N257" s="70"/>
      <c r="P257" s="70"/>
    </row>
    <row r="258">
      <c r="A258" s="70"/>
      <c r="B258" s="70"/>
      <c r="J258" s="70"/>
      <c r="K258" s="70"/>
      <c r="L258" s="70"/>
      <c r="N258" s="70"/>
      <c r="P258" s="70"/>
    </row>
    <row r="259">
      <c r="A259" s="70"/>
      <c r="B259" s="70"/>
      <c r="J259" s="70"/>
      <c r="K259" s="70"/>
      <c r="L259" s="70"/>
      <c r="N259" s="70"/>
      <c r="P259" s="70"/>
    </row>
    <row r="260">
      <c r="A260" s="70"/>
      <c r="B260" s="70"/>
      <c r="J260" s="70"/>
      <c r="K260" s="70"/>
      <c r="L260" s="70"/>
      <c r="N260" s="70"/>
      <c r="P260" s="70"/>
    </row>
    <row r="261">
      <c r="A261" s="70"/>
      <c r="B261" s="70"/>
      <c r="J261" s="70"/>
      <c r="K261" s="70"/>
      <c r="L261" s="70"/>
      <c r="N261" s="70"/>
      <c r="P261" s="70"/>
    </row>
    <row r="262">
      <c r="A262" s="70"/>
      <c r="B262" s="70"/>
      <c r="J262" s="70"/>
      <c r="K262" s="70"/>
      <c r="L262" s="70"/>
      <c r="N262" s="70"/>
      <c r="P262" s="70"/>
    </row>
    <row r="263">
      <c r="A263" s="70"/>
      <c r="B263" s="70"/>
      <c r="J263" s="70"/>
      <c r="K263" s="70"/>
      <c r="L263" s="70"/>
      <c r="N263" s="70"/>
      <c r="P263" s="70"/>
    </row>
    <row r="264">
      <c r="A264" s="70"/>
      <c r="B264" s="70"/>
      <c r="J264" s="70"/>
      <c r="K264" s="70"/>
      <c r="L264" s="70"/>
      <c r="N264" s="70"/>
      <c r="P264" s="70"/>
    </row>
    <row r="265">
      <c r="A265" s="70"/>
      <c r="B265" s="70"/>
      <c r="J265" s="70"/>
      <c r="K265" s="70"/>
      <c r="L265" s="70"/>
      <c r="N265" s="70"/>
      <c r="P265" s="70"/>
    </row>
    <row r="266">
      <c r="A266" s="70"/>
      <c r="B266" s="70"/>
      <c r="J266" s="70"/>
      <c r="K266" s="70"/>
      <c r="L266" s="70"/>
      <c r="N266" s="70"/>
      <c r="P266" s="70"/>
    </row>
    <row r="267">
      <c r="A267" s="70"/>
      <c r="B267" s="70"/>
      <c r="J267" s="70"/>
      <c r="K267" s="70"/>
      <c r="L267" s="70"/>
      <c r="N267" s="70"/>
      <c r="P267" s="70"/>
    </row>
    <row r="268">
      <c r="A268" s="70"/>
      <c r="B268" s="70"/>
      <c r="J268" s="70"/>
      <c r="K268" s="70"/>
      <c r="L268" s="70"/>
      <c r="N268" s="70"/>
      <c r="P268" s="70"/>
    </row>
    <row r="269">
      <c r="A269" s="70"/>
      <c r="B269" s="70"/>
      <c r="J269" s="70"/>
      <c r="K269" s="70"/>
      <c r="L269" s="70"/>
      <c r="N269" s="70"/>
      <c r="P269" s="70"/>
    </row>
    <row r="270">
      <c r="A270" s="70"/>
      <c r="B270" s="70"/>
      <c r="J270" s="70"/>
      <c r="K270" s="70"/>
      <c r="L270" s="70"/>
      <c r="N270" s="70"/>
      <c r="P270" s="70"/>
    </row>
    <row r="271">
      <c r="A271" s="70"/>
      <c r="B271" s="70"/>
      <c r="J271" s="70"/>
      <c r="K271" s="70"/>
      <c r="L271" s="70"/>
      <c r="N271" s="70"/>
      <c r="P271" s="70"/>
    </row>
    <row r="272">
      <c r="A272" s="70"/>
      <c r="B272" s="70"/>
      <c r="J272" s="70"/>
      <c r="K272" s="70"/>
      <c r="L272" s="70"/>
      <c r="N272" s="70"/>
      <c r="P272" s="70"/>
    </row>
    <row r="273">
      <c r="A273" s="70"/>
      <c r="B273" s="70"/>
      <c r="J273" s="70"/>
      <c r="K273" s="70"/>
      <c r="L273" s="70"/>
      <c r="N273" s="70"/>
      <c r="P273" s="70"/>
    </row>
    <row r="274">
      <c r="A274" s="70"/>
      <c r="B274" s="70"/>
      <c r="J274" s="70"/>
      <c r="K274" s="70"/>
      <c r="L274" s="70"/>
      <c r="N274" s="70"/>
      <c r="P274" s="70"/>
    </row>
    <row r="275">
      <c r="A275" s="70"/>
      <c r="B275" s="70"/>
      <c r="J275" s="70"/>
      <c r="K275" s="70"/>
      <c r="L275" s="70"/>
      <c r="N275" s="70"/>
      <c r="P275" s="70"/>
    </row>
    <row r="276">
      <c r="A276" s="70"/>
      <c r="B276" s="70"/>
      <c r="J276" s="70"/>
      <c r="K276" s="70"/>
      <c r="L276" s="70"/>
      <c r="N276" s="70"/>
      <c r="P276" s="70"/>
    </row>
    <row r="277">
      <c r="A277" s="70"/>
      <c r="B277" s="70"/>
      <c r="J277" s="70"/>
      <c r="K277" s="70"/>
      <c r="L277" s="70"/>
      <c r="N277" s="70"/>
      <c r="P277" s="70"/>
    </row>
    <row r="278">
      <c r="A278" s="70"/>
      <c r="B278" s="70"/>
      <c r="J278" s="70"/>
      <c r="K278" s="70"/>
      <c r="L278" s="70"/>
      <c r="N278" s="70"/>
      <c r="P278" s="70"/>
    </row>
    <row r="279">
      <c r="A279" s="70"/>
      <c r="B279" s="70"/>
      <c r="J279" s="70"/>
      <c r="K279" s="70"/>
      <c r="L279" s="70"/>
      <c r="N279" s="70"/>
      <c r="P279" s="70"/>
    </row>
    <row r="280">
      <c r="A280" s="70"/>
      <c r="B280" s="70"/>
      <c r="J280" s="70"/>
      <c r="K280" s="70"/>
      <c r="L280" s="70"/>
      <c r="N280" s="70"/>
      <c r="P280" s="70"/>
    </row>
    <row r="281">
      <c r="A281" s="70"/>
      <c r="B281" s="70"/>
      <c r="J281" s="70"/>
      <c r="K281" s="70"/>
      <c r="L281" s="70"/>
      <c r="N281" s="70"/>
      <c r="P281" s="70"/>
    </row>
    <row r="282">
      <c r="A282" s="70"/>
      <c r="B282" s="70"/>
      <c r="J282" s="70"/>
      <c r="K282" s="70"/>
      <c r="L282" s="70"/>
      <c r="N282" s="70"/>
      <c r="P282" s="70"/>
    </row>
    <row r="283">
      <c r="A283" s="70"/>
      <c r="B283" s="70"/>
      <c r="J283" s="70"/>
      <c r="K283" s="70"/>
      <c r="L283" s="70"/>
      <c r="N283" s="70"/>
      <c r="P283" s="70"/>
    </row>
    <row r="284">
      <c r="A284" s="70"/>
      <c r="B284" s="70"/>
      <c r="J284" s="70"/>
      <c r="K284" s="70"/>
      <c r="L284" s="70"/>
      <c r="N284" s="70"/>
      <c r="P284" s="70"/>
    </row>
    <row r="285">
      <c r="A285" s="70"/>
      <c r="B285" s="70"/>
      <c r="J285" s="70"/>
      <c r="K285" s="70"/>
      <c r="L285" s="70"/>
      <c r="N285" s="70"/>
      <c r="P285" s="70"/>
    </row>
    <row r="286">
      <c r="A286" s="70"/>
      <c r="B286" s="70"/>
      <c r="J286" s="70"/>
      <c r="K286" s="70"/>
      <c r="L286" s="70"/>
      <c r="N286" s="70"/>
      <c r="P286" s="70"/>
    </row>
    <row r="287">
      <c r="A287" s="70"/>
      <c r="B287" s="70"/>
      <c r="J287" s="70"/>
      <c r="K287" s="70"/>
      <c r="L287" s="70"/>
      <c r="N287" s="70"/>
      <c r="P287" s="70"/>
    </row>
    <row r="288">
      <c r="A288" s="70"/>
      <c r="B288" s="70"/>
      <c r="J288" s="70"/>
      <c r="K288" s="70"/>
      <c r="L288" s="70"/>
      <c r="N288" s="70"/>
      <c r="P288" s="70"/>
    </row>
    <row r="289">
      <c r="A289" s="70"/>
      <c r="B289" s="70"/>
      <c r="J289" s="70"/>
      <c r="K289" s="70"/>
      <c r="L289" s="70"/>
      <c r="N289" s="70"/>
      <c r="P289" s="70"/>
    </row>
    <row r="290">
      <c r="A290" s="70"/>
      <c r="B290" s="70"/>
      <c r="J290" s="70"/>
      <c r="K290" s="70"/>
      <c r="L290" s="70"/>
      <c r="N290" s="70"/>
      <c r="P290" s="70"/>
    </row>
    <row r="291">
      <c r="A291" s="70"/>
      <c r="B291" s="70"/>
      <c r="J291" s="70"/>
      <c r="K291" s="70"/>
      <c r="L291" s="70"/>
      <c r="N291" s="70"/>
      <c r="P291" s="70"/>
    </row>
    <row r="292">
      <c r="A292" s="70"/>
      <c r="B292" s="70"/>
      <c r="J292" s="70"/>
      <c r="K292" s="70"/>
      <c r="L292" s="70"/>
      <c r="N292" s="70"/>
      <c r="P292" s="70"/>
    </row>
    <row r="293">
      <c r="A293" s="70"/>
      <c r="B293" s="70"/>
      <c r="J293" s="70"/>
      <c r="K293" s="70"/>
      <c r="L293" s="70"/>
      <c r="N293" s="70"/>
      <c r="P293" s="70"/>
    </row>
    <row r="294">
      <c r="A294" s="70"/>
      <c r="B294" s="70"/>
      <c r="J294" s="70"/>
      <c r="K294" s="70"/>
      <c r="L294" s="70"/>
      <c r="N294" s="70"/>
      <c r="P294" s="70"/>
    </row>
    <row r="295">
      <c r="A295" s="70"/>
      <c r="B295" s="70"/>
      <c r="J295" s="70"/>
      <c r="K295" s="70"/>
      <c r="L295" s="70"/>
      <c r="N295" s="70"/>
      <c r="P295" s="70"/>
    </row>
    <row r="296">
      <c r="A296" s="70"/>
      <c r="B296" s="70"/>
      <c r="J296" s="70"/>
      <c r="K296" s="70"/>
      <c r="L296" s="70"/>
      <c r="N296" s="70"/>
      <c r="P296" s="70"/>
    </row>
    <row r="297">
      <c r="A297" s="70"/>
      <c r="B297" s="70"/>
      <c r="J297" s="70"/>
      <c r="K297" s="70"/>
      <c r="L297" s="70"/>
      <c r="N297" s="70"/>
      <c r="P297" s="70"/>
    </row>
    <row r="298">
      <c r="A298" s="70"/>
      <c r="B298" s="70"/>
      <c r="J298" s="70"/>
      <c r="K298" s="70"/>
      <c r="L298" s="70"/>
      <c r="N298" s="70"/>
      <c r="P298" s="70"/>
    </row>
    <row r="299">
      <c r="A299" s="70"/>
      <c r="B299" s="70"/>
      <c r="J299" s="70"/>
      <c r="K299" s="70"/>
      <c r="L299" s="70"/>
      <c r="N299" s="70"/>
      <c r="P299" s="70"/>
    </row>
    <row r="300">
      <c r="A300" s="70"/>
      <c r="B300" s="70"/>
      <c r="J300" s="70"/>
      <c r="K300" s="70"/>
      <c r="L300" s="70"/>
      <c r="N300" s="70"/>
      <c r="P300" s="70"/>
    </row>
    <row r="301">
      <c r="A301" s="70"/>
      <c r="B301" s="70"/>
      <c r="J301" s="70"/>
      <c r="K301" s="70"/>
      <c r="L301" s="70"/>
      <c r="N301" s="70"/>
      <c r="P301" s="70"/>
    </row>
    <row r="302">
      <c r="A302" s="70"/>
      <c r="B302" s="70"/>
      <c r="J302" s="70"/>
      <c r="K302" s="70"/>
      <c r="L302" s="70"/>
      <c r="N302" s="70"/>
      <c r="P302" s="70"/>
    </row>
    <row r="303">
      <c r="A303" s="70"/>
      <c r="B303" s="70"/>
      <c r="J303" s="70"/>
      <c r="K303" s="70"/>
      <c r="L303" s="70"/>
      <c r="N303" s="70"/>
      <c r="P303" s="70"/>
    </row>
    <row r="304">
      <c r="A304" s="70"/>
      <c r="B304" s="70"/>
      <c r="J304" s="70"/>
      <c r="K304" s="70"/>
      <c r="L304" s="70"/>
      <c r="N304" s="70"/>
      <c r="P304" s="70"/>
    </row>
    <row r="305">
      <c r="A305" s="70"/>
      <c r="B305" s="70"/>
      <c r="J305" s="70"/>
      <c r="K305" s="70"/>
      <c r="L305" s="70"/>
      <c r="N305" s="70"/>
      <c r="P305" s="70"/>
    </row>
    <row r="306">
      <c r="A306" s="70"/>
      <c r="B306" s="70"/>
      <c r="J306" s="70"/>
      <c r="K306" s="70"/>
      <c r="L306" s="70"/>
      <c r="N306" s="70"/>
      <c r="P306" s="70"/>
    </row>
    <row r="307">
      <c r="A307" s="70"/>
      <c r="B307" s="70"/>
      <c r="J307" s="70"/>
      <c r="K307" s="70"/>
      <c r="L307" s="70"/>
      <c r="N307" s="70"/>
      <c r="P307" s="70"/>
    </row>
    <row r="308">
      <c r="A308" s="70"/>
      <c r="B308" s="70"/>
      <c r="J308" s="70"/>
      <c r="K308" s="70"/>
      <c r="L308" s="70"/>
      <c r="N308" s="70"/>
      <c r="P308" s="70"/>
    </row>
    <row r="309">
      <c r="A309" s="70"/>
      <c r="B309" s="70"/>
      <c r="J309" s="70"/>
      <c r="K309" s="70"/>
      <c r="L309" s="70"/>
      <c r="N309" s="70"/>
      <c r="P309" s="70"/>
    </row>
    <row r="310">
      <c r="A310" s="70"/>
      <c r="B310" s="70"/>
      <c r="J310" s="70"/>
      <c r="K310" s="70"/>
      <c r="L310" s="70"/>
      <c r="N310" s="70"/>
      <c r="P310" s="70"/>
    </row>
    <row r="311">
      <c r="A311" s="70"/>
      <c r="B311" s="70"/>
      <c r="J311" s="70"/>
      <c r="K311" s="70"/>
      <c r="L311" s="70"/>
      <c r="N311" s="70"/>
      <c r="P311" s="70"/>
    </row>
    <row r="312">
      <c r="A312" s="70"/>
      <c r="B312" s="70"/>
      <c r="J312" s="70"/>
      <c r="K312" s="70"/>
      <c r="L312" s="70"/>
      <c r="N312" s="70"/>
      <c r="P312" s="70"/>
    </row>
    <row r="313">
      <c r="A313" s="70"/>
      <c r="B313" s="70"/>
      <c r="J313" s="70"/>
      <c r="K313" s="70"/>
      <c r="L313" s="70"/>
      <c r="N313" s="70"/>
      <c r="P313" s="70"/>
    </row>
    <row r="314">
      <c r="A314" s="70"/>
      <c r="B314" s="70"/>
      <c r="J314" s="70"/>
      <c r="K314" s="70"/>
      <c r="L314" s="70"/>
      <c r="N314" s="70"/>
      <c r="P314" s="70"/>
    </row>
    <row r="315">
      <c r="A315" s="70"/>
      <c r="B315" s="70"/>
      <c r="J315" s="70"/>
      <c r="K315" s="70"/>
      <c r="L315" s="70"/>
      <c r="N315" s="70"/>
      <c r="P315" s="70"/>
    </row>
    <row r="316">
      <c r="A316" s="70"/>
      <c r="B316" s="70"/>
      <c r="J316" s="70"/>
      <c r="K316" s="70"/>
      <c r="L316" s="70"/>
      <c r="N316" s="70"/>
      <c r="P316" s="70"/>
    </row>
    <row r="317">
      <c r="A317" s="70"/>
      <c r="B317" s="70"/>
      <c r="J317" s="70"/>
      <c r="K317" s="70"/>
      <c r="L317" s="70"/>
      <c r="N317" s="70"/>
      <c r="P317" s="70"/>
    </row>
    <row r="318">
      <c r="A318" s="70"/>
      <c r="B318" s="70"/>
      <c r="J318" s="70"/>
      <c r="K318" s="70"/>
      <c r="L318" s="70"/>
      <c r="N318" s="70"/>
      <c r="P318" s="70"/>
    </row>
    <row r="319">
      <c r="A319" s="70"/>
      <c r="B319" s="70"/>
      <c r="J319" s="70"/>
      <c r="K319" s="70"/>
      <c r="L319" s="70"/>
      <c r="N319" s="70"/>
      <c r="P319" s="70"/>
    </row>
    <row r="320">
      <c r="A320" s="70"/>
      <c r="B320" s="70"/>
      <c r="J320" s="70"/>
      <c r="K320" s="70"/>
      <c r="L320" s="70"/>
      <c r="N320" s="70"/>
      <c r="P320" s="70"/>
    </row>
    <row r="321">
      <c r="A321" s="70"/>
      <c r="B321" s="70"/>
      <c r="J321" s="70"/>
      <c r="K321" s="70"/>
      <c r="L321" s="70"/>
      <c r="N321" s="70"/>
      <c r="P321" s="70"/>
    </row>
    <row r="322">
      <c r="A322" s="70"/>
      <c r="B322" s="70"/>
      <c r="J322" s="70"/>
      <c r="K322" s="70"/>
      <c r="L322" s="70"/>
      <c r="N322" s="70"/>
      <c r="P322" s="70"/>
    </row>
    <row r="323">
      <c r="A323" s="70"/>
      <c r="B323" s="70"/>
      <c r="J323" s="70"/>
      <c r="K323" s="70"/>
      <c r="L323" s="70"/>
      <c r="N323" s="70"/>
      <c r="P323" s="70"/>
    </row>
    <row r="324">
      <c r="A324" s="70"/>
      <c r="B324" s="70"/>
      <c r="J324" s="70"/>
      <c r="K324" s="70"/>
      <c r="L324" s="70"/>
      <c r="N324" s="70"/>
      <c r="P324" s="70"/>
    </row>
    <row r="325">
      <c r="A325" s="70"/>
      <c r="B325" s="70"/>
      <c r="J325" s="70"/>
      <c r="K325" s="70"/>
      <c r="L325" s="70"/>
      <c r="N325" s="70"/>
      <c r="P325" s="70"/>
    </row>
    <row r="326">
      <c r="A326" s="70"/>
      <c r="B326" s="70"/>
      <c r="J326" s="70"/>
      <c r="K326" s="70"/>
      <c r="L326" s="70"/>
      <c r="N326" s="70"/>
      <c r="P326" s="70"/>
    </row>
    <row r="327">
      <c r="A327" s="70"/>
      <c r="B327" s="70"/>
      <c r="J327" s="70"/>
      <c r="K327" s="70"/>
      <c r="L327" s="70"/>
      <c r="N327" s="70"/>
      <c r="P327" s="70"/>
    </row>
    <row r="328">
      <c r="A328" s="70"/>
      <c r="B328" s="70"/>
      <c r="J328" s="70"/>
      <c r="K328" s="70"/>
      <c r="L328" s="70"/>
      <c r="N328" s="70"/>
      <c r="P328" s="70"/>
    </row>
    <row r="329">
      <c r="A329" s="70"/>
      <c r="B329" s="70"/>
      <c r="J329" s="70"/>
      <c r="K329" s="70"/>
      <c r="L329" s="70"/>
      <c r="N329" s="70"/>
      <c r="P329" s="70"/>
    </row>
    <row r="330">
      <c r="A330" s="70"/>
      <c r="B330" s="70"/>
      <c r="J330" s="70"/>
      <c r="K330" s="70"/>
      <c r="L330" s="70"/>
      <c r="N330" s="70"/>
      <c r="P330" s="70"/>
    </row>
    <row r="331">
      <c r="A331" s="70"/>
      <c r="B331" s="70"/>
      <c r="J331" s="70"/>
      <c r="K331" s="70"/>
      <c r="L331" s="70"/>
      <c r="N331" s="70"/>
      <c r="P331" s="70"/>
    </row>
    <row r="332">
      <c r="A332" s="70"/>
      <c r="B332" s="70"/>
      <c r="J332" s="70"/>
      <c r="K332" s="70"/>
      <c r="L332" s="70"/>
      <c r="N332" s="70"/>
      <c r="P332" s="70"/>
    </row>
    <row r="333">
      <c r="A333" s="70"/>
      <c r="B333" s="70"/>
      <c r="J333" s="70"/>
      <c r="K333" s="70"/>
      <c r="L333" s="70"/>
      <c r="N333" s="70"/>
      <c r="P333" s="70"/>
    </row>
    <row r="334">
      <c r="A334" s="70"/>
      <c r="B334" s="70"/>
      <c r="J334" s="70"/>
      <c r="K334" s="70"/>
      <c r="L334" s="70"/>
      <c r="N334" s="70"/>
      <c r="P334" s="70"/>
    </row>
    <row r="335">
      <c r="A335" s="70"/>
      <c r="B335" s="70"/>
      <c r="J335" s="70"/>
      <c r="K335" s="70"/>
      <c r="L335" s="70"/>
      <c r="N335" s="70"/>
      <c r="P335" s="70"/>
    </row>
    <row r="336">
      <c r="A336" s="70"/>
      <c r="B336" s="70"/>
      <c r="J336" s="70"/>
      <c r="K336" s="70"/>
      <c r="L336" s="70"/>
      <c r="N336" s="70"/>
      <c r="P336" s="70"/>
    </row>
    <row r="337">
      <c r="A337" s="70"/>
      <c r="B337" s="70"/>
      <c r="J337" s="70"/>
      <c r="K337" s="70"/>
      <c r="L337" s="70"/>
      <c r="N337" s="70"/>
      <c r="P337" s="70"/>
    </row>
    <row r="338">
      <c r="A338" s="70"/>
      <c r="B338" s="70"/>
      <c r="J338" s="70"/>
      <c r="K338" s="70"/>
      <c r="L338" s="70"/>
      <c r="N338" s="70"/>
      <c r="P338" s="70"/>
    </row>
    <row r="339">
      <c r="A339" s="70"/>
      <c r="B339" s="70"/>
      <c r="J339" s="70"/>
      <c r="K339" s="70"/>
      <c r="L339" s="70"/>
      <c r="N339" s="70"/>
      <c r="P339" s="70"/>
    </row>
    <row r="340">
      <c r="A340" s="70"/>
      <c r="B340" s="70"/>
      <c r="J340" s="70"/>
      <c r="K340" s="70"/>
      <c r="L340" s="70"/>
      <c r="N340" s="70"/>
      <c r="P340" s="70"/>
    </row>
    <row r="341">
      <c r="A341" s="70"/>
      <c r="B341" s="70"/>
      <c r="J341" s="70"/>
      <c r="K341" s="70"/>
      <c r="L341" s="70"/>
      <c r="N341" s="70"/>
      <c r="P341" s="70"/>
    </row>
    <row r="342">
      <c r="A342" s="70"/>
      <c r="B342" s="70"/>
      <c r="J342" s="70"/>
      <c r="K342" s="70"/>
      <c r="L342" s="70"/>
      <c r="N342" s="70"/>
      <c r="P342" s="70"/>
    </row>
    <row r="343">
      <c r="A343" s="70"/>
      <c r="B343" s="70"/>
      <c r="J343" s="70"/>
      <c r="K343" s="70"/>
      <c r="L343" s="70"/>
      <c r="N343" s="70"/>
      <c r="P343" s="70"/>
    </row>
    <row r="344">
      <c r="A344" s="70"/>
      <c r="B344" s="70"/>
      <c r="J344" s="70"/>
      <c r="K344" s="70"/>
      <c r="L344" s="70"/>
      <c r="N344" s="70"/>
      <c r="P344" s="70"/>
    </row>
    <row r="345">
      <c r="A345" s="70"/>
      <c r="B345" s="70"/>
      <c r="J345" s="70"/>
      <c r="K345" s="70"/>
      <c r="L345" s="70"/>
      <c r="N345" s="70"/>
      <c r="P345" s="70"/>
    </row>
    <row r="346">
      <c r="A346" s="70"/>
      <c r="B346" s="70"/>
      <c r="J346" s="70"/>
      <c r="K346" s="70"/>
      <c r="L346" s="70"/>
      <c r="N346" s="70"/>
      <c r="P346" s="70"/>
    </row>
    <row r="347">
      <c r="A347" s="70"/>
      <c r="B347" s="70"/>
      <c r="J347" s="70"/>
      <c r="K347" s="70"/>
      <c r="L347" s="70"/>
      <c r="N347" s="70"/>
      <c r="P347" s="70"/>
    </row>
    <row r="348">
      <c r="A348" s="70"/>
      <c r="B348" s="70"/>
      <c r="J348" s="70"/>
      <c r="K348" s="70"/>
      <c r="L348" s="70"/>
      <c r="N348" s="70"/>
      <c r="P348" s="70"/>
    </row>
    <row r="349">
      <c r="A349" s="70"/>
      <c r="B349" s="70"/>
      <c r="J349" s="70"/>
      <c r="K349" s="70"/>
      <c r="L349" s="70"/>
      <c r="N349" s="70"/>
      <c r="P349" s="70"/>
    </row>
    <row r="350">
      <c r="A350" s="70"/>
      <c r="B350" s="70"/>
      <c r="J350" s="70"/>
      <c r="K350" s="70"/>
      <c r="L350" s="70"/>
      <c r="N350" s="70"/>
      <c r="P350" s="70"/>
    </row>
    <row r="351">
      <c r="A351" s="70"/>
      <c r="B351" s="70"/>
      <c r="J351" s="70"/>
      <c r="K351" s="70"/>
      <c r="L351" s="70"/>
      <c r="N351" s="70"/>
      <c r="P351" s="70"/>
    </row>
    <row r="352">
      <c r="A352" s="70"/>
      <c r="B352" s="70"/>
      <c r="J352" s="70"/>
      <c r="K352" s="70"/>
      <c r="L352" s="70"/>
      <c r="N352" s="70"/>
      <c r="P352" s="70"/>
    </row>
    <row r="353">
      <c r="A353" s="70"/>
      <c r="B353" s="70"/>
      <c r="J353" s="70"/>
      <c r="K353" s="70"/>
      <c r="L353" s="70"/>
      <c r="N353" s="70"/>
      <c r="P353" s="70"/>
    </row>
    <row r="354">
      <c r="A354" s="70"/>
      <c r="B354" s="70"/>
      <c r="J354" s="70"/>
      <c r="K354" s="70"/>
      <c r="L354" s="70"/>
      <c r="N354" s="70"/>
      <c r="P354" s="70"/>
    </row>
    <row r="355">
      <c r="A355" s="70"/>
      <c r="B355" s="70"/>
      <c r="J355" s="70"/>
      <c r="K355" s="70"/>
      <c r="L355" s="70"/>
      <c r="N355" s="70"/>
      <c r="P355" s="70"/>
    </row>
    <row r="356">
      <c r="A356" s="70"/>
      <c r="B356" s="70"/>
      <c r="J356" s="70"/>
      <c r="K356" s="70"/>
      <c r="L356" s="70"/>
      <c r="N356" s="70"/>
      <c r="P356" s="70"/>
    </row>
    <row r="357">
      <c r="A357" s="70"/>
      <c r="B357" s="70"/>
      <c r="J357" s="70"/>
      <c r="K357" s="70"/>
      <c r="L357" s="70"/>
      <c r="N357" s="70"/>
      <c r="P357" s="70"/>
    </row>
    <row r="358">
      <c r="A358" s="70"/>
      <c r="B358" s="70"/>
      <c r="J358" s="70"/>
      <c r="K358" s="70"/>
      <c r="L358" s="70"/>
      <c r="N358" s="70"/>
      <c r="P358" s="70"/>
    </row>
    <row r="359">
      <c r="A359" s="70"/>
      <c r="B359" s="70"/>
      <c r="J359" s="70"/>
      <c r="K359" s="70"/>
      <c r="L359" s="70"/>
      <c r="N359" s="70"/>
      <c r="P359" s="70"/>
    </row>
    <row r="360">
      <c r="A360" s="70"/>
      <c r="B360" s="70"/>
      <c r="J360" s="70"/>
      <c r="K360" s="70"/>
      <c r="L360" s="70"/>
      <c r="N360" s="70"/>
      <c r="P360" s="70"/>
    </row>
    <row r="361">
      <c r="A361" s="70"/>
      <c r="B361" s="70"/>
      <c r="J361" s="70"/>
      <c r="K361" s="70"/>
      <c r="L361" s="70"/>
      <c r="N361" s="70"/>
      <c r="P361" s="70"/>
    </row>
    <row r="362">
      <c r="A362" s="70"/>
      <c r="B362" s="70"/>
      <c r="J362" s="70"/>
      <c r="K362" s="70"/>
      <c r="L362" s="70"/>
      <c r="N362" s="70"/>
      <c r="P362" s="70"/>
    </row>
    <row r="363">
      <c r="A363" s="70"/>
      <c r="B363" s="70"/>
      <c r="J363" s="70"/>
      <c r="K363" s="70"/>
      <c r="L363" s="70"/>
      <c r="N363" s="70"/>
      <c r="P363" s="70"/>
    </row>
    <row r="364">
      <c r="A364" s="70"/>
      <c r="B364" s="70"/>
      <c r="J364" s="70"/>
      <c r="K364" s="70"/>
      <c r="L364" s="70"/>
      <c r="N364" s="70"/>
      <c r="P364" s="70"/>
    </row>
    <row r="365">
      <c r="A365" s="70"/>
      <c r="B365" s="70"/>
      <c r="J365" s="70"/>
      <c r="K365" s="70"/>
      <c r="L365" s="70"/>
      <c r="N365" s="70"/>
      <c r="P365" s="70"/>
    </row>
    <row r="366">
      <c r="A366" s="70"/>
      <c r="B366" s="70"/>
      <c r="J366" s="70"/>
      <c r="K366" s="70"/>
      <c r="L366" s="70"/>
      <c r="N366" s="70"/>
      <c r="P366" s="70"/>
    </row>
    <row r="367">
      <c r="A367" s="70"/>
      <c r="B367" s="70"/>
      <c r="J367" s="70"/>
      <c r="K367" s="70"/>
      <c r="L367" s="70"/>
      <c r="N367" s="70"/>
      <c r="P367" s="70"/>
    </row>
    <row r="368">
      <c r="A368" s="70"/>
      <c r="B368" s="70"/>
      <c r="J368" s="70"/>
      <c r="K368" s="70"/>
      <c r="L368" s="70"/>
      <c r="N368" s="70"/>
      <c r="P368" s="70"/>
    </row>
    <row r="369">
      <c r="A369" s="70"/>
      <c r="B369" s="70"/>
      <c r="J369" s="70"/>
      <c r="K369" s="70"/>
      <c r="L369" s="70"/>
      <c r="N369" s="70"/>
      <c r="P369" s="70"/>
    </row>
    <row r="370">
      <c r="A370" s="70"/>
      <c r="B370" s="70"/>
      <c r="J370" s="70"/>
      <c r="K370" s="70"/>
      <c r="L370" s="70"/>
      <c r="N370" s="70"/>
      <c r="P370" s="70"/>
    </row>
    <row r="371">
      <c r="A371" s="70"/>
      <c r="B371" s="70"/>
      <c r="J371" s="70"/>
      <c r="K371" s="70"/>
      <c r="L371" s="70"/>
      <c r="N371" s="70"/>
      <c r="P371" s="70"/>
    </row>
    <row r="372">
      <c r="A372" s="70"/>
      <c r="B372" s="70"/>
      <c r="J372" s="70"/>
      <c r="K372" s="70"/>
      <c r="L372" s="70"/>
      <c r="N372" s="70"/>
      <c r="P372" s="70"/>
    </row>
    <row r="373">
      <c r="A373" s="70"/>
      <c r="B373" s="70"/>
      <c r="J373" s="70"/>
      <c r="K373" s="70"/>
      <c r="L373" s="70"/>
      <c r="N373" s="70"/>
      <c r="P373" s="70"/>
    </row>
    <row r="374">
      <c r="A374" s="70"/>
      <c r="B374" s="70"/>
      <c r="J374" s="70"/>
      <c r="K374" s="70"/>
      <c r="L374" s="70"/>
      <c r="N374" s="70"/>
      <c r="P374" s="70"/>
    </row>
    <row r="375">
      <c r="A375" s="70"/>
      <c r="B375" s="70"/>
      <c r="J375" s="70"/>
      <c r="K375" s="70"/>
      <c r="L375" s="70"/>
      <c r="N375" s="70"/>
      <c r="P375" s="70"/>
    </row>
    <row r="376">
      <c r="A376" s="70"/>
      <c r="B376" s="70"/>
      <c r="J376" s="70"/>
      <c r="K376" s="70"/>
      <c r="L376" s="70"/>
      <c r="N376" s="70"/>
      <c r="P376" s="70"/>
    </row>
    <row r="377">
      <c r="A377" s="70"/>
      <c r="B377" s="70"/>
      <c r="J377" s="70"/>
      <c r="K377" s="70"/>
      <c r="L377" s="70"/>
      <c r="N377" s="70"/>
      <c r="P377" s="70"/>
    </row>
    <row r="378">
      <c r="A378" s="70"/>
      <c r="B378" s="70"/>
      <c r="J378" s="70"/>
      <c r="K378" s="70"/>
      <c r="L378" s="70"/>
      <c r="N378" s="70"/>
      <c r="P378" s="70"/>
    </row>
    <row r="379">
      <c r="A379" s="70"/>
      <c r="B379" s="70"/>
      <c r="J379" s="70"/>
      <c r="K379" s="70"/>
      <c r="L379" s="70"/>
      <c r="N379" s="70"/>
      <c r="P379" s="70"/>
    </row>
    <row r="380">
      <c r="A380" s="70"/>
      <c r="B380" s="70"/>
      <c r="J380" s="70"/>
      <c r="K380" s="70"/>
      <c r="L380" s="70"/>
      <c r="N380" s="70"/>
      <c r="P380" s="70"/>
    </row>
    <row r="381">
      <c r="A381" s="70"/>
      <c r="B381" s="70"/>
      <c r="J381" s="70"/>
      <c r="K381" s="70"/>
      <c r="L381" s="70"/>
      <c r="N381" s="70"/>
      <c r="P381" s="70"/>
    </row>
    <row r="382">
      <c r="A382" s="70"/>
      <c r="B382" s="70"/>
      <c r="J382" s="70"/>
      <c r="K382" s="70"/>
      <c r="L382" s="70"/>
      <c r="N382" s="70"/>
      <c r="P382" s="70"/>
    </row>
    <row r="383">
      <c r="A383" s="70"/>
      <c r="B383" s="70"/>
      <c r="J383" s="70"/>
      <c r="K383" s="70"/>
      <c r="L383" s="70"/>
      <c r="N383" s="70"/>
      <c r="P383" s="70"/>
    </row>
    <row r="384">
      <c r="A384" s="70"/>
      <c r="B384" s="70"/>
      <c r="J384" s="70"/>
      <c r="K384" s="70"/>
      <c r="L384" s="70"/>
      <c r="N384" s="70"/>
      <c r="P384" s="70"/>
    </row>
    <row r="385">
      <c r="A385" s="70"/>
      <c r="B385" s="70"/>
      <c r="J385" s="70"/>
      <c r="K385" s="70"/>
      <c r="L385" s="70"/>
      <c r="N385" s="70"/>
      <c r="P385" s="70"/>
    </row>
    <row r="386">
      <c r="A386" s="70"/>
      <c r="B386" s="70"/>
      <c r="J386" s="70"/>
      <c r="K386" s="70"/>
      <c r="L386" s="70"/>
      <c r="N386" s="70"/>
      <c r="P386" s="70"/>
    </row>
    <row r="387">
      <c r="A387" s="70"/>
      <c r="B387" s="70"/>
      <c r="J387" s="70"/>
      <c r="K387" s="70"/>
      <c r="L387" s="70"/>
      <c r="N387" s="70"/>
      <c r="P387" s="70"/>
    </row>
    <row r="388">
      <c r="A388" s="70"/>
      <c r="B388" s="70"/>
      <c r="J388" s="70"/>
      <c r="K388" s="70"/>
      <c r="L388" s="70"/>
      <c r="N388" s="70"/>
      <c r="P388" s="70"/>
    </row>
    <row r="389">
      <c r="A389" s="70"/>
      <c r="B389" s="70"/>
      <c r="J389" s="70"/>
      <c r="K389" s="70"/>
      <c r="L389" s="70"/>
      <c r="N389" s="70"/>
      <c r="P389" s="70"/>
    </row>
    <row r="390">
      <c r="A390" s="70"/>
      <c r="B390" s="70"/>
      <c r="J390" s="70"/>
      <c r="K390" s="70"/>
      <c r="L390" s="70"/>
      <c r="N390" s="70"/>
      <c r="P390" s="70"/>
    </row>
    <row r="391">
      <c r="A391" s="70"/>
      <c r="B391" s="70"/>
      <c r="J391" s="70"/>
      <c r="K391" s="70"/>
      <c r="L391" s="70"/>
      <c r="N391" s="70"/>
      <c r="P391" s="70"/>
    </row>
    <row r="392">
      <c r="A392" s="70"/>
      <c r="B392" s="70"/>
      <c r="J392" s="70"/>
      <c r="K392" s="70"/>
      <c r="L392" s="70"/>
      <c r="N392" s="70"/>
      <c r="P392" s="70"/>
    </row>
    <row r="393">
      <c r="A393" s="70"/>
      <c r="B393" s="70"/>
      <c r="J393" s="70"/>
      <c r="K393" s="70"/>
      <c r="L393" s="70"/>
      <c r="N393" s="70"/>
      <c r="P393" s="70"/>
    </row>
    <row r="394">
      <c r="A394" s="70"/>
      <c r="B394" s="70"/>
      <c r="J394" s="70"/>
      <c r="K394" s="70"/>
      <c r="L394" s="70"/>
      <c r="N394" s="70"/>
      <c r="P394" s="70"/>
    </row>
    <row r="395">
      <c r="A395" s="70"/>
      <c r="B395" s="70"/>
      <c r="J395" s="70"/>
      <c r="K395" s="70"/>
      <c r="L395" s="70"/>
      <c r="N395" s="70"/>
      <c r="P395" s="70"/>
    </row>
    <row r="396">
      <c r="A396" s="70"/>
      <c r="B396" s="70"/>
      <c r="J396" s="70"/>
      <c r="K396" s="70"/>
      <c r="L396" s="70"/>
      <c r="N396" s="70"/>
      <c r="P396" s="70"/>
    </row>
    <row r="397">
      <c r="A397" s="70"/>
      <c r="B397" s="70"/>
      <c r="J397" s="70"/>
      <c r="K397" s="70"/>
      <c r="L397" s="70"/>
      <c r="N397" s="70"/>
      <c r="P397" s="70"/>
    </row>
    <row r="398">
      <c r="A398" s="70"/>
      <c r="B398" s="70"/>
      <c r="J398" s="70"/>
      <c r="K398" s="70"/>
      <c r="L398" s="70"/>
      <c r="N398" s="70"/>
      <c r="P398" s="70"/>
    </row>
    <row r="399">
      <c r="A399" s="70"/>
      <c r="B399" s="70"/>
      <c r="J399" s="70"/>
      <c r="K399" s="70"/>
      <c r="L399" s="70"/>
      <c r="N399" s="70"/>
      <c r="P399" s="70"/>
    </row>
    <row r="400">
      <c r="A400" s="70"/>
      <c r="B400" s="70"/>
      <c r="J400" s="70"/>
      <c r="K400" s="70"/>
      <c r="L400" s="70"/>
      <c r="N400" s="70"/>
      <c r="P400" s="70"/>
    </row>
    <row r="401">
      <c r="A401" s="70"/>
      <c r="B401" s="70"/>
      <c r="J401" s="70"/>
      <c r="K401" s="70"/>
      <c r="L401" s="70"/>
      <c r="N401" s="70"/>
      <c r="P401" s="70"/>
    </row>
    <row r="402">
      <c r="A402" s="70"/>
      <c r="B402" s="70"/>
      <c r="J402" s="70"/>
      <c r="K402" s="70"/>
      <c r="L402" s="70"/>
      <c r="N402" s="70"/>
      <c r="P402" s="70"/>
    </row>
    <row r="403">
      <c r="A403" s="70"/>
      <c r="B403" s="70"/>
      <c r="J403" s="70"/>
      <c r="K403" s="70"/>
      <c r="L403" s="70"/>
      <c r="N403" s="70"/>
      <c r="P403" s="70"/>
    </row>
    <row r="404">
      <c r="A404" s="70"/>
      <c r="B404" s="70"/>
      <c r="J404" s="70"/>
      <c r="K404" s="70"/>
      <c r="L404" s="70"/>
      <c r="N404" s="70"/>
      <c r="P404" s="70"/>
    </row>
    <row r="405">
      <c r="A405" s="70"/>
      <c r="B405" s="70"/>
      <c r="J405" s="70"/>
      <c r="K405" s="70"/>
      <c r="L405" s="70"/>
      <c r="N405" s="70"/>
      <c r="P405" s="70"/>
    </row>
    <row r="406">
      <c r="A406" s="70"/>
      <c r="B406" s="70"/>
      <c r="J406" s="70"/>
      <c r="K406" s="70"/>
      <c r="L406" s="70"/>
      <c r="N406" s="70"/>
      <c r="P406" s="70"/>
    </row>
    <row r="407">
      <c r="A407" s="70"/>
      <c r="B407" s="70"/>
      <c r="J407" s="70"/>
      <c r="K407" s="70"/>
      <c r="L407" s="70"/>
      <c r="N407" s="70"/>
      <c r="P407" s="70"/>
    </row>
    <row r="408">
      <c r="A408" s="70"/>
      <c r="B408" s="70"/>
      <c r="J408" s="70"/>
      <c r="K408" s="70"/>
      <c r="L408" s="70"/>
      <c r="N408" s="70"/>
      <c r="P408" s="70"/>
    </row>
    <row r="409">
      <c r="A409" s="70"/>
      <c r="B409" s="70"/>
      <c r="J409" s="70"/>
      <c r="K409" s="70"/>
      <c r="L409" s="70"/>
      <c r="N409" s="70"/>
      <c r="P409" s="70"/>
    </row>
    <row r="410">
      <c r="A410" s="70"/>
      <c r="B410" s="70"/>
      <c r="J410" s="70"/>
      <c r="K410" s="70"/>
      <c r="L410" s="70"/>
      <c r="N410" s="70"/>
      <c r="P410" s="70"/>
    </row>
    <row r="411">
      <c r="A411" s="70"/>
      <c r="B411" s="70"/>
      <c r="J411" s="70"/>
      <c r="K411" s="70"/>
      <c r="L411" s="70"/>
      <c r="N411" s="70"/>
      <c r="P411" s="70"/>
    </row>
    <row r="412">
      <c r="A412" s="70"/>
      <c r="B412" s="70"/>
      <c r="J412" s="70"/>
      <c r="K412" s="70"/>
      <c r="L412" s="70"/>
      <c r="N412" s="70"/>
      <c r="P412" s="70"/>
    </row>
    <row r="413">
      <c r="A413" s="70"/>
      <c r="B413" s="70"/>
      <c r="J413" s="70"/>
      <c r="K413" s="70"/>
      <c r="L413" s="70"/>
      <c r="N413" s="70"/>
      <c r="P413" s="70"/>
    </row>
    <row r="414">
      <c r="A414" s="70"/>
      <c r="B414" s="70"/>
      <c r="J414" s="70"/>
      <c r="K414" s="70"/>
      <c r="L414" s="70"/>
      <c r="N414" s="70"/>
      <c r="P414" s="70"/>
    </row>
    <row r="415">
      <c r="A415" s="70"/>
      <c r="B415" s="70"/>
      <c r="J415" s="70"/>
      <c r="K415" s="70"/>
      <c r="L415" s="70"/>
      <c r="N415" s="70"/>
      <c r="P415" s="70"/>
    </row>
    <row r="416">
      <c r="A416" s="70"/>
      <c r="B416" s="70"/>
      <c r="J416" s="70"/>
      <c r="K416" s="70"/>
      <c r="L416" s="70"/>
      <c r="N416" s="70"/>
      <c r="P416" s="70"/>
    </row>
    <row r="417">
      <c r="A417" s="70"/>
      <c r="B417" s="70"/>
      <c r="J417" s="70"/>
      <c r="K417" s="70"/>
      <c r="L417" s="70"/>
      <c r="N417" s="70"/>
      <c r="P417" s="70"/>
    </row>
    <row r="418">
      <c r="A418" s="70"/>
      <c r="B418" s="70"/>
      <c r="J418" s="70"/>
      <c r="K418" s="70"/>
      <c r="L418" s="70"/>
      <c r="N418" s="70"/>
      <c r="P418" s="70"/>
    </row>
    <row r="419">
      <c r="A419" s="70"/>
      <c r="B419" s="70"/>
      <c r="J419" s="70"/>
      <c r="K419" s="70"/>
      <c r="L419" s="70"/>
      <c r="N419" s="70"/>
      <c r="P419" s="70"/>
    </row>
    <row r="420">
      <c r="A420" s="70"/>
      <c r="B420" s="70"/>
      <c r="J420" s="70"/>
      <c r="K420" s="70"/>
      <c r="L420" s="70"/>
      <c r="N420" s="70"/>
      <c r="P420" s="70"/>
    </row>
    <row r="421">
      <c r="A421" s="70"/>
      <c r="B421" s="70"/>
      <c r="J421" s="70"/>
      <c r="K421" s="70"/>
      <c r="L421" s="70"/>
      <c r="N421" s="70"/>
      <c r="P421" s="70"/>
    </row>
    <row r="422">
      <c r="A422" s="70"/>
      <c r="B422" s="70"/>
      <c r="J422" s="70"/>
      <c r="K422" s="70"/>
      <c r="L422" s="70"/>
      <c r="N422" s="70"/>
      <c r="P422" s="70"/>
    </row>
    <row r="423">
      <c r="A423" s="70"/>
      <c r="B423" s="70"/>
      <c r="J423" s="70"/>
      <c r="K423" s="70"/>
      <c r="L423" s="70"/>
      <c r="N423" s="70"/>
      <c r="P423" s="70"/>
    </row>
    <row r="424">
      <c r="A424" s="70"/>
      <c r="B424" s="70"/>
      <c r="J424" s="70"/>
      <c r="K424" s="70"/>
      <c r="L424" s="70"/>
      <c r="N424" s="70"/>
      <c r="P424" s="70"/>
    </row>
    <row r="425">
      <c r="A425" s="70"/>
      <c r="B425" s="70"/>
      <c r="J425" s="70"/>
      <c r="K425" s="70"/>
      <c r="L425" s="70"/>
      <c r="N425" s="70"/>
      <c r="P425" s="70"/>
    </row>
    <row r="426">
      <c r="A426" s="70"/>
      <c r="B426" s="70"/>
      <c r="J426" s="70"/>
      <c r="K426" s="70"/>
      <c r="L426" s="70"/>
      <c r="N426" s="70"/>
      <c r="P426" s="70"/>
    </row>
    <row r="427">
      <c r="A427" s="70"/>
      <c r="B427" s="70"/>
      <c r="J427" s="70"/>
      <c r="K427" s="70"/>
      <c r="L427" s="70"/>
      <c r="N427" s="70"/>
      <c r="P427" s="70"/>
    </row>
    <row r="428">
      <c r="A428" s="70"/>
      <c r="B428" s="70"/>
      <c r="J428" s="70"/>
      <c r="K428" s="70"/>
      <c r="L428" s="70"/>
      <c r="N428" s="70"/>
      <c r="P428" s="70"/>
    </row>
    <row r="429">
      <c r="A429" s="70"/>
      <c r="B429" s="70"/>
      <c r="J429" s="70"/>
      <c r="K429" s="70"/>
      <c r="L429" s="70"/>
      <c r="N429" s="70"/>
      <c r="P429" s="70"/>
    </row>
    <row r="430">
      <c r="A430" s="70"/>
      <c r="B430" s="70"/>
      <c r="J430" s="70"/>
      <c r="K430" s="70"/>
      <c r="L430" s="70"/>
      <c r="N430" s="70"/>
      <c r="P430" s="70"/>
    </row>
    <row r="431">
      <c r="A431" s="70"/>
      <c r="B431" s="70"/>
      <c r="J431" s="70"/>
      <c r="K431" s="70"/>
      <c r="L431" s="70"/>
      <c r="N431" s="70"/>
      <c r="P431" s="70"/>
    </row>
    <row r="432">
      <c r="A432" s="70"/>
      <c r="B432" s="70"/>
      <c r="J432" s="70"/>
      <c r="K432" s="70"/>
      <c r="L432" s="70"/>
      <c r="N432" s="70"/>
      <c r="P432" s="70"/>
    </row>
    <row r="433">
      <c r="A433" s="70"/>
      <c r="B433" s="70"/>
      <c r="J433" s="70"/>
      <c r="K433" s="70"/>
      <c r="L433" s="70"/>
      <c r="N433" s="70"/>
      <c r="P433" s="70"/>
    </row>
    <row r="434">
      <c r="A434" s="70"/>
      <c r="B434" s="70"/>
      <c r="J434" s="70"/>
      <c r="K434" s="70"/>
      <c r="L434" s="70"/>
      <c r="N434" s="70"/>
      <c r="P434" s="70"/>
    </row>
    <row r="435">
      <c r="A435" s="70"/>
      <c r="B435" s="70"/>
      <c r="J435" s="70"/>
      <c r="K435" s="70"/>
      <c r="L435" s="70"/>
      <c r="N435" s="70"/>
      <c r="P435" s="70"/>
    </row>
    <row r="436">
      <c r="A436" s="70"/>
      <c r="B436" s="70"/>
      <c r="J436" s="70"/>
      <c r="K436" s="70"/>
      <c r="L436" s="70"/>
      <c r="N436" s="70"/>
      <c r="P436" s="70"/>
    </row>
    <row r="437">
      <c r="A437" s="70"/>
      <c r="B437" s="70"/>
      <c r="J437" s="70"/>
      <c r="K437" s="70"/>
      <c r="L437" s="70"/>
      <c r="N437" s="70"/>
      <c r="P437" s="70"/>
    </row>
    <row r="438">
      <c r="A438" s="70"/>
      <c r="B438" s="70"/>
      <c r="J438" s="70"/>
      <c r="K438" s="70"/>
      <c r="L438" s="70"/>
      <c r="N438" s="70"/>
      <c r="P438" s="70"/>
    </row>
    <row r="439">
      <c r="A439" s="70"/>
      <c r="B439" s="70"/>
      <c r="J439" s="70"/>
      <c r="K439" s="70"/>
      <c r="L439" s="70"/>
      <c r="N439" s="70"/>
      <c r="P439" s="70"/>
    </row>
    <row r="440">
      <c r="A440" s="70"/>
      <c r="B440" s="70"/>
      <c r="J440" s="70"/>
      <c r="K440" s="70"/>
      <c r="L440" s="70"/>
      <c r="N440" s="70"/>
      <c r="P440" s="70"/>
    </row>
    <row r="441">
      <c r="A441" s="70"/>
      <c r="B441" s="70"/>
      <c r="J441" s="70"/>
      <c r="K441" s="70"/>
      <c r="L441" s="70"/>
      <c r="N441" s="70"/>
      <c r="P441" s="70"/>
    </row>
    <row r="442">
      <c r="A442" s="70"/>
      <c r="B442" s="70"/>
      <c r="J442" s="70"/>
      <c r="K442" s="70"/>
      <c r="L442" s="70"/>
      <c r="N442" s="70"/>
      <c r="P442" s="70"/>
    </row>
    <row r="443">
      <c r="A443" s="70"/>
      <c r="B443" s="70"/>
      <c r="J443" s="70"/>
      <c r="K443" s="70"/>
      <c r="L443" s="70"/>
      <c r="N443" s="70"/>
      <c r="P443" s="70"/>
    </row>
    <row r="444">
      <c r="A444" s="70"/>
      <c r="B444" s="70"/>
      <c r="J444" s="70"/>
      <c r="K444" s="70"/>
      <c r="L444" s="70"/>
      <c r="N444" s="70"/>
      <c r="P444" s="70"/>
    </row>
    <row r="445">
      <c r="A445" s="70"/>
      <c r="B445" s="70"/>
      <c r="J445" s="70"/>
      <c r="K445" s="70"/>
      <c r="L445" s="70"/>
      <c r="N445" s="70"/>
      <c r="P445" s="70"/>
    </row>
    <row r="446">
      <c r="A446" s="70"/>
      <c r="B446" s="70"/>
      <c r="J446" s="70"/>
      <c r="K446" s="70"/>
      <c r="L446" s="70"/>
      <c r="N446" s="70"/>
      <c r="P446" s="70"/>
    </row>
    <row r="447">
      <c r="A447" s="70"/>
      <c r="B447" s="70"/>
      <c r="J447" s="70"/>
      <c r="K447" s="70"/>
      <c r="L447" s="70"/>
      <c r="N447" s="70"/>
      <c r="P447" s="70"/>
    </row>
    <row r="448">
      <c r="A448" s="70"/>
      <c r="B448" s="70"/>
      <c r="J448" s="70"/>
      <c r="K448" s="70"/>
      <c r="L448" s="70"/>
      <c r="N448" s="70"/>
      <c r="P448" s="70"/>
    </row>
    <row r="449">
      <c r="A449" s="70"/>
      <c r="B449" s="70"/>
      <c r="J449" s="70"/>
      <c r="K449" s="70"/>
      <c r="L449" s="70"/>
      <c r="N449" s="70"/>
      <c r="P449" s="70"/>
    </row>
    <row r="450">
      <c r="A450" s="70"/>
      <c r="B450" s="70"/>
      <c r="J450" s="70"/>
      <c r="K450" s="70"/>
      <c r="L450" s="70"/>
      <c r="N450" s="70"/>
      <c r="P450" s="70"/>
    </row>
    <row r="451">
      <c r="A451" s="70"/>
      <c r="B451" s="70"/>
      <c r="J451" s="70"/>
      <c r="K451" s="70"/>
      <c r="L451" s="70"/>
      <c r="N451" s="70"/>
      <c r="P451" s="70"/>
    </row>
    <row r="452">
      <c r="A452" s="70"/>
      <c r="B452" s="70"/>
      <c r="J452" s="70"/>
      <c r="K452" s="70"/>
      <c r="L452" s="70"/>
      <c r="N452" s="70"/>
      <c r="P452" s="70"/>
    </row>
    <row r="453">
      <c r="A453" s="70"/>
      <c r="B453" s="70"/>
      <c r="J453" s="70"/>
      <c r="K453" s="70"/>
      <c r="L453" s="70"/>
      <c r="N453" s="70"/>
      <c r="P453" s="70"/>
    </row>
    <row r="454">
      <c r="A454" s="70"/>
      <c r="B454" s="70"/>
      <c r="J454" s="70"/>
      <c r="K454" s="70"/>
      <c r="L454" s="70"/>
      <c r="N454" s="70"/>
      <c r="P454" s="70"/>
    </row>
    <row r="455">
      <c r="A455" s="70"/>
      <c r="B455" s="70"/>
      <c r="J455" s="70"/>
      <c r="K455" s="70"/>
      <c r="L455" s="70"/>
      <c r="N455" s="70"/>
      <c r="P455" s="70"/>
    </row>
    <row r="456">
      <c r="A456" s="70"/>
      <c r="B456" s="70"/>
      <c r="J456" s="70"/>
      <c r="K456" s="70"/>
      <c r="L456" s="70"/>
      <c r="N456" s="70"/>
      <c r="P456" s="70"/>
    </row>
    <row r="457">
      <c r="A457" s="70"/>
      <c r="B457" s="70"/>
      <c r="J457" s="70"/>
      <c r="K457" s="70"/>
      <c r="L457" s="70"/>
      <c r="N457" s="70"/>
      <c r="P457" s="70"/>
    </row>
    <row r="458">
      <c r="A458" s="70"/>
      <c r="B458" s="70"/>
      <c r="J458" s="70"/>
      <c r="K458" s="70"/>
      <c r="L458" s="70"/>
      <c r="N458" s="70"/>
      <c r="P458" s="70"/>
    </row>
    <row r="459">
      <c r="A459" s="70"/>
      <c r="B459" s="70"/>
      <c r="J459" s="70"/>
      <c r="K459" s="70"/>
      <c r="L459" s="70"/>
      <c r="N459" s="70"/>
      <c r="P459" s="70"/>
    </row>
    <row r="460">
      <c r="A460" s="70"/>
      <c r="B460" s="70"/>
      <c r="J460" s="70"/>
      <c r="K460" s="70"/>
      <c r="L460" s="70"/>
      <c r="N460" s="70"/>
      <c r="P460" s="70"/>
    </row>
    <row r="461">
      <c r="A461" s="70"/>
      <c r="B461" s="70"/>
      <c r="J461" s="70"/>
      <c r="K461" s="70"/>
      <c r="L461" s="70"/>
      <c r="N461" s="70"/>
      <c r="P461" s="70"/>
    </row>
    <row r="462">
      <c r="A462" s="70"/>
      <c r="B462" s="70"/>
      <c r="J462" s="70"/>
      <c r="K462" s="70"/>
      <c r="L462" s="70"/>
      <c r="N462" s="70"/>
      <c r="P462" s="70"/>
    </row>
    <row r="463">
      <c r="A463" s="70"/>
      <c r="B463" s="70"/>
      <c r="J463" s="70"/>
      <c r="K463" s="70"/>
      <c r="L463" s="70"/>
      <c r="N463" s="70"/>
      <c r="P463" s="70"/>
    </row>
    <row r="464">
      <c r="A464" s="70"/>
      <c r="B464" s="70"/>
      <c r="J464" s="70"/>
      <c r="K464" s="70"/>
      <c r="L464" s="70"/>
      <c r="N464" s="70"/>
      <c r="P464" s="70"/>
    </row>
    <row r="465">
      <c r="A465" s="70"/>
      <c r="B465" s="70"/>
      <c r="J465" s="70"/>
      <c r="K465" s="70"/>
      <c r="L465" s="70"/>
      <c r="N465" s="70"/>
      <c r="P465" s="70"/>
    </row>
    <row r="466">
      <c r="A466" s="70"/>
      <c r="B466" s="70"/>
      <c r="J466" s="70"/>
      <c r="K466" s="70"/>
      <c r="L466" s="70"/>
      <c r="N466" s="70"/>
      <c r="P466" s="70"/>
    </row>
    <row r="467">
      <c r="A467" s="70"/>
      <c r="B467" s="70"/>
      <c r="J467" s="70"/>
      <c r="K467" s="70"/>
      <c r="L467" s="70"/>
      <c r="N467" s="70"/>
      <c r="P467" s="70"/>
    </row>
    <row r="468">
      <c r="A468" s="70"/>
      <c r="B468" s="70"/>
      <c r="J468" s="70"/>
      <c r="K468" s="70"/>
      <c r="L468" s="70"/>
      <c r="N468" s="70"/>
      <c r="P468" s="70"/>
    </row>
    <row r="469">
      <c r="A469" s="70"/>
      <c r="B469" s="70"/>
      <c r="J469" s="70"/>
      <c r="K469" s="70"/>
      <c r="L469" s="70"/>
      <c r="N469" s="70"/>
      <c r="P469" s="70"/>
    </row>
    <row r="470">
      <c r="A470" s="70"/>
      <c r="B470" s="70"/>
      <c r="J470" s="70"/>
      <c r="K470" s="70"/>
      <c r="L470" s="70"/>
      <c r="N470" s="70"/>
      <c r="P470" s="70"/>
    </row>
    <row r="471">
      <c r="A471" s="70"/>
      <c r="B471" s="70"/>
      <c r="J471" s="70"/>
      <c r="K471" s="70"/>
      <c r="L471" s="70"/>
      <c r="N471" s="70"/>
      <c r="P471" s="70"/>
    </row>
    <row r="472">
      <c r="A472" s="70"/>
      <c r="B472" s="70"/>
      <c r="J472" s="70"/>
      <c r="K472" s="70"/>
      <c r="L472" s="70"/>
      <c r="N472" s="70"/>
      <c r="P472" s="70"/>
    </row>
    <row r="473">
      <c r="A473" s="70"/>
      <c r="B473" s="70"/>
      <c r="J473" s="70"/>
      <c r="K473" s="70"/>
      <c r="L473" s="70"/>
      <c r="N473" s="70"/>
      <c r="P473" s="70"/>
    </row>
    <row r="474">
      <c r="A474" s="70"/>
      <c r="B474" s="70"/>
      <c r="J474" s="70"/>
      <c r="K474" s="70"/>
      <c r="L474" s="70"/>
      <c r="N474" s="70"/>
      <c r="P474" s="70"/>
    </row>
    <row r="475">
      <c r="A475" s="70"/>
      <c r="B475" s="70"/>
      <c r="J475" s="70"/>
      <c r="K475" s="70"/>
      <c r="L475" s="70"/>
      <c r="N475" s="70"/>
      <c r="P475" s="70"/>
    </row>
    <row r="476">
      <c r="A476" s="70"/>
      <c r="B476" s="70"/>
      <c r="J476" s="70"/>
      <c r="K476" s="70"/>
      <c r="L476" s="70"/>
      <c r="N476" s="70"/>
      <c r="P476" s="70"/>
    </row>
    <row r="477">
      <c r="A477" s="70"/>
      <c r="B477" s="70"/>
      <c r="J477" s="70"/>
      <c r="K477" s="70"/>
      <c r="L477" s="70"/>
      <c r="N477" s="70"/>
      <c r="P477" s="70"/>
    </row>
    <row r="478">
      <c r="A478" s="70"/>
      <c r="B478" s="70"/>
      <c r="J478" s="70"/>
      <c r="K478" s="70"/>
      <c r="L478" s="70"/>
      <c r="N478" s="70"/>
      <c r="P478" s="70"/>
    </row>
    <row r="479">
      <c r="A479" s="70"/>
      <c r="B479" s="70"/>
      <c r="J479" s="70"/>
      <c r="K479" s="70"/>
      <c r="L479" s="70"/>
      <c r="N479" s="70"/>
      <c r="P479" s="70"/>
    </row>
    <row r="480">
      <c r="A480" s="70"/>
      <c r="B480" s="70"/>
      <c r="J480" s="70"/>
      <c r="K480" s="70"/>
      <c r="L480" s="70"/>
      <c r="N480" s="70"/>
      <c r="P480" s="70"/>
    </row>
    <row r="481">
      <c r="A481" s="70"/>
      <c r="B481" s="70"/>
      <c r="J481" s="70"/>
      <c r="K481" s="70"/>
      <c r="L481" s="70"/>
      <c r="N481" s="70"/>
      <c r="P481" s="70"/>
    </row>
    <row r="482">
      <c r="A482" s="70"/>
      <c r="B482" s="70"/>
      <c r="J482" s="70"/>
      <c r="K482" s="70"/>
      <c r="L482" s="70"/>
      <c r="N482" s="70"/>
      <c r="P482" s="70"/>
    </row>
    <row r="483">
      <c r="A483" s="70"/>
      <c r="B483" s="70"/>
      <c r="J483" s="70"/>
      <c r="K483" s="70"/>
      <c r="L483" s="70"/>
      <c r="N483" s="70"/>
      <c r="P483" s="70"/>
    </row>
    <row r="484">
      <c r="A484" s="70"/>
      <c r="B484" s="70"/>
      <c r="J484" s="70"/>
      <c r="K484" s="70"/>
      <c r="L484" s="70"/>
      <c r="N484" s="70"/>
      <c r="P484" s="70"/>
    </row>
    <row r="485">
      <c r="A485" s="70"/>
      <c r="B485" s="70"/>
      <c r="J485" s="70"/>
      <c r="K485" s="70"/>
      <c r="L485" s="70"/>
      <c r="N485" s="70"/>
      <c r="P485" s="70"/>
    </row>
    <row r="486">
      <c r="A486" s="70"/>
      <c r="B486" s="70"/>
      <c r="J486" s="70"/>
      <c r="K486" s="70"/>
      <c r="L486" s="70"/>
      <c r="N486" s="70"/>
      <c r="P486" s="70"/>
    </row>
    <row r="487">
      <c r="A487" s="70"/>
      <c r="B487" s="70"/>
      <c r="J487" s="70"/>
      <c r="K487" s="70"/>
      <c r="L487" s="70"/>
      <c r="N487" s="70"/>
      <c r="P487" s="70"/>
    </row>
    <row r="488">
      <c r="A488" s="70"/>
      <c r="B488" s="70"/>
      <c r="J488" s="70"/>
      <c r="K488" s="70"/>
      <c r="L488" s="70"/>
      <c r="N488" s="70"/>
      <c r="P488" s="70"/>
    </row>
    <row r="489">
      <c r="A489" s="70"/>
      <c r="B489" s="70"/>
      <c r="J489" s="70"/>
      <c r="K489" s="70"/>
      <c r="L489" s="70"/>
      <c r="N489" s="70"/>
      <c r="P489" s="70"/>
    </row>
    <row r="490">
      <c r="A490" s="70"/>
      <c r="B490" s="70"/>
      <c r="J490" s="70"/>
      <c r="K490" s="70"/>
      <c r="L490" s="70"/>
      <c r="N490" s="70"/>
      <c r="P490" s="70"/>
    </row>
    <row r="491">
      <c r="A491" s="70"/>
      <c r="B491" s="70"/>
      <c r="J491" s="70"/>
      <c r="K491" s="70"/>
      <c r="L491" s="70"/>
      <c r="N491" s="70"/>
      <c r="P491" s="70"/>
    </row>
    <row r="492">
      <c r="A492" s="70"/>
      <c r="B492" s="70"/>
      <c r="J492" s="70"/>
      <c r="K492" s="70"/>
      <c r="L492" s="70"/>
      <c r="N492" s="70"/>
      <c r="P492" s="70"/>
    </row>
    <row r="493">
      <c r="A493" s="70"/>
      <c r="B493" s="70"/>
      <c r="J493" s="70"/>
      <c r="K493" s="70"/>
      <c r="L493" s="70"/>
      <c r="N493" s="70"/>
      <c r="P493" s="70"/>
    </row>
    <row r="494">
      <c r="A494" s="70"/>
      <c r="B494" s="70"/>
      <c r="J494" s="70"/>
      <c r="K494" s="70"/>
      <c r="L494" s="70"/>
      <c r="N494" s="70"/>
      <c r="P494" s="70"/>
    </row>
    <row r="495">
      <c r="A495" s="70"/>
      <c r="B495" s="70"/>
      <c r="J495" s="70"/>
      <c r="K495" s="70"/>
      <c r="L495" s="70"/>
      <c r="N495" s="70"/>
      <c r="P495" s="70"/>
    </row>
    <row r="496">
      <c r="A496" s="70"/>
      <c r="B496" s="70"/>
      <c r="J496" s="70"/>
      <c r="K496" s="70"/>
      <c r="L496" s="70"/>
      <c r="N496" s="70"/>
      <c r="P496" s="70"/>
    </row>
    <row r="497">
      <c r="A497" s="70"/>
      <c r="B497" s="70"/>
      <c r="J497" s="70"/>
      <c r="K497" s="70"/>
      <c r="L497" s="70"/>
      <c r="N497" s="70"/>
      <c r="P497" s="70"/>
    </row>
    <row r="498">
      <c r="A498" s="70"/>
      <c r="B498" s="70"/>
      <c r="J498" s="70"/>
      <c r="K498" s="70"/>
      <c r="L498" s="70"/>
      <c r="N498" s="70"/>
      <c r="P498" s="70"/>
    </row>
    <row r="499">
      <c r="A499" s="70"/>
      <c r="B499" s="70"/>
      <c r="J499" s="70"/>
      <c r="K499" s="70"/>
      <c r="L499" s="70"/>
      <c r="N499" s="70"/>
      <c r="P499" s="70"/>
    </row>
    <row r="500">
      <c r="A500" s="70"/>
      <c r="B500" s="70"/>
      <c r="J500" s="70"/>
      <c r="K500" s="70"/>
      <c r="L500" s="70"/>
      <c r="N500" s="70"/>
      <c r="P500" s="70"/>
    </row>
    <row r="501">
      <c r="A501" s="70"/>
      <c r="B501" s="70"/>
      <c r="J501" s="70"/>
      <c r="K501" s="70"/>
      <c r="L501" s="70"/>
      <c r="N501" s="70"/>
      <c r="P501" s="70"/>
    </row>
    <row r="502">
      <c r="A502" s="70"/>
      <c r="B502" s="70"/>
      <c r="J502" s="70"/>
      <c r="K502" s="70"/>
      <c r="L502" s="70"/>
      <c r="N502" s="70"/>
      <c r="P502" s="70"/>
    </row>
    <row r="503">
      <c r="A503" s="70"/>
      <c r="B503" s="70"/>
      <c r="J503" s="70"/>
      <c r="K503" s="70"/>
      <c r="L503" s="70"/>
      <c r="N503" s="70"/>
      <c r="P503" s="70"/>
    </row>
    <row r="504">
      <c r="A504" s="70"/>
      <c r="B504" s="70"/>
      <c r="J504" s="70"/>
      <c r="K504" s="70"/>
      <c r="L504" s="70"/>
      <c r="N504" s="70"/>
      <c r="P504" s="70"/>
    </row>
    <row r="505">
      <c r="A505" s="70"/>
      <c r="B505" s="70"/>
      <c r="J505" s="70"/>
      <c r="K505" s="70"/>
      <c r="L505" s="70"/>
      <c r="N505" s="70"/>
      <c r="P505" s="70"/>
    </row>
    <row r="506">
      <c r="A506" s="70"/>
      <c r="B506" s="70"/>
      <c r="J506" s="70"/>
      <c r="K506" s="70"/>
      <c r="L506" s="70"/>
      <c r="N506" s="70"/>
      <c r="P506" s="70"/>
    </row>
    <row r="507">
      <c r="A507" s="70"/>
      <c r="B507" s="70"/>
      <c r="J507" s="70"/>
      <c r="K507" s="70"/>
      <c r="L507" s="70"/>
      <c r="N507" s="70"/>
      <c r="P507" s="70"/>
    </row>
    <row r="508">
      <c r="A508" s="70"/>
      <c r="B508" s="70"/>
      <c r="J508" s="70"/>
      <c r="K508" s="70"/>
      <c r="L508" s="70"/>
      <c r="N508" s="70"/>
      <c r="P508" s="70"/>
    </row>
    <row r="509">
      <c r="A509" s="70"/>
      <c r="B509" s="70"/>
      <c r="J509" s="70"/>
      <c r="K509" s="70"/>
      <c r="L509" s="70"/>
      <c r="N509" s="70"/>
      <c r="P509" s="70"/>
    </row>
    <row r="510">
      <c r="A510" s="70"/>
      <c r="B510" s="70"/>
      <c r="J510" s="70"/>
      <c r="K510" s="70"/>
      <c r="L510" s="70"/>
      <c r="N510" s="70"/>
      <c r="P510" s="70"/>
    </row>
    <row r="511">
      <c r="A511" s="70"/>
      <c r="B511" s="70"/>
      <c r="J511" s="70"/>
      <c r="K511" s="70"/>
      <c r="L511" s="70"/>
      <c r="N511" s="70"/>
      <c r="P511" s="70"/>
    </row>
    <row r="512">
      <c r="A512" s="70"/>
      <c r="B512" s="70"/>
      <c r="J512" s="70"/>
      <c r="K512" s="70"/>
      <c r="L512" s="70"/>
      <c r="N512" s="70"/>
      <c r="P512" s="70"/>
    </row>
    <row r="513">
      <c r="A513" s="70"/>
      <c r="B513" s="70"/>
      <c r="J513" s="70"/>
      <c r="K513" s="70"/>
      <c r="L513" s="70"/>
      <c r="N513" s="70"/>
      <c r="P513" s="70"/>
    </row>
    <row r="514">
      <c r="A514" s="70"/>
      <c r="B514" s="70"/>
      <c r="J514" s="70"/>
      <c r="K514" s="70"/>
      <c r="L514" s="70"/>
      <c r="N514" s="70"/>
      <c r="P514" s="70"/>
    </row>
    <row r="515">
      <c r="A515" s="70"/>
      <c r="B515" s="70"/>
      <c r="J515" s="70"/>
      <c r="K515" s="70"/>
      <c r="L515" s="70"/>
      <c r="N515" s="70"/>
      <c r="P515" s="70"/>
    </row>
    <row r="516">
      <c r="A516" s="70"/>
      <c r="B516" s="70"/>
      <c r="J516" s="70"/>
      <c r="K516" s="70"/>
      <c r="L516" s="70"/>
      <c r="N516" s="70"/>
      <c r="P516" s="70"/>
    </row>
    <row r="517">
      <c r="A517" s="70"/>
      <c r="B517" s="70"/>
      <c r="J517" s="70"/>
      <c r="K517" s="70"/>
      <c r="L517" s="70"/>
      <c r="N517" s="70"/>
      <c r="P517" s="70"/>
    </row>
    <row r="518">
      <c r="A518" s="70"/>
      <c r="B518" s="70"/>
      <c r="J518" s="70"/>
      <c r="K518" s="70"/>
      <c r="L518" s="70"/>
      <c r="N518" s="70"/>
      <c r="P518" s="70"/>
    </row>
    <row r="519">
      <c r="A519" s="70"/>
      <c r="B519" s="70"/>
      <c r="J519" s="70"/>
      <c r="K519" s="70"/>
      <c r="L519" s="70"/>
      <c r="N519" s="70"/>
      <c r="P519" s="70"/>
    </row>
    <row r="520">
      <c r="A520" s="70"/>
      <c r="B520" s="70"/>
      <c r="J520" s="70"/>
      <c r="K520" s="70"/>
      <c r="L520" s="70"/>
      <c r="N520" s="70"/>
      <c r="P520" s="70"/>
    </row>
    <row r="521">
      <c r="A521" s="70"/>
      <c r="B521" s="70"/>
      <c r="J521" s="70"/>
      <c r="K521" s="70"/>
      <c r="L521" s="70"/>
      <c r="N521" s="70"/>
      <c r="P521" s="70"/>
    </row>
    <row r="522">
      <c r="A522" s="70"/>
      <c r="B522" s="70"/>
      <c r="J522" s="70"/>
      <c r="K522" s="70"/>
      <c r="L522" s="70"/>
      <c r="N522" s="70"/>
      <c r="P522" s="70"/>
    </row>
    <row r="523">
      <c r="A523" s="70"/>
      <c r="B523" s="70"/>
      <c r="J523" s="70"/>
      <c r="K523" s="70"/>
      <c r="L523" s="70"/>
      <c r="N523" s="70"/>
      <c r="P523" s="70"/>
    </row>
    <row r="524">
      <c r="A524" s="70"/>
      <c r="B524" s="70"/>
      <c r="J524" s="70"/>
      <c r="K524" s="70"/>
      <c r="L524" s="70"/>
      <c r="N524" s="70"/>
      <c r="P524" s="70"/>
    </row>
    <row r="525">
      <c r="A525" s="70"/>
      <c r="B525" s="70"/>
      <c r="J525" s="70"/>
      <c r="K525" s="70"/>
      <c r="L525" s="70"/>
      <c r="N525" s="70"/>
      <c r="P525" s="70"/>
    </row>
    <row r="526">
      <c r="A526" s="70"/>
      <c r="B526" s="70"/>
      <c r="J526" s="70"/>
      <c r="K526" s="70"/>
      <c r="L526" s="70"/>
      <c r="N526" s="70"/>
      <c r="P526" s="70"/>
    </row>
    <row r="527">
      <c r="A527" s="70"/>
      <c r="B527" s="70"/>
      <c r="J527" s="70"/>
      <c r="K527" s="70"/>
      <c r="L527" s="70"/>
      <c r="N527" s="70"/>
      <c r="P527" s="70"/>
    </row>
    <row r="528">
      <c r="A528" s="70"/>
      <c r="B528" s="70"/>
      <c r="J528" s="70"/>
      <c r="K528" s="70"/>
      <c r="L528" s="70"/>
      <c r="N528" s="70"/>
      <c r="P528" s="70"/>
    </row>
    <row r="529">
      <c r="A529" s="70"/>
      <c r="B529" s="70"/>
      <c r="J529" s="70"/>
      <c r="K529" s="70"/>
      <c r="L529" s="70"/>
      <c r="N529" s="70"/>
      <c r="P529" s="70"/>
    </row>
    <row r="530">
      <c r="A530" s="70"/>
      <c r="B530" s="70"/>
      <c r="J530" s="70"/>
      <c r="K530" s="70"/>
      <c r="L530" s="70"/>
      <c r="N530" s="70"/>
      <c r="P530" s="70"/>
    </row>
    <row r="531">
      <c r="A531" s="70"/>
      <c r="B531" s="70"/>
      <c r="J531" s="70"/>
      <c r="K531" s="70"/>
      <c r="L531" s="70"/>
      <c r="N531" s="70"/>
      <c r="P531" s="70"/>
    </row>
    <row r="532">
      <c r="A532" s="70"/>
      <c r="B532" s="70"/>
      <c r="J532" s="70"/>
      <c r="K532" s="70"/>
      <c r="L532" s="70"/>
      <c r="N532" s="70"/>
      <c r="P532" s="70"/>
    </row>
    <row r="533">
      <c r="A533" s="70"/>
      <c r="B533" s="70"/>
      <c r="J533" s="70"/>
      <c r="K533" s="70"/>
      <c r="L533" s="70"/>
      <c r="N533" s="70"/>
      <c r="P533" s="70"/>
    </row>
    <row r="534">
      <c r="A534" s="70"/>
      <c r="B534" s="70"/>
      <c r="J534" s="70"/>
      <c r="K534" s="70"/>
      <c r="L534" s="70"/>
      <c r="N534" s="70"/>
      <c r="P534" s="70"/>
    </row>
    <row r="535">
      <c r="A535" s="70"/>
      <c r="B535" s="70"/>
      <c r="J535" s="70"/>
      <c r="K535" s="70"/>
      <c r="L535" s="70"/>
      <c r="N535" s="70"/>
      <c r="P535" s="70"/>
    </row>
    <row r="536">
      <c r="A536" s="70"/>
      <c r="B536" s="70"/>
      <c r="J536" s="70"/>
      <c r="K536" s="70"/>
      <c r="L536" s="70"/>
      <c r="N536" s="70"/>
      <c r="P536" s="70"/>
    </row>
    <row r="537">
      <c r="A537" s="70"/>
      <c r="B537" s="70"/>
      <c r="J537" s="70"/>
      <c r="K537" s="70"/>
      <c r="L537" s="70"/>
      <c r="N537" s="70"/>
      <c r="P537" s="70"/>
    </row>
    <row r="538">
      <c r="A538" s="70"/>
      <c r="B538" s="70"/>
      <c r="J538" s="70"/>
      <c r="K538" s="70"/>
      <c r="L538" s="70"/>
      <c r="N538" s="70"/>
      <c r="P538" s="70"/>
    </row>
    <row r="539">
      <c r="A539" s="70"/>
      <c r="B539" s="70"/>
      <c r="J539" s="70"/>
      <c r="K539" s="70"/>
      <c r="L539" s="70"/>
      <c r="N539" s="70"/>
      <c r="P539" s="70"/>
    </row>
    <row r="540">
      <c r="A540" s="70"/>
      <c r="B540" s="70"/>
      <c r="J540" s="70"/>
      <c r="K540" s="70"/>
      <c r="L540" s="70"/>
      <c r="N540" s="70"/>
      <c r="P540" s="70"/>
    </row>
    <row r="541">
      <c r="A541" s="70"/>
      <c r="B541" s="70"/>
      <c r="J541" s="70"/>
      <c r="K541" s="70"/>
      <c r="L541" s="70"/>
      <c r="N541" s="70"/>
      <c r="P541" s="70"/>
    </row>
    <row r="542">
      <c r="A542" s="70"/>
      <c r="B542" s="70"/>
      <c r="J542" s="70"/>
      <c r="K542" s="70"/>
      <c r="L542" s="70"/>
      <c r="N542" s="70"/>
      <c r="P542" s="70"/>
    </row>
    <row r="543">
      <c r="A543" s="70"/>
      <c r="B543" s="70"/>
      <c r="J543" s="70"/>
      <c r="K543" s="70"/>
      <c r="L543" s="70"/>
      <c r="N543" s="70"/>
      <c r="P543" s="70"/>
    </row>
    <row r="544">
      <c r="A544" s="70"/>
      <c r="B544" s="70"/>
      <c r="J544" s="70"/>
      <c r="K544" s="70"/>
      <c r="L544" s="70"/>
      <c r="N544" s="70"/>
      <c r="P544" s="70"/>
    </row>
    <row r="545">
      <c r="A545" s="70"/>
      <c r="B545" s="70"/>
      <c r="J545" s="70"/>
      <c r="K545" s="70"/>
      <c r="L545" s="70"/>
      <c r="N545" s="70"/>
      <c r="P545" s="70"/>
    </row>
    <row r="546">
      <c r="A546" s="70"/>
      <c r="B546" s="70"/>
      <c r="J546" s="70"/>
      <c r="K546" s="70"/>
      <c r="L546" s="70"/>
      <c r="N546" s="70"/>
      <c r="P546" s="70"/>
    </row>
    <row r="547">
      <c r="A547" s="70"/>
      <c r="B547" s="70"/>
      <c r="J547" s="70"/>
      <c r="K547" s="70"/>
      <c r="L547" s="70"/>
      <c r="N547" s="70"/>
      <c r="P547" s="70"/>
    </row>
    <row r="548">
      <c r="A548" s="70"/>
      <c r="B548" s="70"/>
      <c r="J548" s="70"/>
      <c r="K548" s="70"/>
      <c r="L548" s="70"/>
      <c r="N548" s="70"/>
      <c r="P548" s="70"/>
    </row>
    <row r="549">
      <c r="A549" s="70"/>
      <c r="B549" s="70"/>
      <c r="J549" s="70"/>
      <c r="K549" s="70"/>
      <c r="L549" s="70"/>
      <c r="N549" s="70"/>
      <c r="P549" s="70"/>
    </row>
    <row r="550">
      <c r="A550" s="70"/>
      <c r="B550" s="70"/>
      <c r="J550" s="70"/>
      <c r="K550" s="70"/>
      <c r="L550" s="70"/>
      <c r="N550" s="70"/>
      <c r="P550" s="70"/>
    </row>
    <row r="551">
      <c r="A551" s="70"/>
      <c r="B551" s="70"/>
      <c r="J551" s="70"/>
      <c r="K551" s="70"/>
      <c r="L551" s="70"/>
      <c r="N551" s="70"/>
      <c r="P551" s="70"/>
    </row>
    <row r="552">
      <c r="A552" s="70"/>
      <c r="B552" s="70"/>
      <c r="J552" s="70"/>
      <c r="K552" s="70"/>
      <c r="L552" s="70"/>
      <c r="N552" s="70"/>
      <c r="P552" s="70"/>
    </row>
    <row r="553">
      <c r="A553" s="70"/>
      <c r="B553" s="70"/>
      <c r="J553" s="70"/>
      <c r="K553" s="70"/>
      <c r="L553" s="70"/>
      <c r="N553" s="70"/>
      <c r="P553" s="70"/>
    </row>
    <row r="554">
      <c r="A554" s="70"/>
      <c r="B554" s="70"/>
      <c r="J554" s="70"/>
      <c r="K554" s="70"/>
      <c r="L554" s="70"/>
      <c r="N554" s="70"/>
      <c r="P554" s="70"/>
    </row>
    <row r="555">
      <c r="A555" s="70"/>
      <c r="B555" s="70"/>
      <c r="J555" s="70"/>
      <c r="K555" s="70"/>
      <c r="L555" s="70"/>
      <c r="N555" s="70"/>
      <c r="P555" s="70"/>
    </row>
    <row r="556">
      <c r="A556" s="70"/>
      <c r="B556" s="70"/>
      <c r="J556" s="70"/>
      <c r="K556" s="70"/>
      <c r="L556" s="70"/>
      <c r="N556" s="70"/>
      <c r="P556" s="70"/>
    </row>
    <row r="557">
      <c r="A557" s="70"/>
      <c r="B557" s="70"/>
      <c r="J557" s="70"/>
      <c r="K557" s="70"/>
      <c r="L557" s="70"/>
      <c r="N557" s="70"/>
      <c r="P557" s="70"/>
    </row>
    <row r="558">
      <c r="A558" s="70"/>
      <c r="B558" s="70"/>
      <c r="J558" s="70"/>
      <c r="K558" s="70"/>
      <c r="L558" s="70"/>
      <c r="N558" s="70"/>
      <c r="P558" s="70"/>
    </row>
    <row r="559">
      <c r="A559" s="70"/>
      <c r="B559" s="70"/>
      <c r="J559" s="70"/>
      <c r="K559" s="70"/>
      <c r="L559" s="70"/>
      <c r="N559" s="70"/>
      <c r="P559" s="70"/>
    </row>
    <row r="560">
      <c r="A560" s="70"/>
      <c r="B560" s="70"/>
      <c r="J560" s="70"/>
      <c r="K560" s="70"/>
      <c r="L560" s="70"/>
      <c r="N560" s="70"/>
      <c r="P560" s="70"/>
    </row>
    <row r="561">
      <c r="A561" s="70"/>
      <c r="B561" s="70"/>
      <c r="J561" s="70"/>
      <c r="K561" s="70"/>
      <c r="L561" s="70"/>
      <c r="N561" s="70"/>
      <c r="P561" s="70"/>
    </row>
    <row r="562">
      <c r="A562" s="70"/>
      <c r="B562" s="70"/>
      <c r="J562" s="70"/>
      <c r="K562" s="70"/>
      <c r="L562" s="70"/>
      <c r="N562" s="70"/>
      <c r="P562" s="70"/>
    </row>
    <row r="563">
      <c r="A563" s="70"/>
      <c r="B563" s="70"/>
      <c r="J563" s="70"/>
      <c r="K563" s="70"/>
      <c r="L563" s="70"/>
      <c r="N563" s="70"/>
      <c r="P563" s="70"/>
    </row>
    <row r="564">
      <c r="A564" s="70"/>
      <c r="B564" s="70"/>
      <c r="J564" s="70"/>
      <c r="K564" s="70"/>
      <c r="L564" s="70"/>
      <c r="N564" s="70"/>
      <c r="P564" s="70"/>
    </row>
    <row r="565">
      <c r="A565" s="70"/>
      <c r="B565" s="70"/>
      <c r="J565" s="70"/>
      <c r="K565" s="70"/>
      <c r="L565" s="70"/>
      <c r="N565" s="70"/>
      <c r="P565" s="70"/>
    </row>
    <row r="566">
      <c r="A566" s="70"/>
      <c r="B566" s="70"/>
      <c r="J566" s="70"/>
      <c r="K566" s="70"/>
      <c r="L566" s="70"/>
      <c r="N566" s="70"/>
      <c r="P566" s="70"/>
    </row>
    <row r="567">
      <c r="A567" s="70"/>
      <c r="B567" s="70"/>
      <c r="J567" s="70"/>
      <c r="K567" s="70"/>
      <c r="L567" s="70"/>
      <c r="N567" s="70"/>
      <c r="P567" s="70"/>
    </row>
    <row r="568">
      <c r="A568" s="70"/>
      <c r="B568" s="70"/>
      <c r="J568" s="70"/>
      <c r="K568" s="70"/>
      <c r="L568" s="70"/>
      <c r="N568" s="70"/>
      <c r="P568" s="70"/>
    </row>
    <row r="569">
      <c r="A569" s="70"/>
      <c r="B569" s="70"/>
      <c r="J569" s="70"/>
      <c r="K569" s="70"/>
      <c r="L569" s="70"/>
      <c r="N569" s="70"/>
      <c r="P569" s="70"/>
    </row>
    <row r="570">
      <c r="A570" s="70"/>
      <c r="B570" s="70"/>
      <c r="J570" s="70"/>
      <c r="K570" s="70"/>
      <c r="L570" s="70"/>
      <c r="N570" s="70"/>
      <c r="P570" s="70"/>
    </row>
    <row r="571">
      <c r="A571" s="70"/>
      <c r="B571" s="70"/>
      <c r="J571" s="70"/>
      <c r="K571" s="70"/>
      <c r="L571" s="70"/>
      <c r="N571" s="70"/>
      <c r="P571" s="70"/>
    </row>
    <row r="572">
      <c r="A572" s="70"/>
      <c r="B572" s="70"/>
      <c r="J572" s="70"/>
      <c r="K572" s="70"/>
      <c r="L572" s="70"/>
      <c r="N572" s="70"/>
      <c r="P572" s="70"/>
    </row>
    <row r="573">
      <c r="A573" s="70"/>
      <c r="B573" s="70"/>
      <c r="J573" s="70"/>
      <c r="K573" s="70"/>
      <c r="L573" s="70"/>
      <c r="N573" s="70"/>
      <c r="P573" s="70"/>
    </row>
    <row r="574">
      <c r="A574" s="70"/>
      <c r="B574" s="70"/>
      <c r="J574" s="70"/>
      <c r="K574" s="70"/>
      <c r="L574" s="70"/>
      <c r="N574" s="70"/>
      <c r="P574" s="70"/>
    </row>
    <row r="575">
      <c r="A575" s="70"/>
      <c r="B575" s="70"/>
      <c r="J575" s="70"/>
      <c r="K575" s="70"/>
      <c r="L575" s="70"/>
      <c r="N575" s="70"/>
      <c r="P575" s="70"/>
    </row>
    <row r="576">
      <c r="A576" s="70"/>
      <c r="B576" s="70"/>
      <c r="J576" s="70"/>
      <c r="K576" s="70"/>
      <c r="L576" s="70"/>
      <c r="N576" s="70"/>
      <c r="P576" s="70"/>
    </row>
    <row r="577">
      <c r="A577" s="70"/>
      <c r="B577" s="70"/>
      <c r="J577" s="70"/>
      <c r="K577" s="70"/>
      <c r="L577" s="70"/>
      <c r="N577" s="70"/>
      <c r="P577" s="70"/>
    </row>
    <row r="578">
      <c r="A578" s="70"/>
      <c r="B578" s="70"/>
      <c r="J578" s="70"/>
      <c r="K578" s="70"/>
      <c r="L578" s="70"/>
      <c r="N578" s="70"/>
      <c r="P578" s="70"/>
    </row>
    <row r="579">
      <c r="A579" s="70"/>
      <c r="B579" s="70"/>
      <c r="J579" s="70"/>
      <c r="K579" s="70"/>
      <c r="L579" s="70"/>
      <c r="N579" s="70"/>
      <c r="P579" s="70"/>
    </row>
    <row r="580">
      <c r="A580" s="70"/>
      <c r="B580" s="70"/>
      <c r="J580" s="70"/>
      <c r="K580" s="70"/>
      <c r="L580" s="70"/>
      <c r="N580" s="70"/>
      <c r="P580" s="70"/>
    </row>
    <row r="581">
      <c r="A581" s="70"/>
      <c r="B581" s="70"/>
      <c r="J581" s="70"/>
      <c r="K581" s="70"/>
      <c r="L581" s="70"/>
      <c r="N581" s="70"/>
      <c r="P581" s="70"/>
    </row>
    <row r="582">
      <c r="A582" s="70"/>
      <c r="B582" s="70"/>
      <c r="J582" s="70"/>
      <c r="K582" s="70"/>
      <c r="L582" s="70"/>
      <c r="N582" s="70"/>
      <c r="P582" s="70"/>
    </row>
    <row r="583">
      <c r="A583" s="70"/>
      <c r="B583" s="70"/>
      <c r="J583" s="70"/>
      <c r="K583" s="70"/>
      <c r="L583" s="70"/>
      <c r="N583" s="70"/>
      <c r="P583" s="70"/>
    </row>
    <row r="584">
      <c r="A584" s="70"/>
      <c r="B584" s="70"/>
      <c r="J584" s="70"/>
      <c r="K584" s="70"/>
      <c r="L584" s="70"/>
      <c r="N584" s="70"/>
      <c r="P584" s="70"/>
    </row>
    <row r="585">
      <c r="A585" s="70"/>
      <c r="B585" s="70"/>
      <c r="J585" s="70"/>
      <c r="K585" s="70"/>
      <c r="L585" s="70"/>
      <c r="N585" s="70"/>
      <c r="P585" s="70"/>
    </row>
    <row r="586">
      <c r="A586" s="70"/>
      <c r="B586" s="70"/>
      <c r="J586" s="70"/>
      <c r="K586" s="70"/>
      <c r="L586" s="70"/>
      <c r="N586" s="70"/>
      <c r="P586" s="70"/>
    </row>
    <row r="587">
      <c r="A587" s="70"/>
      <c r="B587" s="70"/>
      <c r="J587" s="70"/>
      <c r="K587" s="70"/>
      <c r="L587" s="70"/>
      <c r="N587" s="70"/>
      <c r="P587" s="70"/>
    </row>
    <row r="588">
      <c r="A588" s="70"/>
      <c r="B588" s="70"/>
      <c r="J588" s="70"/>
      <c r="K588" s="70"/>
      <c r="L588" s="70"/>
      <c r="N588" s="70"/>
      <c r="P588" s="70"/>
    </row>
    <row r="589">
      <c r="A589" s="70"/>
      <c r="B589" s="70"/>
      <c r="J589" s="70"/>
      <c r="K589" s="70"/>
      <c r="L589" s="70"/>
      <c r="N589" s="70"/>
      <c r="P589" s="70"/>
    </row>
    <row r="590">
      <c r="A590" s="70"/>
      <c r="B590" s="70"/>
      <c r="J590" s="70"/>
      <c r="K590" s="70"/>
      <c r="L590" s="70"/>
      <c r="N590" s="70"/>
      <c r="P590" s="70"/>
    </row>
    <row r="591">
      <c r="A591" s="70"/>
      <c r="B591" s="70"/>
      <c r="J591" s="70"/>
      <c r="K591" s="70"/>
      <c r="L591" s="70"/>
      <c r="N591" s="70"/>
      <c r="P591" s="70"/>
    </row>
    <row r="592">
      <c r="A592" s="70"/>
      <c r="B592" s="70"/>
      <c r="J592" s="70"/>
      <c r="K592" s="70"/>
      <c r="L592" s="70"/>
      <c r="N592" s="70"/>
      <c r="P592" s="70"/>
    </row>
    <row r="593">
      <c r="A593" s="70"/>
      <c r="B593" s="70"/>
      <c r="J593" s="70"/>
      <c r="K593" s="70"/>
      <c r="L593" s="70"/>
      <c r="N593" s="70"/>
      <c r="P593" s="70"/>
    </row>
    <row r="594">
      <c r="A594" s="70"/>
      <c r="B594" s="70"/>
      <c r="J594" s="70"/>
      <c r="K594" s="70"/>
      <c r="L594" s="70"/>
      <c r="N594" s="70"/>
      <c r="P594" s="70"/>
    </row>
    <row r="595">
      <c r="A595" s="70"/>
      <c r="B595" s="70"/>
      <c r="J595" s="70"/>
      <c r="K595" s="70"/>
      <c r="L595" s="70"/>
      <c r="N595" s="70"/>
      <c r="P595" s="70"/>
    </row>
    <row r="596">
      <c r="A596" s="70"/>
      <c r="B596" s="70"/>
      <c r="J596" s="70"/>
      <c r="K596" s="70"/>
      <c r="L596" s="70"/>
      <c r="N596" s="70"/>
      <c r="P596" s="70"/>
    </row>
    <row r="597">
      <c r="A597" s="70"/>
      <c r="B597" s="70"/>
      <c r="J597" s="70"/>
      <c r="K597" s="70"/>
      <c r="L597" s="70"/>
      <c r="N597" s="70"/>
      <c r="P597" s="70"/>
    </row>
    <row r="598">
      <c r="A598" s="70"/>
      <c r="B598" s="70"/>
      <c r="J598" s="70"/>
      <c r="K598" s="70"/>
      <c r="L598" s="70"/>
      <c r="N598" s="70"/>
      <c r="P598" s="70"/>
    </row>
    <row r="599">
      <c r="A599" s="70"/>
      <c r="B599" s="70"/>
      <c r="J599" s="70"/>
      <c r="K599" s="70"/>
      <c r="L599" s="70"/>
      <c r="N599" s="70"/>
      <c r="P599" s="70"/>
    </row>
    <row r="600">
      <c r="A600" s="70"/>
      <c r="B600" s="70"/>
      <c r="J600" s="70"/>
      <c r="K600" s="70"/>
      <c r="L600" s="70"/>
      <c r="N600" s="70"/>
      <c r="P600" s="70"/>
    </row>
    <row r="601">
      <c r="A601" s="70"/>
      <c r="B601" s="70"/>
      <c r="J601" s="70"/>
      <c r="K601" s="70"/>
      <c r="L601" s="70"/>
      <c r="N601" s="70"/>
      <c r="P601" s="70"/>
    </row>
    <row r="602">
      <c r="A602" s="70"/>
      <c r="B602" s="70"/>
      <c r="J602" s="70"/>
      <c r="K602" s="70"/>
      <c r="L602" s="70"/>
      <c r="N602" s="70"/>
      <c r="P602" s="70"/>
    </row>
    <row r="603">
      <c r="A603" s="70"/>
      <c r="B603" s="70"/>
      <c r="J603" s="70"/>
      <c r="K603" s="70"/>
      <c r="L603" s="70"/>
      <c r="N603" s="70"/>
      <c r="P603" s="70"/>
    </row>
    <row r="604">
      <c r="A604" s="70"/>
      <c r="B604" s="70"/>
      <c r="J604" s="70"/>
      <c r="K604" s="70"/>
      <c r="L604" s="70"/>
      <c r="N604" s="70"/>
      <c r="P604" s="70"/>
    </row>
    <row r="605">
      <c r="A605" s="70"/>
      <c r="B605" s="70"/>
      <c r="J605" s="70"/>
      <c r="K605" s="70"/>
      <c r="L605" s="70"/>
      <c r="N605" s="70"/>
      <c r="P605" s="70"/>
    </row>
    <row r="606">
      <c r="A606" s="70"/>
      <c r="B606" s="70"/>
      <c r="J606" s="70"/>
      <c r="K606" s="70"/>
      <c r="L606" s="70"/>
      <c r="N606" s="70"/>
      <c r="P606" s="70"/>
    </row>
    <row r="607">
      <c r="A607" s="70"/>
      <c r="B607" s="70"/>
      <c r="J607" s="70"/>
      <c r="K607" s="70"/>
      <c r="L607" s="70"/>
      <c r="N607" s="70"/>
      <c r="P607" s="70"/>
    </row>
    <row r="608">
      <c r="A608" s="70"/>
      <c r="B608" s="70"/>
      <c r="J608" s="70"/>
      <c r="K608" s="70"/>
      <c r="L608" s="70"/>
      <c r="N608" s="70"/>
      <c r="P608" s="70"/>
    </row>
    <row r="609">
      <c r="A609" s="70"/>
      <c r="B609" s="70"/>
      <c r="J609" s="70"/>
      <c r="K609" s="70"/>
      <c r="L609" s="70"/>
      <c r="N609" s="70"/>
      <c r="P609" s="70"/>
    </row>
    <row r="610">
      <c r="A610" s="70"/>
      <c r="B610" s="70"/>
      <c r="J610" s="70"/>
      <c r="K610" s="70"/>
      <c r="L610" s="70"/>
      <c r="N610" s="70"/>
      <c r="P610" s="70"/>
    </row>
    <row r="611">
      <c r="A611" s="70"/>
      <c r="B611" s="70"/>
      <c r="J611" s="70"/>
      <c r="K611" s="70"/>
      <c r="L611" s="70"/>
      <c r="N611" s="70"/>
      <c r="P611" s="70"/>
    </row>
    <row r="612">
      <c r="A612" s="70"/>
      <c r="B612" s="70"/>
      <c r="J612" s="70"/>
      <c r="K612" s="70"/>
      <c r="L612" s="70"/>
      <c r="N612" s="70"/>
      <c r="P612" s="70"/>
    </row>
    <row r="613">
      <c r="A613" s="70"/>
      <c r="B613" s="70"/>
      <c r="J613" s="70"/>
      <c r="K613" s="70"/>
      <c r="L613" s="70"/>
      <c r="N613" s="70"/>
      <c r="P613" s="70"/>
    </row>
    <row r="614">
      <c r="A614" s="70"/>
      <c r="B614" s="70"/>
      <c r="J614" s="70"/>
      <c r="K614" s="70"/>
      <c r="L614" s="70"/>
      <c r="N614" s="70"/>
      <c r="P614" s="70"/>
    </row>
    <row r="615">
      <c r="A615" s="70"/>
      <c r="B615" s="70"/>
      <c r="J615" s="70"/>
      <c r="K615" s="70"/>
      <c r="L615" s="70"/>
      <c r="N615" s="70"/>
      <c r="P615" s="70"/>
    </row>
    <row r="616">
      <c r="A616" s="70"/>
      <c r="B616" s="70"/>
      <c r="J616" s="70"/>
      <c r="K616" s="70"/>
      <c r="L616" s="70"/>
      <c r="N616" s="70"/>
      <c r="P616" s="70"/>
    </row>
    <row r="617">
      <c r="A617" s="70"/>
      <c r="B617" s="70"/>
      <c r="J617" s="70"/>
      <c r="K617" s="70"/>
      <c r="L617" s="70"/>
      <c r="N617" s="70"/>
      <c r="P617" s="70"/>
    </row>
    <row r="618">
      <c r="A618" s="70"/>
      <c r="B618" s="70"/>
      <c r="J618" s="70"/>
      <c r="K618" s="70"/>
      <c r="L618" s="70"/>
      <c r="N618" s="70"/>
      <c r="P618" s="70"/>
    </row>
    <row r="619">
      <c r="A619" s="70"/>
      <c r="B619" s="70"/>
      <c r="J619" s="70"/>
      <c r="K619" s="70"/>
      <c r="L619" s="70"/>
      <c r="N619" s="70"/>
      <c r="P619" s="70"/>
    </row>
    <row r="620">
      <c r="A620" s="70"/>
      <c r="B620" s="70"/>
      <c r="J620" s="70"/>
      <c r="K620" s="70"/>
      <c r="L620" s="70"/>
      <c r="N620" s="70"/>
      <c r="P620" s="70"/>
    </row>
    <row r="621">
      <c r="A621" s="70"/>
      <c r="B621" s="70"/>
      <c r="J621" s="70"/>
      <c r="K621" s="70"/>
      <c r="L621" s="70"/>
      <c r="N621" s="70"/>
      <c r="P621" s="70"/>
    </row>
    <row r="622">
      <c r="A622" s="70"/>
      <c r="B622" s="70"/>
      <c r="J622" s="70"/>
      <c r="K622" s="70"/>
      <c r="L622" s="70"/>
      <c r="N622" s="70"/>
      <c r="P622" s="70"/>
    </row>
    <row r="623">
      <c r="A623" s="70"/>
      <c r="B623" s="70"/>
      <c r="J623" s="70"/>
      <c r="K623" s="70"/>
      <c r="L623" s="70"/>
      <c r="N623" s="70"/>
      <c r="P623" s="70"/>
    </row>
    <row r="624">
      <c r="A624" s="70"/>
      <c r="B624" s="70"/>
      <c r="J624" s="70"/>
      <c r="K624" s="70"/>
      <c r="L624" s="70"/>
      <c r="N624" s="70"/>
      <c r="P624" s="70"/>
    </row>
    <row r="625">
      <c r="A625" s="70"/>
      <c r="B625" s="70"/>
      <c r="J625" s="70"/>
      <c r="K625" s="70"/>
      <c r="L625" s="70"/>
      <c r="N625" s="70"/>
      <c r="P625" s="70"/>
    </row>
    <row r="626">
      <c r="A626" s="70"/>
      <c r="B626" s="70"/>
      <c r="J626" s="70"/>
      <c r="K626" s="70"/>
      <c r="L626" s="70"/>
      <c r="N626" s="70"/>
      <c r="P626" s="70"/>
    </row>
    <row r="627">
      <c r="A627" s="70"/>
      <c r="B627" s="70"/>
      <c r="J627" s="70"/>
      <c r="K627" s="70"/>
      <c r="L627" s="70"/>
      <c r="N627" s="70"/>
      <c r="P627" s="70"/>
    </row>
    <row r="628">
      <c r="A628" s="70"/>
      <c r="B628" s="70"/>
      <c r="J628" s="70"/>
      <c r="K628" s="70"/>
      <c r="L628" s="70"/>
      <c r="N628" s="70"/>
      <c r="P628" s="70"/>
    </row>
    <row r="629">
      <c r="A629" s="70"/>
      <c r="B629" s="70"/>
      <c r="J629" s="70"/>
      <c r="K629" s="70"/>
      <c r="L629" s="70"/>
      <c r="N629" s="70"/>
      <c r="P629" s="70"/>
    </row>
    <row r="630">
      <c r="A630" s="70"/>
      <c r="B630" s="70"/>
      <c r="J630" s="70"/>
      <c r="K630" s="70"/>
      <c r="L630" s="70"/>
      <c r="N630" s="70"/>
      <c r="P630" s="70"/>
    </row>
    <row r="631">
      <c r="A631" s="70"/>
      <c r="B631" s="70"/>
      <c r="J631" s="70"/>
      <c r="K631" s="70"/>
      <c r="L631" s="70"/>
      <c r="N631" s="70"/>
      <c r="P631" s="70"/>
    </row>
    <row r="632">
      <c r="A632" s="70"/>
      <c r="B632" s="70"/>
      <c r="J632" s="70"/>
      <c r="K632" s="70"/>
      <c r="L632" s="70"/>
      <c r="N632" s="70"/>
      <c r="P632" s="70"/>
    </row>
    <row r="633">
      <c r="A633" s="70"/>
      <c r="B633" s="70"/>
      <c r="J633" s="70"/>
      <c r="K633" s="70"/>
      <c r="L633" s="70"/>
      <c r="N633" s="70"/>
      <c r="P633" s="70"/>
    </row>
    <row r="634">
      <c r="A634" s="70"/>
      <c r="B634" s="70"/>
      <c r="J634" s="70"/>
      <c r="K634" s="70"/>
      <c r="L634" s="70"/>
      <c r="N634" s="70"/>
      <c r="P634" s="70"/>
    </row>
    <row r="635">
      <c r="A635" s="70"/>
      <c r="B635" s="70"/>
      <c r="J635" s="70"/>
      <c r="K635" s="70"/>
      <c r="L635" s="70"/>
      <c r="N635" s="70"/>
      <c r="P635" s="70"/>
    </row>
    <row r="636">
      <c r="A636" s="70"/>
      <c r="B636" s="70"/>
      <c r="J636" s="70"/>
      <c r="K636" s="70"/>
      <c r="L636" s="70"/>
      <c r="N636" s="70"/>
      <c r="P636" s="70"/>
    </row>
    <row r="637">
      <c r="A637" s="70"/>
      <c r="B637" s="70"/>
      <c r="J637" s="70"/>
      <c r="K637" s="70"/>
      <c r="L637" s="70"/>
      <c r="N637" s="70"/>
      <c r="P637" s="70"/>
    </row>
    <row r="638">
      <c r="A638" s="70"/>
      <c r="B638" s="70"/>
      <c r="J638" s="70"/>
      <c r="K638" s="70"/>
      <c r="L638" s="70"/>
      <c r="N638" s="70"/>
      <c r="P638" s="70"/>
    </row>
    <row r="639">
      <c r="A639" s="70"/>
      <c r="B639" s="70"/>
      <c r="J639" s="70"/>
      <c r="K639" s="70"/>
      <c r="L639" s="70"/>
      <c r="N639" s="70"/>
      <c r="P639" s="70"/>
    </row>
    <row r="640">
      <c r="A640" s="70"/>
      <c r="B640" s="70"/>
      <c r="J640" s="70"/>
      <c r="K640" s="70"/>
      <c r="L640" s="70"/>
      <c r="N640" s="70"/>
      <c r="P640" s="70"/>
    </row>
    <row r="641">
      <c r="A641" s="70"/>
      <c r="B641" s="70"/>
      <c r="J641" s="70"/>
      <c r="K641" s="70"/>
      <c r="L641" s="70"/>
      <c r="N641" s="70"/>
      <c r="P641" s="70"/>
    </row>
    <row r="642">
      <c r="A642" s="70"/>
      <c r="B642" s="70"/>
      <c r="J642" s="70"/>
      <c r="K642" s="70"/>
      <c r="L642" s="70"/>
      <c r="N642" s="70"/>
      <c r="P642" s="70"/>
    </row>
    <row r="643">
      <c r="A643" s="70"/>
      <c r="B643" s="70"/>
      <c r="J643" s="70"/>
      <c r="K643" s="70"/>
      <c r="L643" s="70"/>
      <c r="N643" s="70"/>
      <c r="P643" s="70"/>
    </row>
    <row r="644">
      <c r="A644" s="70"/>
      <c r="B644" s="70"/>
      <c r="J644" s="70"/>
      <c r="K644" s="70"/>
      <c r="L644" s="70"/>
      <c r="N644" s="70"/>
      <c r="P644" s="70"/>
    </row>
    <row r="645">
      <c r="A645" s="70"/>
      <c r="B645" s="70"/>
      <c r="J645" s="70"/>
      <c r="K645" s="70"/>
      <c r="L645" s="70"/>
      <c r="N645" s="70"/>
      <c r="P645" s="70"/>
    </row>
    <row r="646">
      <c r="A646" s="70"/>
      <c r="B646" s="70"/>
      <c r="J646" s="70"/>
      <c r="K646" s="70"/>
      <c r="L646" s="70"/>
      <c r="N646" s="70"/>
      <c r="P646" s="70"/>
    </row>
    <row r="647">
      <c r="A647" s="70"/>
      <c r="B647" s="70"/>
      <c r="J647" s="70"/>
      <c r="K647" s="70"/>
      <c r="L647" s="70"/>
      <c r="N647" s="70"/>
      <c r="P647" s="70"/>
    </row>
    <row r="648">
      <c r="A648" s="70"/>
      <c r="B648" s="70"/>
      <c r="J648" s="70"/>
      <c r="K648" s="70"/>
      <c r="L648" s="70"/>
      <c r="N648" s="70"/>
      <c r="P648" s="70"/>
    </row>
    <row r="649">
      <c r="A649" s="70"/>
      <c r="B649" s="70"/>
      <c r="J649" s="70"/>
      <c r="K649" s="70"/>
      <c r="L649" s="70"/>
      <c r="N649" s="70"/>
      <c r="P649" s="70"/>
    </row>
    <row r="650">
      <c r="A650" s="70"/>
      <c r="B650" s="70"/>
      <c r="J650" s="70"/>
      <c r="K650" s="70"/>
      <c r="L650" s="70"/>
      <c r="N650" s="70"/>
      <c r="P650" s="70"/>
    </row>
    <row r="651">
      <c r="A651" s="70"/>
      <c r="B651" s="70"/>
      <c r="J651" s="70"/>
      <c r="K651" s="70"/>
      <c r="L651" s="70"/>
      <c r="N651" s="70"/>
      <c r="P651" s="70"/>
    </row>
    <row r="652">
      <c r="A652" s="70"/>
      <c r="B652" s="70"/>
      <c r="J652" s="70"/>
      <c r="K652" s="70"/>
      <c r="L652" s="70"/>
      <c r="N652" s="70"/>
      <c r="P652" s="70"/>
    </row>
    <row r="653">
      <c r="A653" s="70"/>
      <c r="B653" s="70"/>
      <c r="J653" s="70"/>
      <c r="K653" s="70"/>
      <c r="L653" s="70"/>
      <c r="N653" s="70"/>
      <c r="P653" s="70"/>
    </row>
    <row r="654">
      <c r="A654" s="70"/>
      <c r="B654" s="70"/>
      <c r="J654" s="70"/>
      <c r="K654" s="70"/>
      <c r="L654" s="70"/>
      <c r="N654" s="70"/>
      <c r="P654" s="70"/>
    </row>
    <row r="655">
      <c r="A655" s="70"/>
      <c r="B655" s="70"/>
      <c r="J655" s="70"/>
      <c r="K655" s="70"/>
      <c r="L655" s="70"/>
      <c r="N655" s="70"/>
      <c r="P655" s="70"/>
    </row>
    <row r="656">
      <c r="A656" s="70"/>
      <c r="B656" s="70"/>
      <c r="J656" s="70"/>
      <c r="K656" s="70"/>
      <c r="L656" s="70"/>
      <c r="N656" s="70"/>
      <c r="P656" s="70"/>
    </row>
    <row r="657">
      <c r="A657" s="70"/>
      <c r="B657" s="70"/>
      <c r="J657" s="70"/>
      <c r="K657" s="70"/>
      <c r="L657" s="70"/>
      <c r="N657" s="70"/>
      <c r="P657" s="70"/>
    </row>
    <row r="658">
      <c r="A658" s="70"/>
      <c r="B658" s="70"/>
      <c r="J658" s="70"/>
      <c r="K658" s="70"/>
      <c r="L658" s="70"/>
      <c r="N658" s="70"/>
      <c r="P658" s="70"/>
    </row>
    <row r="659">
      <c r="A659" s="70"/>
      <c r="B659" s="70"/>
      <c r="J659" s="70"/>
      <c r="K659" s="70"/>
      <c r="L659" s="70"/>
      <c r="N659" s="70"/>
      <c r="P659" s="70"/>
    </row>
    <row r="660">
      <c r="A660" s="70"/>
      <c r="B660" s="70"/>
      <c r="J660" s="70"/>
      <c r="K660" s="70"/>
      <c r="L660" s="70"/>
      <c r="N660" s="70"/>
      <c r="P660" s="70"/>
    </row>
    <row r="661">
      <c r="A661" s="70"/>
      <c r="B661" s="70"/>
      <c r="J661" s="70"/>
      <c r="K661" s="70"/>
      <c r="L661" s="70"/>
      <c r="N661" s="70"/>
      <c r="P661" s="70"/>
    </row>
    <row r="662">
      <c r="A662" s="70"/>
      <c r="B662" s="70"/>
      <c r="J662" s="70"/>
      <c r="K662" s="70"/>
      <c r="L662" s="70"/>
      <c r="N662" s="70"/>
      <c r="P662" s="70"/>
    </row>
    <row r="663">
      <c r="A663" s="70"/>
      <c r="B663" s="70"/>
      <c r="J663" s="70"/>
      <c r="K663" s="70"/>
      <c r="L663" s="70"/>
      <c r="N663" s="70"/>
      <c r="P663" s="70"/>
    </row>
    <row r="664">
      <c r="A664" s="70"/>
      <c r="B664" s="70"/>
      <c r="J664" s="70"/>
      <c r="K664" s="70"/>
      <c r="L664" s="70"/>
      <c r="N664" s="70"/>
      <c r="P664" s="70"/>
    </row>
    <row r="665">
      <c r="A665" s="70"/>
      <c r="B665" s="70"/>
      <c r="J665" s="70"/>
      <c r="K665" s="70"/>
      <c r="L665" s="70"/>
      <c r="N665" s="70"/>
      <c r="P665" s="70"/>
    </row>
    <row r="666">
      <c r="A666" s="70"/>
      <c r="B666" s="70"/>
      <c r="J666" s="70"/>
      <c r="K666" s="70"/>
      <c r="L666" s="70"/>
      <c r="N666" s="70"/>
      <c r="P666" s="70"/>
    </row>
    <row r="667">
      <c r="A667" s="70"/>
      <c r="B667" s="70"/>
      <c r="J667" s="70"/>
      <c r="K667" s="70"/>
      <c r="L667" s="70"/>
      <c r="N667" s="70"/>
      <c r="P667" s="70"/>
    </row>
    <row r="668">
      <c r="A668" s="70"/>
      <c r="B668" s="70"/>
      <c r="J668" s="70"/>
      <c r="K668" s="70"/>
      <c r="L668" s="70"/>
      <c r="N668" s="70"/>
      <c r="P668" s="70"/>
    </row>
    <row r="669">
      <c r="A669" s="70"/>
      <c r="B669" s="70"/>
      <c r="J669" s="70"/>
      <c r="K669" s="70"/>
      <c r="L669" s="70"/>
      <c r="N669" s="70"/>
      <c r="P669" s="70"/>
    </row>
    <row r="670">
      <c r="A670" s="70"/>
      <c r="B670" s="70"/>
      <c r="J670" s="70"/>
      <c r="K670" s="70"/>
      <c r="L670" s="70"/>
      <c r="N670" s="70"/>
      <c r="P670" s="70"/>
    </row>
    <row r="671">
      <c r="A671" s="70"/>
      <c r="B671" s="70"/>
      <c r="J671" s="70"/>
      <c r="K671" s="70"/>
      <c r="L671" s="70"/>
      <c r="N671" s="70"/>
      <c r="P671" s="70"/>
    </row>
    <row r="672">
      <c r="A672" s="70"/>
      <c r="B672" s="70"/>
      <c r="J672" s="70"/>
      <c r="K672" s="70"/>
      <c r="L672" s="70"/>
      <c r="N672" s="70"/>
      <c r="P672" s="70"/>
    </row>
    <row r="673">
      <c r="A673" s="70"/>
      <c r="B673" s="70"/>
      <c r="J673" s="70"/>
      <c r="K673" s="70"/>
      <c r="L673" s="70"/>
      <c r="N673" s="70"/>
      <c r="P673" s="70"/>
    </row>
    <row r="674">
      <c r="A674" s="70"/>
      <c r="B674" s="70"/>
      <c r="J674" s="70"/>
      <c r="K674" s="70"/>
      <c r="L674" s="70"/>
      <c r="N674" s="70"/>
      <c r="P674" s="70"/>
    </row>
    <row r="675">
      <c r="A675" s="70"/>
      <c r="B675" s="70"/>
      <c r="J675" s="70"/>
      <c r="K675" s="70"/>
      <c r="L675" s="70"/>
      <c r="N675" s="70"/>
      <c r="P675" s="70"/>
    </row>
    <row r="676">
      <c r="A676" s="70"/>
      <c r="B676" s="70"/>
      <c r="J676" s="70"/>
      <c r="K676" s="70"/>
      <c r="L676" s="70"/>
      <c r="N676" s="70"/>
      <c r="P676" s="70"/>
    </row>
    <row r="677">
      <c r="A677" s="70"/>
      <c r="B677" s="70"/>
      <c r="J677" s="70"/>
      <c r="K677" s="70"/>
      <c r="L677" s="70"/>
      <c r="N677" s="70"/>
      <c r="P677" s="70"/>
    </row>
    <row r="678">
      <c r="A678" s="70"/>
      <c r="B678" s="70"/>
      <c r="J678" s="70"/>
      <c r="K678" s="70"/>
      <c r="L678" s="70"/>
      <c r="N678" s="70"/>
      <c r="P678" s="70"/>
    </row>
    <row r="679">
      <c r="A679" s="70"/>
      <c r="B679" s="70"/>
      <c r="J679" s="70"/>
      <c r="K679" s="70"/>
      <c r="L679" s="70"/>
      <c r="N679" s="70"/>
      <c r="P679" s="70"/>
    </row>
    <row r="680">
      <c r="A680" s="70"/>
      <c r="B680" s="70"/>
      <c r="J680" s="70"/>
      <c r="K680" s="70"/>
      <c r="L680" s="70"/>
      <c r="N680" s="70"/>
      <c r="P680" s="70"/>
    </row>
    <row r="681">
      <c r="A681" s="70"/>
      <c r="B681" s="70"/>
      <c r="J681" s="70"/>
      <c r="K681" s="70"/>
      <c r="L681" s="70"/>
      <c r="N681" s="70"/>
      <c r="P681" s="70"/>
    </row>
    <row r="682">
      <c r="A682" s="70"/>
      <c r="B682" s="70"/>
      <c r="J682" s="70"/>
      <c r="K682" s="70"/>
      <c r="L682" s="70"/>
      <c r="N682" s="70"/>
      <c r="P682" s="70"/>
    </row>
    <row r="683">
      <c r="A683" s="70"/>
      <c r="B683" s="70"/>
      <c r="J683" s="70"/>
      <c r="K683" s="70"/>
      <c r="L683" s="70"/>
      <c r="N683" s="70"/>
      <c r="P683" s="70"/>
    </row>
    <row r="684">
      <c r="A684" s="70"/>
      <c r="B684" s="70"/>
      <c r="J684" s="70"/>
      <c r="K684" s="70"/>
      <c r="L684" s="70"/>
      <c r="N684" s="70"/>
      <c r="P684" s="70"/>
    </row>
    <row r="685">
      <c r="A685" s="70"/>
      <c r="B685" s="70"/>
      <c r="J685" s="70"/>
      <c r="K685" s="70"/>
      <c r="L685" s="70"/>
      <c r="N685" s="70"/>
      <c r="P685" s="70"/>
    </row>
    <row r="686">
      <c r="A686" s="70"/>
      <c r="B686" s="70"/>
      <c r="J686" s="70"/>
      <c r="K686" s="70"/>
      <c r="L686" s="70"/>
      <c r="N686" s="70"/>
      <c r="P686" s="70"/>
    </row>
    <row r="687">
      <c r="A687" s="70"/>
      <c r="B687" s="70"/>
      <c r="J687" s="70"/>
      <c r="K687" s="70"/>
      <c r="L687" s="70"/>
      <c r="N687" s="70"/>
      <c r="P687" s="70"/>
    </row>
    <row r="688">
      <c r="A688" s="70"/>
      <c r="B688" s="70"/>
      <c r="J688" s="70"/>
      <c r="K688" s="70"/>
      <c r="L688" s="70"/>
      <c r="N688" s="70"/>
      <c r="P688" s="70"/>
    </row>
    <row r="689">
      <c r="A689" s="70"/>
      <c r="B689" s="70"/>
      <c r="J689" s="70"/>
      <c r="K689" s="70"/>
      <c r="L689" s="70"/>
      <c r="N689" s="70"/>
      <c r="P689" s="70"/>
    </row>
    <row r="690">
      <c r="A690" s="70"/>
      <c r="B690" s="70"/>
      <c r="J690" s="70"/>
      <c r="K690" s="70"/>
      <c r="L690" s="70"/>
      <c r="N690" s="70"/>
      <c r="P690" s="70"/>
    </row>
    <row r="691">
      <c r="A691" s="70"/>
      <c r="B691" s="70"/>
      <c r="J691" s="70"/>
      <c r="K691" s="70"/>
      <c r="L691" s="70"/>
      <c r="N691" s="70"/>
      <c r="P691" s="70"/>
    </row>
    <row r="692">
      <c r="A692" s="70"/>
      <c r="B692" s="70"/>
      <c r="J692" s="70"/>
      <c r="K692" s="70"/>
      <c r="L692" s="70"/>
      <c r="N692" s="70"/>
      <c r="P692" s="70"/>
    </row>
    <row r="693">
      <c r="A693" s="70"/>
      <c r="B693" s="70"/>
      <c r="J693" s="70"/>
      <c r="K693" s="70"/>
      <c r="L693" s="70"/>
      <c r="N693" s="70"/>
      <c r="P693" s="70"/>
    </row>
    <row r="694">
      <c r="A694" s="70"/>
      <c r="B694" s="70"/>
      <c r="J694" s="70"/>
      <c r="K694" s="70"/>
      <c r="L694" s="70"/>
      <c r="N694" s="70"/>
      <c r="P694" s="70"/>
    </row>
    <row r="695">
      <c r="A695" s="70"/>
      <c r="B695" s="70"/>
      <c r="J695" s="70"/>
      <c r="K695" s="70"/>
      <c r="L695" s="70"/>
      <c r="N695" s="70"/>
      <c r="P695" s="70"/>
    </row>
    <row r="696">
      <c r="A696" s="70"/>
      <c r="B696" s="70"/>
      <c r="J696" s="70"/>
      <c r="K696" s="70"/>
      <c r="L696" s="70"/>
      <c r="N696" s="70"/>
      <c r="P696" s="70"/>
    </row>
    <row r="697">
      <c r="A697" s="70"/>
      <c r="B697" s="70"/>
      <c r="J697" s="70"/>
      <c r="K697" s="70"/>
      <c r="L697" s="70"/>
      <c r="N697" s="70"/>
      <c r="P697" s="70"/>
    </row>
    <row r="698">
      <c r="A698" s="70"/>
      <c r="B698" s="70"/>
      <c r="J698" s="70"/>
      <c r="K698" s="70"/>
      <c r="L698" s="70"/>
      <c r="N698" s="70"/>
      <c r="P698" s="70"/>
    </row>
    <row r="699">
      <c r="A699" s="70"/>
      <c r="B699" s="70"/>
      <c r="J699" s="70"/>
      <c r="K699" s="70"/>
      <c r="L699" s="70"/>
      <c r="N699" s="70"/>
      <c r="P699" s="70"/>
    </row>
    <row r="700">
      <c r="A700" s="70"/>
      <c r="B700" s="70"/>
      <c r="J700" s="70"/>
      <c r="K700" s="70"/>
      <c r="L700" s="70"/>
      <c r="N700" s="70"/>
      <c r="P700" s="70"/>
    </row>
    <row r="701">
      <c r="A701" s="70"/>
      <c r="B701" s="70"/>
      <c r="J701" s="70"/>
      <c r="K701" s="70"/>
      <c r="L701" s="70"/>
      <c r="N701" s="70"/>
      <c r="P701" s="70"/>
    </row>
    <row r="702">
      <c r="A702" s="70"/>
      <c r="B702" s="70"/>
      <c r="J702" s="70"/>
      <c r="K702" s="70"/>
      <c r="L702" s="70"/>
      <c r="N702" s="70"/>
      <c r="P702" s="70"/>
    </row>
    <row r="703">
      <c r="A703" s="70"/>
      <c r="B703" s="70"/>
      <c r="J703" s="70"/>
      <c r="K703" s="70"/>
      <c r="L703" s="70"/>
      <c r="N703" s="70"/>
      <c r="P703" s="70"/>
    </row>
    <row r="704">
      <c r="A704" s="70"/>
      <c r="B704" s="70"/>
      <c r="J704" s="70"/>
      <c r="K704" s="70"/>
      <c r="L704" s="70"/>
      <c r="N704" s="70"/>
      <c r="P704" s="70"/>
    </row>
    <row r="705">
      <c r="A705" s="70"/>
      <c r="B705" s="70"/>
      <c r="J705" s="70"/>
      <c r="K705" s="70"/>
      <c r="L705" s="70"/>
      <c r="N705" s="70"/>
      <c r="P705" s="70"/>
    </row>
    <row r="706">
      <c r="A706" s="70"/>
      <c r="B706" s="70"/>
      <c r="J706" s="70"/>
      <c r="K706" s="70"/>
      <c r="L706" s="70"/>
      <c r="N706" s="70"/>
      <c r="P706" s="70"/>
    </row>
    <row r="707">
      <c r="A707" s="70"/>
      <c r="B707" s="70"/>
      <c r="J707" s="70"/>
      <c r="K707" s="70"/>
      <c r="L707" s="70"/>
      <c r="N707" s="70"/>
      <c r="P707" s="70"/>
    </row>
    <row r="708">
      <c r="A708" s="70"/>
      <c r="B708" s="70"/>
      <c r="J708" s="70"/>
      <c r="K708" s="70"/>
      <c r="L708" s="70"/>
      <c r="N708" s="70"/>
      <c r="P708" s="70"/>
    </row>
    <row r="709">
      <c r="A709" s="70"/>
      <c r="B709" s="70"/>
      <c r="J709" s="70"/>
      <c r="K709" s="70"/>
      <c r="L709" s="70"/>
      <c r="N709" s="70"/>
      <c r="P709" s="70"/>
    </row>
    <row r="710">
      <c r="A710" s="70"/>
      <c r="B710" s="70"/>
      <c r="J710" s="70"/>
      <c r="K710" s="70"/>
      <c r="L710" s="70"/>
      <c r="N710" s="70"/>
      <c r="P710" s="70"/>
    </row>
    <row r="711">
      <c r="A711" s="70"/>
      <c r="B711" s="70"/>
      <c r="J711" s="70"/>
      <c r="K711" s="70"/>
      <c r="L711" s="70"/>
      <c r="N711" s="70"/>
      <c r="P711" s="70"/>
    </row>
    <row r="712">
      <c r="A712" s="70"/>
      <c r="B712" s="70"/>
      <c r="J712" s="70"/>
      <c r="K712" s="70"/>
      <c r="L712" s="70"/>
      <c r="N712" s="70"/>
      <c r="P712" s="70"/>
    </row>
    <row r="713">
      <c r="A713" s="70"/>
      <c r="B713" s="70"/>
      <c r="J713" s="70"/>
      <c r="K713" s="70"/>
      <c r="L713" s="70"/>
      <c r="N713" s="70"/>
      <c r="P713" s="70"/>
    </row>
    <row r="714">
      <c r="A714" s="70"/>
      <c r="B714" s="70"/>
      <c r="J714" s="70"/>
      <c r="K714" s="70"/>
      <c r="L714" s="70"/>
      <c r="N714" s="70"/>
      <c r="P714" s="70"/>
    </row>
    <row r="715">
      <c r="A715" s="70"/>
      <c r="B715" s="70"/>
      <c r="J715" s="70"/>
      <c r="K715" s="70"/>
      <c r="L715" s="70"/>
      <c r="N715" s="70"/>
      <c r="P715" s="70"/>
    </row>
    <row r="716">
      <c r="A716" s="70"/>
      <c r="B716" s="70"/>
      <c r="J716" s="70"/>
      <c r="K716" s="70"/>
      <c r="L716" s="70"/>
      <c r="N716" s="70"/>
      <c r="P716" s="70"/>
    </row>
    <row r="717">
      <c r="A717" s="70"/>
      <c r="B717" s="70"/>
      <c r="J717" s="70"/>
      <c r="K717" s="70"/>
      <c r="L717" s="70"/>
      <c r="N717" s="70"/>
      <c r="P717" s="70"/>
    </row>
    <row r="718">
      <c r="A718" s="70"/>
      <c r="B718" s="70"/>
      <c r="J718" s="70"/>
      <c r="K718" s="70"/>
      <c r="L718" s="70"/>
      <c r="N718" s="70"/>
      <c r="P718" s="70"/>
    </row>
    <row r="719">
      <c r="A719" s="70"/>
      <c r="B719" s="70"/>
      <c r="J719" s="70"/>
      <c r="K719" s="70"/>
      <c r="L719" s="70"/>
      <c r="N719" s="70"/>
      <c r="P719" s="70"/>
    </row>
    <row r="720">
      <c r="A720" s="70"/>
      <c r="B720" s="70"/>
      <c r="J720" s="70"/>
      <c r="K720" s="70"/>
      <c r="L720" s="70"/>
      <c r="N720" s="70"/>
      <c r="P720" s="70"/>
    </row>
    <row r="721">
      <c r="A721" s="70"/>
      <c r="B721" s="70"/>
      <c r="J721" s="70"/>
      <c r="K721" s="70"/>
      <c r="L721" s="70"/>
      <c r="N721" s="70"/>
      <c r="P721" s="70"/>
    </row>
    <row r="722">
      <c r="A722" s="70"/>
      <c r="B722" s="70"/>
      <c r="J722" s="70"/>
      <c r="K722" s="70"/>
      <c r="L722" s="70"/>
      <c r="N722" s="70"/>
      <c r="P722" s="70"/>
    </row>
    <row r="723">
      <c r="A723" s="70"/>
      <c r="B723" s="70"/>
      <c r="J723" s="70"/>
      <c r="K723" s="70"/>
      <c r="L723" s="70"/>
      <c r="N723" s="70"/>
      <c r="P723" s="70"/>
    </row>
    <row r="724">
      <c r="A724" s="70"/>
      <c r="B724" s="70"/>
      <c r="J724" s="70"/>
      <c r="K724" s="70"/>
      <c r="L724" s="70"/>
      <c r="N724" s="70"/>
      <c r="P724" s="70"/>
    </row>
    <row r="725">
      <c r="A725" s="70"/>
      <c r="B725" s="70"/>
      <c r="J725" s="70"/>
      <c r="K725" s="70"/>
      <c r="L725" s="70"/>
      <c r="N725" s="70"/>
      <c r="P725" s="70"/>
    </row>
    <row r="726">
      <c r="A726" s="70"/>
      <c r="B726" s="70"/>
      <c r="J726" s="70"/>
      <c r="K726" s="70"/>
      <c r="L726" s="70"/>
      <c r="N726" s="70"/>
      <c r="P726" s="70"/>
    </row>
    <row r="727">
      <c r="A727" s="70"/>
      <c r="B727" s="70"/>
      <c r="J727" s="70"/>
      <c r="K727" s="70"/>
      <c r="L727" s="70"/>
      <c r="N727" s="70"/>
      <c r="P727" s="70"/>
    </row>
    <row r="728">
      <c r="A728" s="70"/>
      <c r="B728" s="70"/>
      <c r="J728" s="70"/>
      <c r="K728" s="70"/>
      <c r="L728" s="70"/>
      <c r="N728" s="70"/>
      <c r="P728" s="70"/>
    </row>
    <row r="729">
      <c r="A729" s="70"/>
      <c r="B729" s="70"/>
      <c r="J729" s="70"/>
      <c r="K729" s="70"/>
      <c r="L729" s="70"/>
      <c r="N729" s="70"/>
      <c r="P729" s="70"/>
    </row>
    <row r="730">
      <c r="A730" s="70"/>
      <c r="B730" s="70"/>
      <c r="J730" s="70"/>
      <c r="K730" s="70"/>
      <c r="L730" s="70"/>
      <c r="N730" s="70"/>
      <c r="P730" s="70"/>
    </row>
    <row r="731">
      <c r="A731" s="70"/>
      <c r="B731" s="70"/>
      <c r="J731" s="70"/>
      <c r="K731" s="70"/>
      <c r="L731" s="70"/>
      <c r="N731" s="70"/>
      <c r="P731" s="70"/>
    </row>
    <row r="732">
      <c r="A732" s="70"/>
      <c r="B732" s="70"/>
      <c r="J732" s="70"/>
      <c r="K732" s="70"/>
      <c r="L732" s="70"/>
      <c r="N732" s="70"/>
      <c r="P732" s="70"/>
    </row>
    <row r="733">
      <c r="A733" s="70"/>
      <c r="B733" s="70"/>
      <c r="J733" s="70"/>
      <c r="K733" s="70"/>
      <c r="L733" s="70"/>
      <c r="N733" s="70"/>
      <c r="P733" s="70"/>
    </row>
    <row r="734">
      <c r="A734" s="70"/>
      <c r="B734" s="70"/>
      <c r="J734" s="70"/>
      <c r="K734" s="70"/>
      <c r="L734" s="70"/>
      <c r="N734" s="70"/>
      <c r="P734" s="70"/>
    </row>
    <row r="735">
      <c r="A735" s="70"/>
      <c r="B735" s="70"/>
      <c r="J735" s="70"/>
      <c r="K735" s="70"/>
      <c r="L735" s="70"/>
      <c r="N735" s="70"/>
      <c r="P735" s="70"/>
    </row>
    <row r="736">
      <c r="A736" s="70"/>
      <c r="B736" s="70"/>
      <c r="J736" s="70"/>
      <c r="K736" s="70"/>
      <c r="L736" s="70"/>
      <c r="N736" s="70"/>
      <c r="P736" s="70"/>
    </row>
    <row r="737">
      <c r="A737" s="70"/>
      <c r="B737" s="70"/>
      <c r="J737" s="70"/>
      <c r="K737" s="70"/>
      <c r="L737" s="70"/>
      <c r="N737" s="70"/>
      <c r="P737" s="70"/>
    </row>
    <row r="738">
      <c r="A738" s="70"/>
      <c r="B738" s="70"/>
      <c r="J738" s="70"/>
      <c r="K738" s="70"/>
      <c r="L738" s="70"/>
      <c r="N738" s="70"/>
      <c r="P738" s="70"/>
    </row>
    <row r="739">
      <c r="A739" s="70"/>
      <c r="B739" s="70"/>
      <c r="J739" s="70"/>
      <c r="K739" s="70"/>
      <c r="L739" s="70"/>
      <c r="N739" s="70"/>
      <c r="P739" s="70"/>
    </row>
    <row r="740">
      <c r="A740" s="70"/>
      <c r="B740" s="70"/>
      <c r="J740" s="70"/>
      <c r="K740" s="70"/>
      <c r="L740" s="70"/>
      <c r="N740" s="70"/>
      <c r="P740" s="70"/>
    </row>
    <row r="741">
      <c r="A741" s="70"/>
      <c r="B741" s="70"/>
      <c r="J741" s="70"/>
      <c r="K741" s="70"/>
      <c r="L741" s="70"/>
      <c r="N741" s="70"/>
      <c r="P741" s="70"/>
    </row>
    <row r="742">
      <c r="A742" s="70"/>
      <c r="B742" s="70"/>
      <c r="J742" s="70"/>
      <c r="K742" s="70"/>
      <c r="L742" s="70"/>
      <c r="N742" s="70"/>
      <c r="P742" s="70"/>
    </row>
    <row r="743">
      <c r="A743" s="70"/>
      <c r="B743" s="70"/>
      <c r="J743" s="70"/>
      <c r="K743" s="70"/>
      <c r="L743" s="70"/>
      <c r="N743" s="70"/>
      <c r="P743" s="70"/>
    </row>
    <row r="744">
      <c r="A744" s="70"/>
      <c r="B744" s="70"/>
      <c r="J744" s="70"/>
      <c r="K744" s="70"/>
      <c r="L744" s="70"/>
      <c r="N744" s="70"/>
      <c r="P744" s="70"/>
    </row>
    <row r="745">
      <c r="A745" s="70"/>
      <c r="B745" s="70"/>
      <c r="J745" s="70"/>
      <c r="K745" s="70"/>
      <c r="L745" s="70"/>
      <c r="N745" s="70"/>
      <c r="P745" s="70"/>
    </row>
    <row r="746">
      <c r="A746" s="70"/>
      <c r="B746" s="70"/>
      <c r="J746" s="70"/>
      <c r="K746" s="70"/>
      <c r="L746" s="70"/>
      <c r="N746" s="70"/>
      <c r="P746" s="70"/>
    </row>
    <row r="747">
      <c r="A747" s="70"/>
      <c r="B747" s="70"/>
      <c r="J747" s="70"/>
      <c r="K747" s="70"/>
      <c r="L747" s="70"/>
      <c r="N747" s="70"/>
      <c r="P747" s="70"/>
    </row>
    <row r="748">
      <c r="A748" s="70"/>
      <c r="B748" s="70"/>
      <c r="J748" s="70"/>
      <c r="K748" s="70"/>
      <c r="L748" s="70"/>
      <c r="N748" s="70"/>
      <c r="P748" s="70"/>
    </row>
    <row r="749">
      <c r="A749" s="70"/>
      <c r="B749" s="70"/>
      <c r="J749" s="70"/>
      <c r="K749" s="70"/>
      <c r="L749" s="70"/>
      <c r="N749" s="70"/>
      <c r="P749" s="70"/>
    </row>
    <row r="750">
      <c r="A750" s="70"/>
      <c r="B750" s="70"/>
      <c r="J750" s="70"/>
      <c r="K750" s="70"/>
      <c r="L750" s="70"/>
      <c r="N750" s="70"/>
      <c r="P750" s="70"/>
    </row>
    <row r="751">
      <c r="A751" s="70"/>
      <c r="B751" s="70"/>
      <c r="J751" s="70"/>
      <c r="K751" s="70"/>
      <c r="L751" s="70"/>
      <c r="N751" s="70"/>
      <c r="P751" s="70"/>
    </row>
    <row r="752">
      <c r="A752" s="70"/>
      <c r="B752" s="70"/>
      <c r="J752" s="70"/>
      <c r="K752" s="70"/>
      <c r="L752" s="70"/>
      <c r="N752" s="70"/>
      <c r="P752" s="70"/>
    </row>
    <row r="753">
      <c r="A753" s="70"/>
      <c r="B753" s="70"/>
      <c r="J753" s="70"/>
      <c r="K753" s="70"/>
      <c r="L753" s="70"/>
      <c r="N753" s="70"/>
      <c r="P753" s="70"/>
    </row>
    <row r="754">
      <c r="A754" s="70"/>
      <c r="B754" s="70"/>
      <c r="J754" s="70"/>
      <c r="K754" s="70"/>
      <c r="L754" s="70"/>
      <c r="N754" s="70"/>
      <c r="P754" s="70"/>
    </row>
    <row r="755">
      <c r="A755" s="70"/>
      <c r="B755" s="70"/>
      <c r="J755" s="70"/>
      <c r="K755" s="70"/>
      <c r="L755" s="70"/>
      <c r="N755" s="70"/>
      <c r="P755" s="70"/>
    </row>
    <row r="756">
      <c r="A756" s="70"/>
      <c r="B756" s="70"/>
      <c r="J756" s="70"/>
      <c r="K756" s="70"/>
      <c r="L756" s="70"/>
      <c r="N756" s="70"/>
      <c r="P756" s="70"/>
    </row>
    <row r="757">
      <c r="A757" s="70"/>
      <c r="B757" s="70"/>
      <c r="J757" s="70"/>
      <c r="K757" s="70"/>
      <c r="L757" s="70"/>
      <c r="N757" s="70"/>
      <c r="P757" s="70"/>
    </row>
    <row r="758">
      <c r="A758" s="70"/>
      <c r="B758" s="70"/>
      <c r="J758" s="70"/>
      <c r="K758" s="70"/>
      <c r="L758" s="70"/>
      <c r="N758" s="70"/>
      <c r="P758" s="70"/>
    </row>
    <row r="759">
      <c r="A759" s="70"/>
      <c r="B759" s="70"/>
      <c r="J759" s="70"/>
      <c r="K759" s="70"/>
      <c r="L759" s="70"/>
      <c r="N759" s="70"/>
      <c r="P759" s="70"/>
    </row>
    <row r="760">
      <c r="A760" s="70"/>
      <c r="B760" s="70"/>
      <c r="J760" s="70"/>
      <c r="K760" s="70"/>
      <c r="L760" s="70"/>
      <c r="N760" s="70"/>
      <c r="P760" s="70"/>
    </row>
    <row r="761">
      <c r="A761" s="70"/>
      <c r="B761" s="70"/>
      <c r="J761" s="70"/>
      <c r="K761" s="70"/>
      <c r="L761" s="70"/>
      <c r="N761" s="70"/>
      <c r="P761" s="70"/>
    </row>
    <row r="762">
      <c r="A762" s="70"/>
      <c r="B762" s="70"/>
      <c r="J762" s="70"/>
      <c r="K762" s="70"/>
      <c r="L762" s="70"/>
      <c r="N762" s="70"/>
      <c r="P762" s="70"/>
    </row>
    <row r="763">
      <c r="A763" s="70"/>
      <c r="B763" s="70"/>
      <c r="J763" s="70"/>
      <c r="K763" s="70"/>
      <c r="L763" s="70"/>
      <c r="N763" s="70"/>
      <c r="P763" s="70"/>
    </row>
    <row r="764">
      <c r="A764" s="70"/>
      <c r="B764" s="70"/>
      <c r="J764" s="70"/>
      <c r="K764" s="70"/>
      <c r="L764" s="70"/>
      <c r="N764" s="70"/>
      <c r="P764" s="70"/>
    </row>
    <row r="765">
      <c r="A765" s="70"/>
      <c r="B765" s="70"/>
      <c r="J765" s="70"/>
      <c r="K765" s="70"/>
      <c r="L765" s="70"/>
      <c r="N765" s="70"/>
      <c r="P765" s="70"/>
    </row>
    <row r="766">
      <c r="A766" s="70"/>
      <c r="B766" s="70"/>
      <c r="J766" s="70"/>
      <c r="K766" s="70"/>
      <c r="L766" s="70"/>
      <c r="N766" s="70"/>
      <c r="P766" s="70"/>
    </row>
    <row r="767">
      <c r="A767" s="70"/>
      <c r="B767" s="70"/>
      <c r="J767" s="70"/>
      <c r="K767" s="70"/>
      <c r="L767" s="70"/>
      <c r="N767" s="70"/>
      <c r="P767" s="70"/>
    </row>
    <row r="768">
      <c r="A768" s="70"/>
      <c r="B768" s="70"/>
      <c r="J768" s="70"/>
      <c r="K768" s="70"/>
      <c r="L768" s="70"/>
      <c r="N768" s="70"/>
      <c r="P768" s="70"/>
    </row>
    <row r="769">
      <c r="A769" s="70"/>
      <c r="B769" s="70"/>
      <c r="J769" s="70"/>
      <c r="K769" s="70"/>
      <c r="L769" s="70"/>
      <c r="N769" s="70"/>
      <c r="P769" s="70"/>
    </row>
    <row r="770">
      <c r="A770" s="70"/>
      <c r="B770" s="70"/>
      <c r="J770" s="70"/>
      <c r="K770" s="70"/>
      <c r="L770" s="70"/>
      <c r="N770" s="70"/>
      <c r="P770" s="70"/>
    </row>
    <row r="771">
      <c r="A771" s="70"/>
      <c r="B771" s="70"/>
      <c r="J771" s="70"/>
      <c r="K771" s="70"/>
      <c r="L771" s="70"/>
      <c r="N771" s="70"/>
      <c r="P771" s="70"/>
    </row>
    <row r="772">
      <c r="A772" s="70"/>
      <c r="B772" s="70"/>
      <c r="J772" s="70"/>
      <c r="K772" s="70"/>
      <c r="L772" s="70"/>
      <c r="N772" s="70"/>
      <c r="P772" s="70"/>
    </row>
    <row r="773">
      <c r="A773" s="70"/>
      <c r="B773" s="70"/>
      <c r="J773" s="70"/>
      <c r="K773" s="70"/>
      <c r="L773" s="70"/>
      <c r="N773" s="70"/>
      <c r="P773" s="70"/>
    </row>
    <row r="774">
      <c r="A774" s="70"/>
      <c r="B774" s="70"/>
      <c r="J774" s="70"/>
      <c r="K774" s="70"/>
      <c r="L774" s="70"/>
      <c r="N774" s="70"/>
      <c r="P774" s="70"/>
    </row>
    <row r="775">
      <c r="A775" s="70"/>
      <c r="B775" s="70"/>
      <c r="J775" s="70"/>
      <c r="K775" s="70"/>
      <c r="L775" s="70"/>
      <c r="N775" s="70"/>
      <c r="P775" s="70"/>
    </row>
    <row r="776">
      <c r="A776" s="70"/>
      <c r="B776" s="70"/>
      <c r="J776" s="70"/>
      <c r="K776" s="70"/>
      <c r="L776" s="70"/>
      <c r="N776" s="70"/>
      <c r="P776" s="70"/>
    </row>
    <row r="777">
      <c r="A777" s="70"/>
      <c r="B777" s="70"/>
      <c r="J777" s="70"/>
      <c r="K777" s="70"/>
      <c r="L777" s="70"/>
      <c r="N777" s="70"/>
      <c r="P777" s="70"/>
    </row>
    <row r="778">
      <c r="A778" s="70"/>
      <c r="B778" s="70"/>
      <c r="J778" s="70"/>
      <c r="K778" s="70"/>
      <c r="L778" s="70"/>
      <c r="N778" s="70"/>
      <c r="P778" s="70"/>
    </row>
    <row r="779">
      <c r="A779" s="70"/>
      <c r="B779" s="70"/>
      <c r="J779" s="70"/>
      <c r="K779" s="70"/>
      <c r="L779" s="70"/>
      <c r="N779" s="70"/>
      <c r="P779" s="70"/>
    </row>
    <row r="780">
      <c r="A780" s="70"/>
      <c r="B780" s="70"/>
      <c r="J780" s="70"/>
      <c r="K780" s="70"/>
      <c r="L780" s="70"/>
      <c r="N780" s="70"/>
      <c r="P780" s="70"/>
    </row>
    <row r="781">
      <c r="A781" s="70"/>
      <c r="B781" s="70"/>
      <c r="J781" s="70"/>
      <c r="K781" s="70"/>
      <c r="L781" s="70"/>
      <c r="N781" s="70"/>
      <c r="P781" s="70"/>
    </row>
    <row r="782">
      <c r="A782" s="70"/>
      <c r="B782" s="70"/>
      <c r="J782" s="70"/>
      <c r="K782" s="70"/>
      <c r="L782" s="70"/>
      <c r="N782" s="70"/>
      <c r="P782" s="70"/>
    </row>
    <row r="783">
      <c r="A783" s="70"/>
      <c r="B783" s="70"/>
      <c r="J783" s="70"/>
      <c r="K783" s="70"/>
      <c r="L783" s="70"/>
      <c r="N783" s="70"/>
      <c r="P783" s="70"/>
    </row>
    <row r="784">
      <c r="A784" s="70"/>
      <c r="B784" s="70"/>
      <c r="J784" s="70"/>
      <c r="K784" s="70"/>
      <c r="L784" s="70"/>
      <c r="N784" s="70"/>
      <c r="P784" s="70"/>
    </row>
    <row r="785">
      <c r="A785" s="70"/>
      <c r="B785" s="70"/>
      <c r="J785" s="70"/>
      <c r="K785" s="70"/>
      <c r="L785" s="70"/>
      <c r="N785" s="70"/>
      <c r="P785" s="70"/>
    </row>
    <row r="786">
      <c r="A786" s="70"/>
      <c r="B786" s="70"/>
      <c r="J786" s="70"/>
      <c r="K786" s="70"/>
      <c r="L786" s="70"/>
      <c r="N786" s="70"/>
      <c r="P786" s="70"/>
    </row>
    <row r="787">
      <c r="A787" s="70"/>
      <c r="B787" s="70"/>
      <c r="J787" s="70"/>
      <c r="K787" s="70"/>
      <c r="L787" s="70"/>
      <c r="N787" s="70"/>
      <c r="P787" s="70"/>
    </row>
    <row r="788">
      <c r="A788" s="70"/>
      <c r="B788" s="70"/>
      <c r="J788" s="70"/>
      <c r="K788" s="70"/>
      <c r="L788" s="70"/>
      <c r="N788" s="70"/>
      <c r="P788" s="70"/>
    </row>
    <row r="789">
      <c r="A789" s="70"/>
      <c r="B789" s="70"/>
      <c r="J789" s="70"/>
      <c r="K789" s="70"/>
      <c r="L789" s="70"/>
      <c r="N789" s="70"/>
      <c r="P789" s="70"/>
    </row>
    <row r="790">
      <c r="A790" s="70"/>
      <c r="B790" s="70"/>
      <c r="J790" s="70"/>
      <c r="K790" s="70"/>
      <c r="L790" s="70"/>
      <c r="N790" s="70"/>
      <c r="P790" s="70"/>
    </row>
    <row r="791">
      <c r="A791" s="70"/>
      <c r="B791" s="70"/>
      <c r="J791" s="70"/>
      <c r="K791" s="70"/>
      <c r="L791" s="70"/>
      <c r="N791" s="70"/>
      <c r="P791" s="70"/>
    </row>
    <row r="792">
      <c r="A792" s="70"/>
      <c r="B792" s="70"/>
      <c r="J792" s="70"/>
      <c r="K792" s="70"/>
      <c r="L792" s="70"/>
      <c r="N792" s="70"/>
      <c r="P792" s="70"/>
    </row>
    <row r="793">
      <c r="A793" s="70"/>
      <c r="B793" s="70"/>
      <c r="J793" s="70"/>
      <c r="K793" s="70"/>
      <c r="L793" s="70"/>
      <c r="N793" s="70"/>
      <c r="P793" s="70"/>
    </row>
    <row r="794">
      <c r="A794" s="70"/>
      <c r="B794" s="70"/>
      <c r="J794" s="70"/>
      <c r="K794" s="70"/>
      <c r="L794" s="70"/>
      <c r="N794" s="70"/>
      <c r="P794" s="70"/>
    </row>
    <row r="795">
      <c r="A795" s="70"/>
      <c r="B795" s="70"/>
      <c r="J795" s="70"/>
      <c r="K795" s="70"/>
      <c r="L795" s="70"/>
      <c r="N795" s="70"/>
      <c r="P795" s="70"/>
    </row>
    <row r="796">
      <c r="A796" s="70"/>
      <c r="B796" s="70"/>
      <c r="J796" s="70"/>
      <c r="K796" s="70"/>
      <c r="L796" s="70"/>
      <c r="N796" s="70"/>
      <c r="P796" s="70"/>
    </row>
    <row r="797">
      <c r="A797" s="70"/>
      <c r="B797" s="70"/>
      <c r="J797" s="70"/>
      <c r="K797" s="70"/>
      <c r="L797" s="70"/>
      <c r="N797" s="70"/>
      <c r="P797" s="70"/>
    </row>
    <row r="798">
      <c r="A798" s="70"/>
      <c r="B798" s="70"/>
      <c r="J798" s="70"/>
      <c r="K798" s="70"/>
      <c r="L798" s="70"/>
      <c r="N798" s="70"/>
      <c r="P798" s="70"/>
    </row>
    <row r="799">
      <c r="A799" s="70"/>
      <c r="B799" s="70"/>
      <c r="J799" s="70"/>
      <c r="K799" s="70"/>
      <c r="L799" s="70"/>
      <c r="N799" s="70"/>
      <c r="P799" s="70"/>
    </row>
    <row r="800">
      <c r="A800" s="70"/>
      <c r="B800" s="70"/>
      <c r="J800" s="70"/>
      <c r="K800" s="70"/>
      <c r="L800" s="70"/>
      <c r="N800" s="70"/>
      <c r="P800" s="70"/>
    </row>
    <row r="801">
      <c r="A801" s="70"/>
      <c r="B801" s="70"/>
      <c r="J801" s="70"/>
      <c r="K801" s="70"/>
      <c r="L801" s="70"/>
      <c r="N801" s="70"/>
      <c r="P801" s="70"/>
    </row>
    <row r="802">
      <c r="A802" s="70"/>
      <c r="B802" s="70"/>
      <c r="J802" s="70"/>
      <c r="K802" s="70"/>
      <c r="L802" s="70"/>
      <c r="N802" s="70"/>
      <c r="P802" s="70"/>
    </row>
    <row r="803">
      <c r="A803" s="70"/>
      <c r="B803" s="70"/>
      <c r="J803" s="70"/>
      <c r="K803" s="70"/>
      <c r="L803" s="70"/>
      <c r="N803" s="70"/>
      <c r="P803" s="70"/>
    </row>
    <row r="804">
      <c r="A804" s="70"/>
      <c r="B804" s="70"/>
      <c r="J804" s="70"/>
      <c r="K804" s="70"/>
      <c r="L804" s="70"/>
      <c r="N804" s="70"/>
      <c r="P804" s="70"/>
    </row>
    <row r="805">
      <c r="A805" s="70"/>
      <c r="B805" s="70"/>
      <c r="J805" s="70"/>
      <c r="K805" s="70"/>
      <c r="L805" s="70"/>
      <c r="N805" s="70"/>
      <c r="P805" s="70"/>
    </row>
    <row r="806">
      <c r="A806" s="70"/>
      <c r="B806" s="70"/>
      <c r="J806" s="70"/>
      <c r="K806" s="70"/>
      <c r="L806" s="70"/>
      <c r="N806" s="70"/>
      <c r="P806" s="70"/>
    </row>
    <row r="807">
      <c r="A807" s="70"/>
      <c r="B807" s="70"/>
      <c r="J807" s="70"/>
      <c r="K807" s="70"/>
      <c r="L807" s="70"/>
      <c r="N807" s="70"/>
      <c r="P807" s="70"/>
    </row>
    <row r="808">
      <c r="A808" s="70"/>
      <c r="B808" s="70"/>
      <c r="J808" s="70"/>
      <c r="K808" s="70"/>
      <c r="L808" s="70"/>
      <c r="N808" s="70"/>
      <c r="P808" s="70"/>
    </row>
    <row r="809">
      <c r="A809" s="70"/>
      <c r="B809" s="70"/>
      <c r="J809" s="70"/>
      <c r="K809" s="70"/>
      <c r="L809" s="70"/>
      <c r="N809" s="70"/>
      <c r="P809" s="70"/>
    </row>
    <row r="810">
      <c r="A810" s="70"/>
      <c r="B810" s="70"/>
      <c r="J810" s="70"/>
      <c r="K810" s="70"/>
      <c r="L810" s="70"/>
      <c r="N810" s="70"/>
      <c r="P810" s="70"/>
    </row>
    <row r="811">
      <c r="A811" s="70"/>
      <c r="B811" s="70"/>
      <c r="J811" s="70"/>
      <c r="K811" s="70"/>
      <c r="L811" s="70"/>
      <c r="N811" s="70"/>
      <c r="P811" s="70"/>
    </row>
    <row r="812">
      <c r="A812" s="70"/>
      <c r="B812" s="70"/>
      <c r="J812" s="70"/>
      <c r="K812" s="70"/>
      <c r="L812" s="70"/>
      <c r="N812" s="70"/>
      <c r="P812" s="70"/>
    </row>
    <row r="813">
      <c r="A813" s="70"/>
      <c r="B813" s="70"/>
      <c r="J813" s="70"/>
      <c r="K813" s="70"/>
      <c r="L813" s="70"/>
      <c r="N813" s="70"/>
      <c r="P813" s="70"/>
    </row>
    <row r="814">
      <c r="A814" s="70"/>
      <c r="B814" s="70"/>
      <c r="J814" s="70"/>
      <c r="K814" s="70"/>
      <c r="L814" s="70"/>
      <c r="N814" s="70"/>
      <c r="P814" s="70"/>
    </row>
    <row r="815">
      <c r="A815" s="70"/>
      <c r="B815" s="70"/>
      <c r="J815" s="70"/>
      <c r="K815" s="70"/>
      <c r="L815" s="70"/>
      <c r="N815" s="70"/>
      <c r="P815" s="70"/>
    </row>
    <row r="816">
      <c r="A816" s="70"/>
      <c r="B816" s="70"/>
      <c r="J816" s="70"/>
      <c r="K816" s="70"/>
      <c r="L816" s="70"/>
      <c r="N816" s="70"/>
      <c r="P816" s="70"/>
    </row>
    <row r="817">
      <c r="A817" s="70"/>
      <c r="B817" s="70"/>
      <c r="J817" s="70"/>
      <c r="K817" s="70"/>
      <c r="L817" s="70"/>
      <c r="N817" s="70"/>
      <c r="P817" s="70"/>
    </row>
    <row r="818">
      <c r="A818" s="70"/>
      <c r="B818" s="70"/>
      <c r="J818" s="70"/>
      <c r="K818" s="70"/>
      <c r="L818" s="70"/>
      <c r="N818" s="70"/>
      <c r="P818" s="70"/>
    </row>
    <row r="819">
      <c r="A819" s="70"/>
      <c r="B819" s="70"/>
      <c r="J819" s="70"/>
      <c r="K819" s="70"/>
      <c r="L819" s="70"/>
      <c r="N819" s="70"/>
      <c r="P819" s="70"/>
    </row>
    <row r="820">
      <c r="A820" s="70"/>
      <c r="B820" s="70"/>
      <c r="J820" s="70"/>
      <c r="K820" s="70"/>
      <c r="L820" s="70"/>
      <c r="N820" s="70"/>
      <c r="P820" s="70"/>
    </row>
    <row r="821">
      <c r="A821" s="70"/>
      <c r="B821" s="70"/>
      <c r="J821" s="70"/>
      <c r="K821" s="70"/>
      <c r="L821" s="70"/>
      <c r="N821" s="70"/>
      <c r="P821" s="70"/>
    </row>
    <row r="822">
      <c r="A822" s="70"/>
      <c r="B822" s="70"/>
      <c r="J822" s="70"/>
      <c r="K822" s="70"/>
      <c r="L822" s="70"/>
      <c r="N822" s="70"/>
      <c r="P822" s="70"/>
    </row>
    <row r="823">
      <c r="A823" s="70"/>
      <c r="B823" s="70"/>
      <c r="J823" s="70"/>
      <c r="K823" s="70"/>
      <c r="L823" s="70"/>
      <c r="N823" s="70"/>
      <c r="P823" s="70"/>
    </row>
    <row r="824">
      <c r="A824" s="70"/>
      <c r="B824" s="70"/>
      <c r="J824" s="70"/>
      <c r="K824" s="70"/>
      <c r="L824" s="70"/>
      <c r="N824" s="70"/>
      <c r="P824" s="70"/>
    </row>
    <row r="825">
      <c r="A825" s="70"/>
      <c r="B825" s="70"/>
      <c r="J825" s="70"/>
      <c r="K825" s="70"/>
      <c r="L825" s="70"/>
      <c r="N825" s="70"/>
      <c r="P825" s="70"/>
    </row>
    <row r="826">
      <c r="A826" s="70"/>
      <c r="B826" s="70"/>
      <c r="J826" s="70"/>
      <c r="K826" s="70"/>
      <c r="L826" s="70"/>
      <c r="N826" s="70"/>
      <c r="P826" s="70"/>
    </row>
    <row r="827">
      <c r="A827" s="70"/>
      <c r="B827" s="70"/>
      <c r="J827" s="70"/>
      <c r="K827" s="70"/>
      <c r="L827" s="70"/>
      <c r="N827" s="70"/>
      <c r="P827" s="70"/>
    </row>
    <row r="828">
      <c r="A828" s="70"/>
      <c r="B828" s="70"/>
      <c r="J828" s="70"/>
      <c r="K828" s="70"/>
      <c r="L828" s="70"/>
      <c r="N828" s="70"/>
      <c r="P828" s="70"/>
    </row>
    <row r="829">
      <c r="A829" s="70"/>
      <c r="B829" s="70"/>
      <c r="J829" s="70"/>
      <c r="K829" s="70"/>
      <c r="L829" s="70"/>
      <c r="N829" s="70"/>
      <c r="P829" s="70"/>
    </row>
    <row r="830">
      <c r="A830" s="70"/>
      <c r="B830" s="70"/>
      <c r="J830" s="70"/>
      <c r="K830" s="70"/>
      <c r="L830" s="70"/>
      <c r="N830" s="70"/>
      <c r="P830" s="70"/>
    </row>
    <row r="831">
      <c r="A831" s="70"/>
      <c r="B831" s="70"/>
      <c r="J831" s="70"/>
      <c r="K831" s="70"/>
      <c r="L831" s="70"/>
      <c r="N831" s="70"/>
      <c r="P831" s="70"/>
    </row>
    <row r="832">
      <c r="A832" s="70"/>
      <c r="B832" s="70"/>
      <c r="J832" s="70"/>
      <c r="K832" s="70"/>
      <c r="L832" s="70"/>
      <c r="N832" s="70"/>
      <c r="P832" s="70"/>
    </row>
    <row r="833">
      <c r="A833" s="70"/>
      <c r="B833" s="70"/>
      <c r="J833" s="70"/>
      <c r="K833" s="70"/>
      <c r="L833" s="70"/>
      <c r="N833" s="70"/>
      <c r="P833" s="70"/>
    </row>
    <row r="834">
      <c r="A834" s="70"/>
      <c r="B834" s="70"/>
      <c r="J834" s="70"/>
      <c r="K834" s="70"/>
      <c r="L834" s="70"/>
      <c r="N834" s="70"/>
      <c r="P834" s="70"/>
    </row>
    <row r="835">
      <c r="A835" s="70"/>
      <c r="B835" s="70"/>
      <c r="J835" s="70"/>
      <c r="K835" s="70"/>
      <c r="L835" s="70"/>
      <c r="N835" s="70"/>
      <c r="P835" s="70"/>
    </row>
    <row r="836">
      <c r="A836" s="70"/>
      <c r="B836" s="70"/>
      <c r="J836" s="70"/>
      <c r="K836" s="70"/>
      <c r="L836" s="70"/>
      <c r="N836" s="70"/>
      <c r="P836" s="70"/>
    </row>
    <row r="837">
      <c r="A837" s="70"/>
      <c r="B837" s="70"/>
      <c r="J837" s="70"/>
      <c r="K837" s="70"/>
      <c r="L837" s="70"/>
      <c r="N837" s="70"/>
      <c r="P837" s="70"/>
    </row>
    <row r="838">
      <c r="A838" s="70"/>
      <c r="B838" s="70"/>
      <c r="J838" s="70"/>
      <c r="K838" s="70"/>
      <c r="L838" s="70"/>
      <c r="N838" s="70"/>
      <c r="P838" s="70"/>
    </row>
    <row r="839">
      <c r="A839" s="70"/>
      <c r="B839" s="70"/>
      <c r="J839" s="70"/>
      <c r="K839" s="70"/>
      <c r="L839" s="70"/>
      <c r="N839" s="70"/>
      <c r="P839" s="70"/>
    </row>
    <row r="840">
      <c r="A840" s="70"/>
      <c r="B840" s="70"/>
      <c r="J840" s="70"/>
      <c r="K840" s="70"/>
      <c r="L840" s="70"/>
      <c r="N840" s="70"/>
      <c r="P840" s="70"/>
    </row>
    <row r="841">
      <c r="A841" s="70"/>
      <c r="B841" s="70"/>
      <c r="J841" s="70"/>
      <c r="K841" s="70"/>
      <c r="L841" s="70"/>
      <c r="N841" s="70"/>
      <c r="P841" s="70"/>
    </row>
    <row r="842">
      <c r="A842" s="70"/>
      <c r="B842" s="70"/>
      <c r="J842" s="70"/>
      <c r="K842" s="70"/>
      <c r="L842" s="70"/>
      <c r="N842" s="70"/>
      <c r="P842" s="70"/>
    </row>
    <row r="843">
      <c r="A843" s="70"/>
      <c r="B843" s="70"/>
      <c r="J843" s="70"/>
      <c r="K843" s="70"/>
      <c r="L843" s="70"/>
      <c r="N843" s="70"/>
      <c r="P843" s="70"/>
    </row>
    <row r="844">
      <c r="A844" s="70"/>
      <c r="B844" s="70"/>
      <c r="J844" s="70"/>
      <c r="K844" s="70"/>
      <c r="L844" s="70"/>
      <c r="N844" s="70"/>
      <c r="P844" s="70"/>
    </row>
    <row r="845">
      <c r="A845" s="70"/>
      <c r="B845" s="70"/>
      <c r="J845" s="70"/>
      <c r="K845" s="70"/>
      <c r="L845" s="70"/>
      <c r="N845" s="70"/>
      <c r="P845" s="70"/>
    </row>
    <row r="846">
      <c r="A846" s="70"/>
      <c r="B846" s="70"/>
      <c r="J846" s="70"/>
      <c r="K846" s="70"/>
      <c r="L846" s="70"/>
      <c r="N846" s="70"/>
      <c r="P846" s="70"/>
    </row>
    <row r="847">
      <c r="A847" s="70"/>
      <c r="B847" s="70"/>
      <c r="J847" s="70"/>
      <c r="K847" s="70"/>
      <c r="L847" s="70"/>
      <c r="N847" s="70"/>
      <c r="P847" s="70"/>
    </row>
    <row r="848">
      <c r="A848" s="70"/>
      <c r="B848" s="70"/>
      <c r="J848" s="70"/>
      <c r="K848" s="70"/>
      <c r="L848" s="70"/>
      <c r="N848" s="70"/>
      <c r="P848" s="70"/>
    </row>
    <row r="849">
      <c r="A849" s="70"/>
      <c r="B849" s="70"/>
      <c r="J849" s="70"/>
      <c r="K849" s="70"/>
      <c r="L849" s="70"/>
      <c r="N849" s="70"/>
      <c r="P849" s="70"/>
    </row>
    <row r="850">
      <c r="A850" s="70"/>
      <c r="B850" s="70"/>
      <c r="J850" s="70"/>
      <c r="K850" s="70"/>
      <c r="L850" s="70"/>
      <c r="N850" s="70"/>
      <c r="P850" s="70"/>
    </row>
    <row r="851">
      <c r="A851" s="70"/>
      <c r="B851" s="70"/>
      <c r="J851" s="70"/>
      <c r="K851" s="70"/>
      <c r="L851" s="70"/>
      <c r="N851" s="70"/>
      <c r="P851" s="70"/>
    </row>
    <row r="852">
      <c r="A852" s="70"/>
      <c r="B852" s="70"/>
      <c r="J852" s="70"/>
      <c r="K852" s="70"/>
      <c r="L852" s="70"/>
      <c r="N852" s="70"/>
      <c r="P852" s="70"/>
    </row>
    <row r="853">
      <c r="A853" s="70"/>
      <c r="B853" s="70"/>
      <c r="J853" s="70"/>
      <c r="K853" s="70"/>
      <c r="L853" s="70"/>
      <c r="N853" s="70"/>
      <c r="P853" s="70"/>
    </row>
    <row r="854">
      <c r="A854" s="70"/>
      <c r="B854" s="70"/>
      <c r="J854" s="70"/>
      <c r="K854" s="70"/>
      <c r="L854" s="70"/>
      <c r="N854" s="70"/>
      <c r="P854" s="70"/>
    </row>
    <row r="855">
      <c r="A855" s="70"/>
      <c r="B855" s="70"/>
      <c r="J855" s="70"/>
      <c r="K855" s="70"/>
      <c r="L855" s="70"/>
      <c r="N855" s="70"/>
      <c r="P855" s="70"/>
    </row>
    <row r="856">
      <c r="A856" s="70"/>
      <c r="B856" s="70"/>
      <c r="J856" s="70"/>
      <c r="K856" s="70"/>
      <c r="L856" s="70"/>
      <c r="N856" s="70"/>
      <c r="P856" s="70"/>
    </row>
    <row r="857">
      <c r="A857" s="70"/>
      <c r="B857" s="70"/>
      <c r="J857" s="70"/>
      <c r="K857" s="70"/>
      <c r="L857" s="70"/>
      <c r="N857" s="70"/>
      <c r="P857" s="70"/>
    </row>
    <row r="858">
      <c r="A858" s="70"/>
      <c r="B858" s="70"/>
      <c r="J858" s="70"/>
      <c r="K858" s="70"/>
      <c r="L858" s="70"/>
      <c r="N858" s="70"/>
      <c r="P858" s="70"/>
    </row>
    <row r="859">
      <c r="A859" s="70"/>
      <c r="B859" s="70"/>
      <c r="J859" s="70"/>
      <c r="K859" s="70"/>
      <c r="L859" s="70"/>
      <c r="N859" s="70"/>
      <c r="P859" s="70"/>
    </row>
    <row r="860">
      <c r="A860" s="70"/>
      <c r="B860" s="70"/>
      <c r="J860" s="70"/>
      <c r="K860" s="70"/>
      <c r="L860" s="70"/>
      <c r="N860" s="70"/>
      <c r="P860" s="70"/>
    </row>
    <row r="861">
      <c r="A861" s="70"/>
      <c r="B861" s="70"/>
      <c r="J861" s="70"/>
      <c r="K861" s="70"/>
      <c r="L861" s="70"/>
      <c r="N861" s="70"/>
      <c r="P861" s="70"/>
    </row>
    <row r="862">
      <c r="A862" s="70"/>
      <c r="B862" s="70"/>
      <c r="J862" s="70"/>
      <c r="K862" s="70"/>
      <c r="L862" s="70"/>
      <c r="N862" s="70"/>
      <c r="P862" s="70"/>
    </row>
    <row r="863">
      <c r="A863" s="70"/>
      <c r="B863" s="70"/>
      <c r="J863" s="70"/>
      <c r="K863" s="70"/>
      <c r="L863" s="70"/>
      <c r="N863" s="70"/>
      <c r="P863" s="70"/>
    </row>
    <row r="864">
      <c r="A864" s="70"/>
      <c r="B864" s="70"/>
      <c r="J864" s="70"/>
      <c r="K864" s="70"/>
      <c r="L864" s="70"/>
      <c r="N864" s="70"/>
      <c r="P864" s="70"/>
    </row>
    <row r="865">
      <c r="A865" s="70"/>
      <c r="B865" s="70"/>
      <c r="J865" s="70"/>
      <c r="K865" s="70"/>
      <c r="L865" s="70"/>
      <c r="N865" s="70"/>
      <c r="P865" s="70"/>
    </row>
    <row r="866">
      <c r="A866" s="70"/>
      <c r="B866" s="70"/>
      <c r="J866" s="70"/>
      <c r="K866" s="70"/>
      <c r="L866" s="70"/>
      <c r="N866" s="70"/>
      <c r="P866" s="70"/>
    </row>
    <row r="867">
      <c r="A867" s="70"/>
      <c r="B867" s="70"/>
      <c r="J867" s="70"/>
      <c r="K867" s="70"/>
      <c r="L867" s="70"/>
      <c r="N867" s="70"/>
      <c r="P867" s="70"/>
    </row>
    <row r="868">
      <c r="A868" s="70"/>
      <c r="B868" s="70"/>
      <c r="J868" s="70"/>
      <c r="K868" s="70"/>
      <c r="L868" s="70"/>
      <c r="N868" s="70"/>
      <c r="P868" s="70"/>
    </row>
    <row r="869">
      <c r="A869" s="70"/>
      <c r="B869" s="70"/>
      <c r="J869" s="70"/>
      <c r="K869" s="70"/>
      <c r="L869" s="70"/>
      <c r="N869" s="70"/>
      <c r="P869" s="70"/>
    </row>
    <row r="870">
      <c r="A870" s="70"/>
      <c r="B870" s="70"/>
      <c r="J870" s="70"/>
      <c r="K870" s="70"/>
      <c r="L870" s="70"/>
      <c r="N870" s="70"/>
      <c r="P870" s="70"/>
    </row>
    <row r="871">
      <c r="A871" s="70"/>
      <c r="B871" s="70"/>
      <c r="J871" s="70"/>
      <c r="K871" s="70"/>
      <c r="L871" s="70"/>
      <c r="N871" s="70"/>
      <c r="P871" s="70"/>
    </row>
    <row r="872">
      <c r="A872" s="70"/>
      <c r="B872" s="70"/>
      <c r="J872" s="70"/>
      <c r="K872" s="70"/>
      <c r="L872" s="70"/>
      <c r="N872" s="70"/>
      <c r="P872" s="70"/>
    </row>
    <row r="873">
      <c r="A873" s="70"/>
      <c r="B873" s="70"/>
      <c r="J873" s="70"/>
      <c r="K873" s="70"/>
      <c r="L873" s="70"/>
      <c r="N873" s="70"/>
      <c r="P873" s="70"/>
    </row>
    <row r="874">
      <c r="A874" s="70"/>
      <c r="B874" s="70"/>
      <c r="J874" s="70"/>
      <c r="K874" s="70"/>
      <c r="L874" s="70"/>
      <c r="N874" s="70"/>
      <c r="P874" s="70"/>
    </row>
    <row r="875">
      <c r="A875" s="70"/>
      <c r="B875" s="70"/>
      <c r="J875" s="70"/>
      <c r="K875" s="70"/>
      <c r="L875" s="70"/>
      <c r="N875" s="70"/>
      <c r="P875" s="70"/>
    </row>
    <row r="876">
      <c r="A876" s="70"/>
      <c r="B876" s="70"/>
      <c r="J876" s="70"/>
      <c r="K876" s="70"/>
      <c r="L876" s="70"/>
      <c r="N876" s="70"/>
      <c r="P876" s="70"/>
    </row>
    <row r="877">
      <c r="A877" s="70"/>
      <c r="B877" s="70"/>
      <c r="J877" s="70"/>
      <c r="K877" s="70"/>
      <c r="L877" s="70"/>
      <c r="N877" s="70"/>
      <c r="P877" s="70"/>
    </row>
    <row r="878">
      <c r="A878" s="70"/>
      <c r="B878" s="70"/>
      <c r="J878" s="70"/>
      <c r="K878" s="70"/>
      <c r="L878" s="70"/>
      <c r="N878" s="70"/>
      <c r="P878" s="70"/>
    </row>
    <row r="879">
      <c r="A879" s="70"/>
      <c r="B879" s="70"/>
      <c r="J879" s="70"/>
      <c r="K879" s="70"/>
      <c r="L879" s="70"/>
      <c r="N879" s="70"/>
      <c r="P879" s="70"/>
    </row>
    <row r="880">
      <c r="A880" s="70"/>
      <c r="B880" s="70"/>
      <c r="J880" s="70"/>
      <c r="K880" s="70"/>
      <c r="L880" s="70"/>
      <c r="N880" s="70"/>
      <c r="P880" s="70"/>
    </row>
    <row r="881">
      <c r="A881" s="70"/>
      <c r="B881" s="70"/>
      <c r="J881" s="70"/>
      <c r="K881" s="70"/>
      <c r="L881" s="70"/>
      <c r="N881" s="70"/>
      <c r="P881" s="70"/>
    </row>
    <row r="882">
      <c r="A882" s="70"/>
      <c r="B882" s="70"/>
      <c r="J882" s="70"/>
      <c r="K882" s="70"/>
      <c r="L882" s="70"/>
      <c r="N882" s="70"/>
      <c r="P882" s="70"/>
    </row>
    <row r="883">
      <c r="A883" s="70"/>
      <c r="B883" s="70"/>
      <c r="J883" s="70"/>
      <c r="K883" s="70"/>
      <c r="L883" s="70"/>
      <c r="N883" s="70"/>
      <c r="P883" s="70"/>
    </row>
    <row r="884">
      <c r="A884" s="70"/>
      <c r="B884" s="70"/>
      <c r="J884" s="70"/>
      <c r="K884" s="70"/>
      <c r="L884" s="70"/>
      <c r="N884" s="70"/>
      <c r="P884" s="70"/>
    </row>
    <row r="885">
      <c r="A885" s="70"/>
      <c r="B885" s="70"/>
      <c r="J885" s="70"/>
      <c r="K885" s="70"/>
      <c r="L885" s="70"/>
      <c r="N885" s="70"/>
      <c r="P885" s="70"/>
    </row>
    <row r="886">
      <c r="A886" s="70"/>
      <c r="B886" s="70"/>
      <c r="J886" s="70"/>
      <c r="K886" s="70"/>
      <c r="L886" s="70"/>
      <c r="N886" s="70"/>
      <c r="P886" s="70"/>
    </row>
    <row r="887">
      <c r="A887" s="70"/>
      <c r="B887" s="70"/>
      <c r="J887" s="70"/>
      <c r="K887" s="70"/>
      <c r="L887" s="70"/>
      <c r="N887" s="70"/>
      <c r="P887" s="70"/>
    </row>
    <row r="888">
      <c r="A888" s="70"/>
      <c r="B888" s="70"/>
      <c r="J888" s="70"/>
      <c r="K888" s="70"/>
      <c r="L888" s="70"/>
      <c r="N888" s="70"/>
      <c r="P888" s="70"/>
    </row>
    <row r="889">
      <c r="A889" s="70"/>
      <c r="B889" s="70"/>
      <c r="J889" s="70"/>
      <c r="K889" s="70"/>
      <c r="L889" s="70"/>
      <c r="N889" s="70"/>
      <c r="P889" s="70"/>
    </row>
    <row r="890">
      <c r="A890" s="70"/>
      <c r="B890" s="70"/>
      <c r="J890" s="70"/>
      <c r="K890" s="70"/>
      <c r="L890" s="70"/>
      <c r="N890" s="70"/>
      <c r="P890" s="70"/>
    </row>
    <row r="891">
      <c r="A891" s="70"/>
      <c r="B891" s="70"/>
      <c r="J891" s="70"/>
      <c r="K891" s="70"/>
      <c r="L891" s="70"/>
      <c r="N891" s="70"/>
      <c r="P891" s="70"/>
    </row>
    <row r="892">
      <c r="A892" s="70"/>
      <c r="B892" s="70"/>
      <c r="J892" s="70"/>
      <c r="K892" s="70"/>
      <c r="L892" s="70"/>
      <c r="N892" s="70"/>
      <c r="P892" s="70"/>
    </row>
    <row r="893">
      <c r="A893" s="70"/>
      <c r="B893" s="70"/>
      <c r="J893" s="70"/>
      <c r="K893" s="70"/>
      <c r="L893" s="70"/>
      <c r="N893" s="70"/>
      <c r="P893" s="70"/>
    </row>
    <row r="894">
      <c r="A894" s="70"/>
      <c r="B894" s="70"/>
      <c r="J894" s="70"/>
      <c r="K894" s="70"/>
      <c r="L894" s="70"/>
      <c r="N894" s="70"/>
      <c r="P894" s="70"/>
    </row>
    <row r="895">
      <c r="A895" s="70"/>
      <c r="B895" s="70"/>
      <c r="J895" s="70"/>
      <c r="K895" s="70"/>
      <c r="L895" s="70"/>
      <c r="N895" s="70"/>
      <c r="P895" s="70"/>
    </row>
    <row r="896">
      <c r="A896" s="70"/>
      <c r="B896" s="70"/>
      <c r="J896" s="70"/>
      <c r="K896" s="70"/>
      <c r="L896" s="70"/>
      <c r="N896" s="70"/>
      <c r="P896" s="70"/>
    </row>
    <row r="897">
      <c r="A897" s="70"/>
      <c r="B897" s="70"/>
      <c r="J897" s="70"/>
      <c r="K897" s="70"/>
      <c r="L897" s="70"/>
      <c r="N897" s="70"/>
      <c r="P897" s="70"/>
    </row>
    <row r="898">
      <c r="A898" s="70"/>
      <c r="B898" s="70"/>
      <c r="J898" s="70"/>
      <c r="K898" s="70"/>
      <c r="L898" s="70"/>
      <c r="N898" s="70"/>
      <c r="P898" s="70"/>
    </row>
    <row r="899">
      <c r="A899" s="70"/>
      <c r="B899" s="70"/>
      <c r="J899" s="70"/>
      <c r="K899" s="70"/>
      <c r="L899" s="70"/>
      <c r="N899" s="70"/>
      <c r="P899" s="70"/>
    </row>
    <row r="900">
      <c r="A900" s="70"/>
      <c r="B900" s="70"/>
      <c r="J900" s="70"/>
      <c r="K900" s="70"/>
      <c r="L900" s="70"/>
      <c r="N900" s="70"/>
      <c r="P900" s="70"/>
    </row>
    <row r="901">
      <c r="A901" s="70"/>
      <c r="B901" s="70"/>
      <c r="J901" s="70"/>
      <c r="K901" s="70"/>
      <c r="L901" s="70"/>
      <c r="N901" s="70"/>
      <c r="P901" s="70"/>
    </row>
    <row r="902">
      <c r="A902" s="70"/>
      <c r="B902" s="70"/>
      <c r="J902" s="70"/>
      <c r="K902" s="70"/>
      <c r="L902" s="70"/>
      <c r="N902" s="70"/>
      <c r="P902" s="70"/>
    </row>
    <row r="903">
      <c r="A903" s="70"/>
      <c r="B903" s="70"/>
      <c r="J903" s="70"/>
      <c r="K903" s="70"/>
      <c r="L903" s="70"/>
      <c r="N903" s="70"/>
      <c r="P903" s="70"/>
    </row>
    <row r="904">
      <c r="A904" s="70"/>
      <c r="B904" s="70"/>
      <c r="J904" s="70"/>
      <c r="K904" s="70"/>
      <c r="L904" s="70"/>
      <c r="N904" s="70"/>
      <c r="P904" s="70"/>
    </row>
    <row r="905">
      <c r="A905" s="70"/>
      <c r="B905" s="70"/>
      <c r="J905" s="70"/>
      <c r="K905" s="70"/>
      <c r="L905" s="70"/>
      <c r="N905" s="70"/>
      <c r="P905" s="70"/>
    </row>
    <row r="906">
      <c r="A906" s="70"/>
      <c r="B906" s="70"/>
      <c r="J906" s="70"/>
      <c r="K906" s="70"/>
      <c r="L906" s="70"/>
      <c r="N906" s="70"/>
      <c r="P906" s="70"/>
    </row>
    <row r="907">
      <c r="A907" s="70"/>
      <c r="B907" s="70"/>
      <c r="J907" s="70"/>
      <c r="K907" s="70"/>
      <c r="L907" s="70"/>
      <c r="N907" s="70"/>
      <c r="P907" s="70"/>
    </row>
    <row r="908">
      <c r="A908" s="70"/>
      <c r="B908" s="70"/>
      <c r="J908" s="70"/>
      <c r="K908" s="70"/>
      <c r="L908" s="70"/>
      <c r="N908" s="70"/>
      <c r="P908" s="70"/>
    </row>
    <row r="909">
      <c r="A909" s="70"/>
      <c r="B909" s="70"/>
      <c r="J909" s="70"/>
      <c r="K909" s="70"/>
      <c r="L909" s="70"/>
      <c r="N909" s="70"/>
      <c r="P909" s="70"/>
    </row>
    <row r="910">
      <c r="A910" s="70"/>
      <c r="B910" s="70"/>
      <c r="J910" s="70"/>
      <c r="K910" s="70"/>
      <c r="L910" s="70"/>
      <c r="N910" s="70"/>
      <c r="P910" s="70"/>
    </row>
    <row r="911">
      <c r="A911" s="70"/>
      <c r="B911" s="70"/>
      <c r="J911" s="70"/>
      <c r="K911" s="70"/>
      <c r="L911" s="70"/>
      <c r="N911" s="70"/>
      <c r="P911" s="70"/>
    </row>
    <row r="912">
      <c r="A912" s="70"/>
      <c r="B912" s="70"/>
      <c r="J912" s="70"/>
      <c r="K912" s="70"/>
      <c r="L912" s="70"/>
      <c r="N912" s="70"/>
      <c r="P912" s="70"/>
    </row>
    <row r="913">
      <c r="A913" s="70"/>
      <c r="B913" s="70"/>
      <c r="J913" s="70"/>
      <c r="K913" s="70"/>
      <c r="L913" s="70"/>
      <c r="N913" s="70"/>
      <c r="P913" s="70"/>
    </row>
    <row r="914">
      <c r="A914" s="70"/>
      <c r="B914" s="70"/>
      <c r="J914" s="70"/>
      <c r="K914" s="70"/>
      <c r="L914" s="70"/>
      <c r="N914" s="70"/>
      <c r="P914" s="70"/>
    </row>
    <row r="915">
      <c r="A915" s="70"/>
      <c r="B915" s="70"/>
      <c r="J915" s="70"/>
      <c r="K915" s="70"/>
      <c r="L915" s="70"/>
      <c r="N915" s="70"/>
      <c r="P915" s="70"/>
    </row>
    <row r="916">
      <c r="A916" s="70"/>
      <c r="B916" s="70"/>
      <c r="J916" s="70"/>
      <c r="K916" s="70"/>
      <c r="L916" s="70"/>
      <c r="N916" s="70"/>
      <c r="P916" s="70"/>
    </row>
    <row r="917">
      <c r="A917" s="70"/>
      <c r="B917" s="70"/>
      <c r="J917" s="70"/>
      <c r="K917" s="70"/>
      <c r="L917" s="70"/>
      <c r="N917" s="70"/>
      <c r="P917" s="70"/>
    </row>
    <row r="918">
      <c r="A918" s="70"/>
      <c r="B918" s="70"/>
      <c r="J918" s="70"/>
      <c r="K918" s="70"/>
      <c r="L918" s="70"/>
      <c r="N918" s="70"/>
      <c r="P918" s="70"/>
    </row>
    <row r="919">
      <c r="A919" s="70"/>
      <c r="B919" s="70"/>
      <c r="J919" s="70"/>
      <c r="K919" s="70"/>
      <c r="L919" s="70"/>
      <c r="N919" s="70"/>
      <c r="P919" s="70"/>
    </row>
    <row r="920">
      <c r="A920" s="70"/>
      <c r="B920" s="70"/>
      <c r="J920" s="70"/>
      <c r="K920" s="70"/>
      <c r="L920" s="70"/>
      <c r="N920" s="70"/>
      <c r="P920" s="70"/>
    </row>
    <row r="921">
      <c r="A921" s="70"/>
      <c r="B921" s="70"/>
      <c r="J921" s="70"/>
      <c r="K921" s="70"/>
      <c r="L921" s="70"/>
      <c r="N921" s="70"/>
      <c r="P921" s="70"/>
    </row>
    <row r="922">
      <c r="A922" s="70"/>
      <c r="B922" s="70"/>
      <c r="J922" s="70"/>
      <c r="K922" s="70"/>
      <c r="L922" s="70"/>
      <c r="N922" s="70"/>
      <c r="P922" s="70"/>
    </row>
    <row r="923">
      <c r="A923" s="70"/>
      <c r="B923" s="70"/>
      <c r="J923" s="70"/>
      <c r="K923" s="70"/>
      <c r="L923" s="70"/>
      <c r="N923" s="70"/>
      <c r="P923" s="70"/>
    </row>
    <row r="924">
      <c r="A924" s="70"/>
      <c r="B924" s="70"/>
      <c r="J924" s="70"/>
      <c r="K924" s="70"/>
      <c r="L924" s="70"/>
      <c r="N924" s="70"/>
      <c r="P924" s="70"/>
    </row>
    <row r="925">
      <c r="A925" s="70"/>
      <c r="B925" s="70"/>
      <c r="J925" s="70"/>
      <c r="K925" s="70"/>
      <c r="L925" s="70"/>
      <c r="N925" s="70"/>
      <c r="P925" s="70"/>
    </row>
    <row r="926">
      <c r="A926" s="70"/>
      <c r="B926" s="70"/>
      <c r="J926" s="70"/>
      <c r="K926" s="70"/>
      <c r="L926" s="70"/>
      <c r="N926" s="70"/>
      <c r="P926" s="70"/>
    </row>
    <row r="927">
      <c r="A927" s="70"/>
      <c r="B927" s="70"/>
      <c r="J927" s="70"/>
      <c r="K927" s="70"/>
      <c r="L927" s="70"/>
      <c r="N927" s="70"/>
      <c r="P927" s="70"/>
    </row>
    <row r="928">
      <c r="A928" s="70"/>
      <c r="B928" s="70"/>
      <c r="J928" s="70"/>
      <c r="K928" s="70"/>
      <c r="L928" s="70"/>
      <c r="N928" s="70"/>
      <c r="P928" s="70"/>
    </row>
    <row r="929">
      <c r="A929" s="70"/>
      <c r="B929" s="70"/>
      <c r="J929" s="70"/>
      <c r="K929" s="70"/>
      <c r="L929" s="70"/>
      <c r="N929" s="70"/>
      <c r="P929" s="70"/>
    </row>
    <row r="930">
      <c r="A930" s="70"/>
      <c r="B930" s="70"/>
      <c r="J930" s="70"/>
      <c r="K930" s="70"/>
      <c r="L930" s="70"/>
      <c r="N930" s="70"/>
      <c r="P930" s="70"/>
    </row>
    <row r="931">
      <c r="A931" s="70"/>
      <c r="B931" s="70"/>
      <c r="J931" s="70"/>
      <c r="K931" s="70"/>
      <c r="L931" s="70"/>
      <c r="N931" s="70"/>
      <c r="P931" s="70"/>
    </row>
    <row r="932">
      <c r="A932" s="70"/>
      <c r="B932" s="70"/>
      <c r="J932" s="70"/>
      <c r="K932" s="70"/>
      <c r="L932" s="70"/>
      <c r="N932" s="70"/>
      <c r="P932" s="70"/>
    </row>
    <row r="933">
      <c r="A933" s="70"/>
      <c r="B933" s="70"/>
      <c r="J933" s="70"/>
      <c r="K933" s="70"/>
      <c r="L933" s="70"/>
      <c r="N933" s="70"/>
      <c r="P933" s="70"/>
    </row>
    <row r="934">
      <c r="A934" s="70"/>
      <c r="B934" s="70"/>
      <c r="J934" s="70"/>
      <c r="K934" s="70"/>
      <c r="L934" s="70"/>
      <c r="N934" s="70"/>
      <c r="P934" s="70"/>
    </row>
    <row r="935">
      <c r="A935" s="70"/>
      <c r="B935" s="70"/>
      <c r="J935" s="70"/>
      <c r="K935" s="70"/>
      <c r="L935" s="70"/>
      <c r="N935" s="70"/>
      <c r="P935" s="70"/>
    </row>
    <row r="936">
      <c r="A936" s="70"/>
      <c r="B936" s="70"/>
      <c r="J936" s="70"/>
      <c r="K936" s="70"/>
      <c r="L936" s="70"/>
      <c r="N936" s="70"/>
      <c r="P936" s="70"/>
    </row>
    <row r="937">
      <c r="A937" s="70"/>
      <c r="B937" s="70"/>
      <c r="J937" s="70"/>
      <c r="K937" s="70"/>
      <c r="L937" s="70"/>
      <c r="N937" s="70"/>
      <c r="P937" s="70"/>
    </row>
    <row r="938">
      <c r="A938" s="70"/>
      <c r="B938" s="70"/>
      <c r="J938" s="70"/>
      <c r="K938" s="70"/>
      <c r="L938" s="70"/>
      <c r="N938" s="70"/>
      <c r="P938" s="70"/>
    </row>
    <row r="939">
      <c r="A939" s="70"/>
      <c r="B939" s="70"/>
      <c r="J939" s="70"/>
      <c r="K939" s="70"/>
      <c r="L939" s="70"/>
      <c r="N939" s="70"/>
      <c r="P939" s="70"/>
    </row>
    <row r="940">
      <c r="A940" s="70"/>
      <c r="B940" s="70"/>
      <c r="J940" s="70"/>
      <c r="K940" s="70"/>
      <c r="L940" s="70"/>
      <c r="N940" s="70"/>
      <c r="P940" s="70"/>
    </row>
    <row r="941">
      <c r="A941" s="70"/>
      <c r="B941" s="70"/>
      <c r="J941" s="70"/>
      <c r="K941" s="70"/>
      <c r="L941" s="70"/>
      <c r="N941" s="70"/>
      <c r="P941" s="70"/>
    </row>
    <row r="942">
      <c r="A942" s="70"/>
      <c r="B942" s="70"/>
      <c r="J942" s="70"/>
      <c r="K942" s="70"/>
      <c r="L942" s="70"/>
      <c r="N942" s="70"/>
      <c r="P942" s="70"/>
    </row>
    <row r="943">
      <c r="A943" s="70"/>
      <c r="B943" s="70"/>
      <c r="J943" s="70"/>
      <c r="K943" s="70"/>
      <c r="L943" s="70"/>
      <c r="N943" s="70"/>
      <c r="P943" s="70"/>
    </row>
    <row r="944">
      <c r="A944" s="70"/>
      <c r="B944" s="70"/>
      <c r="J944" s="70"/>
      <c r="K944" s="70"/>
      <c r="L944" s="70"/>
      <c r="N944" s="70"/>
      <c r="P944" s="70"/>
    </row>
    <row r="945">
      <c r="A945" s="70"/>
      <c r="B945" s="70"/>
      <c r="J945" s="70"/>
      <c r="K945" s="70"/>
      <c r="L945" s="70"/>
      <c r="N945" s="70"/>
      <c r="P945" s="70"/>
    </row>
    <row r="946">
      <c r="A946" s="70"/>
      <c r="B946" s="70"/>
      <c r="J946" s="70"/>
      <c r="K946" s="70"/>
      <c r="L946" s="70"/>
      <c r="N946" s="70"/>
      <c r="P946" s="70"/>
    </row>
    <row r="947">
      <c r="A947" s="70"/>
      <c r="B947" s="70"/>
      <c r="J947" s="70"/>
      <c r="K947" s="70"/>
      <c r="L947" s="70"/>
      <c r="N947" s="70"/>
      <c r="P947" s="70"/>
    </row>
    <row r="948">
      <c r="A948" s="70"/>
      <c r="B948" s="70"/>
      <c r="J948" s="70"/>
      <c r="K948" s="70"/>
      <c r="L948" s="70"/>
      <c r="N948" s="70"/>
      <c r="P948" s="70"/>
    </row>
    <row r="949">
      <c r="A949" s="70"/>
      <c r="B949" s="70"/>
      <c r="J949" s="70"/>
      <c r="K949" s="70"/>
      <c r="L949" s="70"/>
      <c r="N949" s="70"/>
      <c r="P949" s="70"/>
    </row>
    <row r="950">
      <c r="A950" s="70"/>
      <c r="B950" s="70"/>
      <c r="J950" s="70"/>
      <c r="K950" s="70"/>
      <c r="L950" s="70"/>
      <c r="N950" s="70"/>
      <c r="P950" s="70"/>
    </row>
    <row r="951">
      <c r="A951" s="70"/>
      <c r="B951" s="70"/>
      <c r="J951" s="70"/>
      <c r="K951" s="70"/>
      <c r="L951" s="70"/>
      <c r="N951" s="70"/>
      <c r="P951" s="70"/>
    </row>
    <row r="952">
      <c r="A952" s="70"/>
      <c r="B952" s="70"/>
      <c r="J952" s="70"/>
      <c r="K952" s="70"/>
      <c r="L952" s="70"/>
      <c r="N952" s="70"/>
      <c r="P952" s="70"/>
    </row>
    <row r="953">
      <c r="A953" s="70"/>
      <c r="B953" s="70"/>
      <c r="J953" s="70"/>
      <c r="K953" s="70"/>
      <c r="L953" s="70"/>
      <c r="N953" s="70"/>
      <c r="P953" s="70"/>
    </row>
    <row r="954">
      <c r="A954" s="70"/>
      <c r="B954" s="70"/>
      <c r="J954" s="70"/>
      <c r="K954" s="70"/>
      <c r="L954" s="70"/>
      <c r="N954" s="70"/>
      <c r="P954" s="70"/>
    </row>
    <row r="955">
      <c r="A955" s="70"/>
      <c r="B955" s="70"/>
      <c r="J955" s="70"/>
      <c r="K955" s="70"/>
      <c r="L955" s="70"/>
      <c r="N955" s="70"/>
      <c r="P955" s="70"/>
    </row>
    <row r="956">
      <c r="A956" s="70"/>
      <c r="B956" s="70"/>
      <c r="J956" s="70"/>
      <c r="K956" s="70"/>
      <c r="L956" s="70"/>
      <c r="N956" s="70"/>
      <c r="P956" s="70"/>
    </row>
    <row r="957">
      <c r="A957" s="70"/>
      <c r="B957" s="70"/>
      <c r="J957" s="70"/>
      <c r="K957" s="70"/>
      <c r="L957" s="70"/>
      <c r="N957" s="70"/>
      <c r="P957" s="70"/>
    </row>
    <row r="958">
      <c r="A958" s="70"/>
      <c r="B958" s="70"/>
      <c r="J958" s="70"/>
      <c r="K958" s="70"/>
      <c r="L958" s="70"/>
      <c r="N958" s="70"/>
      <c r="P958" s="70"/>
    </row>
    <row r="959">
      <c r="A959" s="70"/>
      <c r="B959" s="70"/>
      <c r="J959" s="70"/>
      <c r="K959" s="70"/>
      <c r="L959" s="70"/>
      <c r="N959" s="70"/>
      <c r="P959" s="70"/>
    </row>
    <row r="960">
      <c r="A960" s="70"/>
      <c r="B960" s="70"/>
      <c r="J960" s="70"/>
      <c r="K960" s="70"/>
      <c r="L960" s="70"/>
      <c r="N960" s="70"/>
      <c r="P960" s="70"/>
    </row>
    <row r="961">
      <c r="A961" s="70"/>
      <c r="B961" s="70"/>
      <c r="J961" s="70"/>
      <c r="K961" s="70"/>
      <c r="L961" s="70"/>
      <c r="N961" s="70"/>
      <c r="P961" s="70"/>
    </row>
    <row r="962">
      <c r="A962" s="70"/>
      <c r="B962" s="70"/>
      <c r="J962" s="70"/>
      <c r="K962" s="70"/>
      <c r="L962" s="70"/>
      <c r="N962" s="70"/>
      <c r="P962" s="70"/>
    </row>
    <row r="963">
      <c r="A963" s="70"/>
      <c r="B963" s="70"/>
      <c r="J963" s="70"/>
      <c r="K963" s="70"/>
      <c r="L963" s="70"/>
      <c r="N963" s="70"/>
      <c r="P963" s="70"/>
    </row>
    <row r="964">
      <c r="A964" s="70"/>
      <c r="B964" s="70"/>
      <c r="J964" s="70"/>
      <c r="K964" s="70"/>
      <c r="L964" s="70"/>
      <c r="N964" s="70"/>
      <c r="P964" s="70"/>
    </row>
    <row r="965">
      <c r="A965" s="70"/>
      <c r="B965" s="70"/>
      <c r="J965" s="70"/>
      <c r="K965" s="70"/>
      <c r="L965" s="70"/>
      <c r="N965" s="70"/>
      <c r="P965" s="70"/>
    </row>
    <row r="966">
      <c r="A966" s="70"/>
      <c r="B966" s="70"/>
      <c r="J966" s="70"/>
      <c r="K966" s="70"/>
      <c r="L966" s="70"/>
      <c r="N966" s="70"/>
      <c r="P966" s="70"/>
    </row>
    <row r="967">
      <c r="A967" s="70"/>
      <c r="B967" s="70"/>
      <c r="J967" s="70"/>
      <c r="K967" s="70"/>
      <c r="L967" s="70"/>
      <c r="N967" s="70"/>
      <c r="P967" s="70"/>
    </row>
    <row r="968">
      <c r="A968" s="70"/>
      <c r="B968" s="70"/>
      <c r="J968" s="70"/>
      <c r="K968" s="70"/>
      <c r="L968" s="70"/>
      <c r="N968" s="70"/>
      <c r="P968" s="70"/>
    </row>
    <row r="969">
      <c r="A969" s="70"/>
      <c r="B969" s="70"/>
      <c r="J969" s="70"/>
      <c r="K969" s="70"/>
      <c r="L969" s="70"/>
      <c r="N969" s="70"/>
      <c r="P969" s="70"/>
    </row>
    <row r="970">
      <c r="A970" s="70"/>
      <c r="B970" s="70"/>
      <c r="J970" s="70"/>
      <c r="K970" s="70"/>
      <c r="L970" s="70"/>
      <c r="N970" s="70"/>
      <c r="P970" s="70"/>
    </row>
    <row r="971">
      <c r="A971" s="70"/>
      <c r="B971" s="70"/>
      <c r="J971" s="70"/>
      <c r="K971" s="70"/>
      <c r="L971" s="70"/>
      <c r="N971" s="70"/>
      <c r="P971" s="70"/>
    </row>
    <row r="972">
      <c r="A972" s="70"/>
      <c r="B972" s="70"/>
      <c r="J972" s="70"/>
      <c r="K972" s="70"/>
      <c r="L972" s="70"/>
      <c r="N972" s="70"/>
      <c r="P972" s="70"/>
    </row>
    <row r="973">
      <c r="A973" s="70"/>
      <c r="B973" s="70"/>
      <c r="J973" s="70"/>
      <c r="K973" s="70"/>
      <c r="L973" s="70"/>
      <c r="N973" s="70"/>
      <c r="P973" s="70"/>
    </row>
    <row r="974">
      <c r="A974" s="70"/>
      <c r="B974" s="70"/>
      <c r="J974" s="70"/>
      <c r="K974" s="70"/>
      <c r="L974" s="70"/>
      <c r="N974" s="70"/>
      <c r="P974" s="70"/>
    </row>
    <row r="975">
      <c r="A975" s="70"/>
      <c r="B975" s="70"/>
      <c r="J975" s="70"/>
      <c r="K975" s="70"/>
      <c r="L975" s="70"/>
      <c r="N975" s="70"/>
      <c r="P975" s="70"/>
    </row>
    <row r="976">
      <c r="A976" s="70"/>
      <c r="B976" s="70"/>
      <c r="J976" s="70"/>
      <c r="K976" s="70"/>
      <c r="L976" s="70"/>
      <c r="N976" s="70"/>
      <c r="P976" s="70"/>
    </row>
    <row r="977">
      <c r="A977" s="70"/>
      <c r="B977" s="70"/>
      <c r="J977" s="70"/>
      <c r="K977" s="70"/>
      <c r="L977" s="70"/>
      <c r="N977" s="70"/>
      <c r="P977" s="70"/>
    </row>
    <row r="978">
      <c r="A978" s="70"/>
      <c r="B978" s="70"/>
      <c r="J978" s="70"/>
      <c r="K978" s="70"/>
      <c r="L978" s="70"/>
      <c r="N978" s="70"/>
      <c r="P978" s="70"/>
    </row>
    <row r="979">
      <c r="A979" s="70"/>
      <c r="B979" s="70"/>
      <c r="J979" s="70"/>
      <c r="K979" s="70"/>
      <c r="L979" s="70"/>
      <c r="N979" s="70"/>
      <c r="P979" s="70"/>
    </row>
    <row r="980">
      <c r="A980" s="70"/>
      <c r="B980" s="70"/>
      <c r="J980" s="70"/>
      <c r="K980" s="70"/>
      <c r="L980" s="70"/>
      <c r="N980" s="70"/>
      <c r="P980" s="70"/>
    </row>
    <row r="981">
      <c r="A981" s="70"/>
      <c r="B981" s="70"/>
      <c r="J981" s="70"/>
      <c r="K981" s="70"/>
      <c r="L981" s="70"/>
      <c r="N981" s="70"/>
      <c r="P981" s="70"/>
    </row>
    <row r="982">
      <c r="A982" s="70"/>
      <c r="B982" s="70"/>
      <c r="J982" s="70"/>
      <c r="K982" s="70"/>
      <c r="L982" s="70"/>
      <c r="N982" s="70"/>
      <c r="P982" s="70"/>
    </row>
    <row r="983">
      <c r="A983" s="70"/>
      <c r="B983" s="70"/>
      <c r="J983" s="70"/>
      <c r="K983" s="70"/>
      <c r="L983" s="70"/>
      <c r="N983" s="70"/>
      <c r="P983" s="70"/>
    </row>
    <row r="984">
      <c r="A984" s="70"/>
      <c r="B984" s="70"/>
      <c r="J984" s="70"/>
      <c r="K984" s="70"/>
      <c r="L984" s="70"/>
      <c r="N984" s="70"/>
      <c r="P984" s="70"/>
    </row>
    <row r="985">
      <c r="A985" s="70"/>
      <c r="B985" s="70"/>
      <c r="J985" s="70"/>
      <c r="K985" s="70"/>
      <c r="L985" s="70"/>
      <c r="N985" s="70"/>
      <c r="P985" s="70"/>
    </row>
    <row r="986">
      <c r="A986" s="70"/>
      <c r="B986" s="70"/>
      <c r="J986" s="70"/>
      <c r="K986" s="70"/>
      <c r="L986" s="70"/>
      <c r="N986" s="70"/>
      <c r="P986" s="70"/>
    </row>
    <row r="987">
      <c r="A987" s="70"/>
      <c r="B987" s="70"/>
      <c r="J987" s="70"/>
      <c r="K987" s="70"/>
      <c r="L987" s="70"/>
      <c r="N987" s="70"/>
      <c r="P987" s="70"/>
    </row>
    <row r="988">
      <c r="A988" s="70"/>
      <c r="B988" s="70"/>
      <c r="J988" s="70"/>
      <c r="K988" s="70"/>
      <c r="L988" s="70"/>
      <c r="N988" s="70"/>
      <c r="P988" s="70"/>
    </row>
    <row r="989">
      <c r="A989" s="70"/>
      <c r="B989" s="70"/>
      <c r="J989" s="70"/>
      <c r="K989" s="70"/>
      <c r="L989" s="70"/>
      <c r="N989" s="70"/>
      <c r="P989" s="70"/>
    </row>
    <row r="990">
      <c r="A990" s="70"/>
      <c r="B990" s="70"/>
      <c r="J990" s="70"/>
      <c r="K990" s="70"/>
      <c r="L990" s="70"/>
      <c r="N990" s="70"/>
      <c r="P990" s="70"/>
    </row>
    <row r="991">
      <c r="A991" s="70"/>
      <c r="B991" s="70"/>
      <c r="J991" s="70"/>
      <c r="K991" s="70"/>
      <c r="L991" s="70"/>
      <c r="N991" s="70"/>
      <c r="P991" s="70"/>
    </row>
    <row r="992">
      <c r="A992" s="70"/>
      <c r="B992" s="70"/>
      <c r="J992" s="70"/>
      <c r="K992" s="70"/>
      <c r="L992" s="70"/>
      <c r="N992" s="70"/>
      <c r="P992" s="70"/>
    </row>
    <row r="993">
      <c r="A993" s="70"/>
      <c r="B993" s="70"/>
      <c r="J993" s="70"/>
      <c r="K993" s="70"/>
      <c r="L993" s="70"/>
      <c r="N993" s="70"/>
      <c r="P993" s="70"/>
    </row>
    <row r="994">
      <c r="A994" s="70"/>
      <c r="B994" s="70"/>
      <c r="J994" s="70"/>
      <c r="K994" s="70"/>
      <c r="L994" s="70"/>
      <c r="N994" s="70"/>
      <c r="P994" s="70"/>
    </row>
    <row r="995">
      <c r="A995" s="70"/>
      <c r="B995" s="70"/>
      <c r="J995" s="70"/>
      <c r="K995" s="70"/>
      <c r="L995" s="70"/>
      <c r="N995" s="70"/>
      <c r="P995" s="70"/>
    </row>
    <row r="996">
      <c r="A996" s="70"/>
      <c r="B996" s="70"/>
      <c r="J996" s="70"/>
      <c r="K996" s="70"/>
      <c r="L996" s="70"/>
      <c r="N996" s="70"/>
      <c r="P996" s="70"/>
    </row>
    <row r="997">
      <c r="A997" s="70"/>
      <c r="B997" s="70"/>
      <c r="J997" s="70"/>
      <c r="K997" s="70"/>
      <c r="L997" s="70"/>
      <c r="N997" s="70"/>
      <c r="P997" s="70"/>
    </row>
    <row r="998">
      <c r="A998" s="70"/>
      <c r="B998" s="70"/>
      <c r="J998" s="70"/>
      <c r="K998" s="70"/>
      <c r="L998" s="70"/>
      <c r="N998" s="70"/>
      <c r="P998" s="70"/>
    </row>
    <row r="999">
      <c r="A999" s="70"/>
      <c r="B999" s="70"/>
      <c r="J999" s="70"/>
      <c r="K999" s="70"/>
      <c r="L999" s="70"/>
      <c r="N999" s="70"/>
      <c r="P999" s="70"/>
    </row>
    <row r="1000">
      <c r="A1000" s="70"/>
      <c r="B1000" s="70"/>
      <c r="J1000" s="70"/>
      <c r="K1000" s="70"/>
      <c r="L1000" s="70"/>
      <c r="N1000" s="70"/>
      <c r="P1000" s="70"/>
    </row>
    <row r="1001">
      <c r="A1001" s="70"/>
      <c r="B1001" s="70"/>
      <c r="J1001" s="70"/>
      <c r="K1001" s="70"/>
      <c r="L1001" s="70"/>
      <c r="N1001" s="70"/>
      <c r="P1001" s="70"/>
    </row>
  </sheetData>
  <mergeCells count="2">
    <mergeCell ref="C1:D1"/>
    <mergeCell ref="F1:G1"/>
  </mergeCells>
  <drawing r:id="rId1"/>
</worksheet>
</file>