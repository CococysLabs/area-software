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Analisis Tecnologico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rE5sZPI6TngZ8dYA6I69ZR8Ek0scRc+mdo5bBQmKQPM="/>
    </ext>
  </extLst>
</workbook>
</file>

<file path=xl/sharedStrings.xml><?xml version="1.0" encoding="utf-8"?>
<sst xmlns="http://schemas.openxmlformats.org/spreadsheetml/2006/main" count="534" uniqueCount="259">
  <si>
    <t>Identificación de referentes internacionales</t>
  </si>
  <si>
    <t>Nombre del Curso</t>
  </si>
  <si>
    <t>780 - Software Avanzado</t>
  </si>
  <si>
    <t>Semestre que aplica</t>
  </si>
  <si>
    <t>Segundo Semestre 2026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</si>
  <si>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</si>
  <si>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</si>
  <si>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</si>
  <si>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Carnegie Mellon University (CMU)</t>
  </si>
  <si>
    <t>Pais</t>
  </si>
  <si>
    <t>Estados Unidos</t>
  </si>
  <si>
    <t>15-319 / 15-619: Cloud Computing</t>
  </si>
  <si>
    <t>Fuente de Información</t>
  </si>
  <si>
    <t>https://www.csd.cs.cmu.edu/course/15319/f25</t>
  </si>
  <si>
    <t>No.</t>
  </si>
  <si>
    <t>Contenido de la Universidad Referente</t>
  </si>
  <si>
    <t>Arquitectura de Cloud Computing y Modelos de Servicio (IaaS, PaaS, SaaS).</t>
  </si>
  <si>
    <t>Contenedores y orquestación de servicios (Docker y Kubernetes).</t>
  </si>
  <si>
    <t>Arquitectura de Microservicios y protocolos de comunicación inter-servicio (ej. gRPC, REST).</t>
  </si>
  <si>
    <t>Integración y Entrega Continua (Pipelines CI/CD).</t>
  </si>
  <si>
    <t>Gestión, replicación y despliegue de bases de datos distribuidas (SQL y NoSQL).</t>
  </si>
  <si>
    <t>Infraestructura como Código (IaC) y automatización de entornos.</t>
  </si>
  <si>
    <t>Elasticidad, balanceo de carga y autoescalado de aplicaciones.</t>
  </si>
  <si>
    <t>Seguridad en aplicaciones nativas de la nube y gestión de identidad/accesos.</t>
  </si>
  <si>
    <t>Tolerancia a fallos, estrategias de backup y alta disponibilidad.</t>
  </si>
  <si>
    <t>Monitoreo, logging y observabilidad en sistemas distribuidos.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</si>
  <si>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</si>
  <si>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</si>
  <si>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</si>
  <si>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IEEE Computer Society - SWEBOK V3.0 (Guide to the Software Engineering Body of Knowledge)</t>
  </si>
  <si>
    <t>Sección , Capitulo , etc,</t>
  </si>
  <si>
    <t>Capítulos 2, 3, 5, 7 y 10 (Diseño, Construcción, Mantenimiento, Gestión de la Configuración y Calidad).</t>
  </si>
  <si>
    <t>https://www.computer.org/education/bodies-of-knowledge/software-engineering</t>
  </si>
  <si>
    <t>Contenido del Estandar</t>
  </si>
  <si>
    <r>
      <rPr>
        <rFont val="Arial"/>
        <b/>
        <color theme="1"/>
      </rPr>
      <t xml:space="preserve">Diseño de Software: </t>
    </r>
    <r>
      <rPr>
        <rFont val="Arial"/>
        <b val="0"/>
        <color theme="1"/>
      </rPr>
      <t>Patrones de arquitectura para sistemas concurrentes, distribuidos y basados en eventos.</t>
    </r>
  </si>
  <si>
    <r>
      <rPr>
        <rFont val="Arial"/>
        <b/>
        <i/>
        <color theme="1"/>
      </rPr>
      <t xml:space="preserve">Construcción de Software: </t>
    </r>
    <r>
      <rPr>
        <rFont val="Arial"/>
        <b val="0"/>
        <i/>
        <color theme="1"/>
      </rPr>
      <t>Técnicas de codificación defensiva, uso de contenedores y herramientas de automatización de builds.</t>
    </r>
  </si>
  <si>
    <r>
      <rPr>
        <rFont val="Arial"/>
        <b/>
        <color theme="1"/>
      </rPr>
      <t xml:space="preserve">Pruebas de Software: </t>
    </r>
    <r>
      <rPr>
        <rFont val="Arial"/>
        <b val="0"/>
        <color theme="1"/>
      </rPr>
      <t>Automatización de pruebas a nivel de sistema, pruebas de integración continua y evaluación de rendimiento.</t>
    </r>
  </si>
  <si>
    <r>
      <rPr>
        <rFont val="Arial"/>
        <b/>
        <color theme="1"/>
      </rPr>
      <t xml:space="preserve">Mantenimiento de Software: </t>
    </r>
    <r>
      <rPr>
        <rFont val="Arial"/>
        <b val="0"/>
        <color theme="1"/>
      </rPr>
      <t>Estrategias de reingeniería, refactorización y despliegue de parches en entornos de alta disponibilidad.</t>
    </r>
  </si>
  <si>
    <r>
      <rPr>
        <rFont val="Arial"/>
        <b/>
        <i/>
        <color theme="1"/>
      </rPr>
      <t xml:space="preserve">Gestión de la Configuración (SCM): </t>
    </r>
    <r>
      <rPr>
        <rFont val="Arial"/>
        <b val="0"/>
        <i/>
        <color theme="1"/>
      </rPr>
      <t>Control de versiones, políticas de ramificación (branching) y gestión automatizada de releases (CI/CD).</t>
    </r>
  </si>
  <si>
    <r>
      <rPr>
        <rFont val="Arial"/>
        <b/>
        <color theme="1"/>
      </rPr>
      <t xml:space="preserve">Gestión de Ingeniería de Software: </t>
    </r>
    <r>
      <rPr>
        <rFont val="Arial"/>
        <b val="0"/>
        <color theme="1"/>
      </rPr>
      <t>Adaptación de metodologías ágiles y adopción de prácticas DevOps en el ciclo de vida del proyecto.</t>
    </r>
  </si>
  <si>
    <r>
      <rPr>
        <rFont val="Arial"/>
        <b/>
        <color theme="1"/>
      </rPr>
      <t xml:space="preserve">Proceso de Ingeniería de Software: </t>
    </r>
    <r>
      <rPr>
        <rFont val="Arial"/>
        <b val="0"/>
        <color theme="1"/>
      </rPr>
      <t>Definición, implementación y medición de procesos para la entrega continua de valor.</t>
    </r>
  </si>
  <si>
    <r>
      <rPr>
        <rFont val="Arial"/>
        <b/>
        <i/>
        <color theme="1"/>
      </rPr>
      <t xml:space="preserve">Calidad del Software: </t>
    </r>
    <r>
      <rPr>
        <rFont val="Arial"/>
        <b val="0"/>
        <i/>
        <color theme="1"/>
      </rPr>
      <t>Revisiones por pares, análisis estático de código y aseguramiento de calidad (QA) integrado en el pipeline.</t>
    </r>
  </si>
  <si>
    <r>
      <rPr>
        <rFont val="Arial"/>
        <b/>
        <color theme="1"/>
      </rPr>
      <t xml:space="preserve">Fundamentos de Computación: </t>
    </r>
    <r>
      <rPr>
        <rFont val="Arial"/>
        <b val="0"/>
        <color theme="1"/>
      </rPr>
      <t>Conceptos aplicados de redes, protocolos de comunicación, virtualización y sistemas operativos.</t>
    </r>
  </si>
  <si>
    <r>
      <rPr>
        <rFont val="Arial"/>
        <b/>
        <color theme="1"/>
      </rPr>
      <t xml:space="preserve">Herramientas de Ingeniería de Software: </t>
    </r>
    <r>
      <rPr>
        <rFont val="Arial"/>
        <b val="0"/>
        <color theme="1"/>
      </rPr>
      <t>Uso de plataformas en la nube, infraestructura como código (IaC) y herramientas de orquestación.</t>
    </r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</si>
  <si>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</si>
  <si>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</si>
  <si>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</si>
  <si>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</si>
  <si>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Kubernetes</t>
  </si>
  <si>
    <t>https://www.cncf.io/reports/</t>
  </si>
  <si>
    <t>Docker</t>
  </si>
  <si>
    <t>https://survey.stackoverflow.co/</t>
  </si>
  <si>
    <t>Terraform</t>
  </si>
  <si>
    <t>https://www.infoq.com/architecture-design/</t>
  </si>
  <si>
    <t>GitHub Actions</t>
  </si>
  <si>
    <t>https://octoverse.github.com/</t>
  </si>
  <si>
    <t>gRPC</t>
  </si>
  <si>
    <t>https://ieeexplore.ieee.org/</t>
  </si>
  <si>
    <t>Prometheus</t>
  </si>
  <si>
    <t>https://www.gartner.com/en/magic-quadrant</t>
  </si>
  <si>
    <t>Angular</t>
  </si>
  <si>
    <t>https://stateofjs.com/</t>
  </si>
  <si>
    <t>MongoDB</t>
  </si>
  <si>
    <t>https://db-engines.com/en/ranking_trend</t>
  </si>
  <si>
    <t>PostgreSQL</t>
  </si>
  <si>
    <t>Amazon Web Services (AWS)</t>
  </si>
  <si>
    <t>Comparación con referentes internacionales</t>
  </si>
  <si>
    <t>* Si el tema del curso no esta en el referente dejala la casilla en blanco</t>
  </si>
  <si>
    <t xml:space="preserve">**Este ejercicio de analisis de servira para mejorar el laboratorio para el siguiente semestre.   </t>
  </si>
  <si>
    <t>Universidad</t>
  </si>
  <si>
    <t>Estandar</t>
  </si>
  <si>
    <t>Laboratorio Actual ( Aqui van los temas impartidos en el presente semestre)</t>
  </si>
  <si>
    <t>Competencia</t>
  </si>
  <si>
    <t>Unidad</t>
  </si>
  <si>
    <t>Tema</t>
  </si>
  <si>
    <t>SubTema</t>
  </si>
  <si>
    <t>Contenido</t>
  </si>
  <si>
    <t xml:space="preserve">Planifica de forma tecnica , profunda y estrategica  el desarrollo de software  utilizando herramientas especializadas para el diseño y modelado de arquitecturas escalables y robustas.Aplica metodologías ágiles como Scrum o Kanban, combinadas con prácticas DevOps y diseño orientado a servicios (SOA o microservicios),  para asegurar una implementación óptima, continua y de alta calidad de los sistemas informáticos. </t>
  </si>
  <si>
    <t>Introducción a herramientas de frontend y backend</t>
  </si>
  <si>
    <t>Frontend: HTML, CSS, JavaScript</t>
  </si>
  <si>
    <t>Diseño de Software: Patrones de arquitectura para sistemas concurrentes, distribuidos y basados en eventos.</t>
  </si>
  <si>
    <t>Frameworks de frontend</t>
  </si>
  <si>
    <t>Backend: Node.js</t>
  </si>
  <si>
    <t xml:space="preserve"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t>
  </si>
  <si>
    <t>Bases de datos</t>
  </si>
  <si>
    <t>APIs REST</t>
  </si>
  <si>
    <t>Autenticación y autorización (OAuth, JWT)</t>
  </si>
  <si>
    <t>Session-based Auth y SAML</t>
  </si>
  <si>
    <t>Gestión de Ingeniería de Software: Adaptación de metodologías ágiles y adopción de prácticas DevOps en el ciclo de vida del proyecto.</t>
  </si>
  <si>
    <t>Metodología Ágil</t>
  </si>
  <si>
    <t>Principios de la metodología ágil</t>
  </si>
  <si>
    <t>Scrum vs. Kanban</t>
  </si>
  <si>
    <t>Roles en Scrum (Product Owner, Scrum Master, Development Team)</t>
  </si>
  <si>
    <t>Ceremonias de Scrum (Sprint Planning, Daily Standup, Sprint Review, Retrospective)</t>
  </si>
  <si>
    <t>Artefactos (Product Backlog, Sprint Backlog, Burndown charts)</t>
  </si>
  <si>
    <t>Historias de usuario y estimación ágil (Story Points)</t>
  </si>
  <si>
    <t xml:space="preserve">Otras metodologias Agiles </t>
  </si>
  <si>
    <t xml:space="preserve">Diseña  Diseña arquitecturas de software modulares y escalables, seleccionando tecnologías, patrones de diseño y estilos arquitectónicos adecuados  (como microservicios, cliente-servidor o arquitectura en capas), utilizando herramientas de modelado como UML, ArchiMate o Draw.io, para asegurar la sostenibilidad, mantenibilidad y evolución del sistema. </t>
  </si>
  <si>
    <t>Nubes (AWS, GCE, Azure)</t>
  </si>
  <si>
    <t>Computación en la nube: Modelos de servicio (IaaS, PaaS, SaaS)</t>
  </si>
  <si>
    <t>Herramientas de Ingeniería de Software: Uso de plataformas en la nube, infraestructura como código (IaC) y herramientas de orquestación.</t>
  </si>
  <si>
    <t xml:space="preserve">Integra componentes, servicios y tecnologías de software mediante  el uso de APIs, servicios web y herramientas de integración continua, asegurando la interoperabilidad, cohesión funcional y eficiencia en la entrega de soluciones informáticas. </t>
  </si>
  <si>
    <t>Introducción a AWS (EC2, S3, RDS, Lambda)</t>
  </si>
  <si>
    <t>Introducción a GCP (Compute Engine, Cloud Storage, Cloud Functions)</t>
  </si>
  <si>
    <t>Introducción a Azure (Virtual Machines, Blob Storage, App Services)</t>
  </si>
  <si>
    <t>Costos y escalabilidad en la nube</t>
  </si>
  <si>
    <t>Configuración de entornos de desarrollo en la nube</t>
  </si>
  <si>
    <t>Despliegue de aplicaciones en la nube</t>
  </si>
  <si>
    <t>Conceptos básicos de contenedores</t>
  </si>
  <si>
    <t>Construcción de Software: Técnicas de codificación defensiva, uso de contenedores y herramientas de automatización de builds.</t>
  </si>
  <si>
    <t>Instalación de Docker</t>
  </si>
  <si>
    <t>Imágenes y contenedores</t>
  </si>
  <si>
    <t>Dockerfile y construcción de imágenes personalizadas</t>
  </si>
  <si>
    <t>Volúmenes y redes en Docker</t>
  </si>
  <si>
    <t>Docker Compose para gestión de múltiples contenedores</t>
  </si>
  <si>
    <t>Registro de imágenes (DockerHub, ECR, GCR)</t>
  </si>
  <si>
    <t xml:space="preserve">Define de manera estratégica y técnica los lineamientos, estándares y buenas prácticas para el desarrollo de software, considerando los requerimientos del negocio, la arquitectura del sistema y las metodologías ágiles,  on el fin de garantizar soluciones eficientes, escalables y alineadas a los objetivos organizacionales. </t>
  </si>
  <si>
    <t>Microservicios</t>
  </si>
  <si>
    <t>Introducción a la arquitectura de microservicios</t>
  </si>
  <si>
    <t>Comparación entre monolitos y microservicios</t>
  </si>
  <si>
    <t>Diseño de microservicios (Principios SOLID)</t>
  </si>
  <si>
    <t>Comunicación entre microservicios (HTTP, gRPC, eventos)</t>
  </si>
  <si>
    <t>Patrones de diseño en microservicios (Saga, Circuit Breaker)</t>
  </si>
  <si>
    <t>Implementación de APIs RESTful con microservicios</t>
  </si>
  <si>
    <t>Despliegue de microservicios con Docker</t>
  </si>
  <si>
    <t>Conceptos básicos de Kubernetes</t>
  </si>
  <si>
    <t>Instalación de Kubernetes (Minikube, K3s, Kubernetes en la nube)</t>
  </si>
  <si>
    <t>Pods, Servicios y Deployments</t>
  </si>
  <si>
    <t>ConfigMaps y Secrets</t>
  </si>
  <si>
    <t>Gestión de almacenamiento en Kubernetes (Persistent Volumes)</t>
  </si>
  <si>
    <t xml:space="preserve">Mejora Mejora continuamente el rendimiento, la seguridad y la mantenibilidad de sistemas de software existentes, mediante el análisis de métricas, refactorización de código,   aplicación de principios SOLID y adopción de herramientas de monitoreo y automatización, asegurando soluciones más eficientes  y alineadas con los estándares de calidad del sector.
 </t>
  </si>
  <si>
    <t>Introducción a DevOps</t>
  </si>
  <si>
    <t>Qué es DevOps y por qué es importante</t>
  </si>
  <si>
    <t>Gestión de la Configuración (SCM): Control de versiones, políticas de ramificación (branching) y gestión automatizada de releases (CI/CD).</t>
  </si>
  <si>
    <t>Cultura DevOps (colaboración y automatización)</t>
  </si>
  <si>
    <t>Ciclo de vida de DevOps</t>
  </si>
  <si>
    <t>Principales herramientas DevOps</t>
  </si>
  <si>
    <t>DevOps vs. otros enfoques de desarrollo (Agile, Waterfall)</t>
  </si>
  <si>
    <t>DevOps: Planificación y Codificación</t>
  </si>
  <si>
    <t>Gestión de versiones con Git y GitFlow</t>
  </si>
  <si>
    <t>Backlog de producto y planificación ágil</t>
  </si>
  <si>
    <t>Pipeline de desarrollo: Continuous Integration (CI)</t>
  </si>
  <si>
    <t>Automatización de builds con Jenkins/Travis/GitLab CI</t>
  </si>
  <si>
    <t>Automatización de dependencias (npm, pip, Maven)</t>
  </si>
  <si>
    <t>DevOps: Building &amp; Testing</t>
  </si>
  <si>
    <t>Conceptos de CI/CD</t>
  </si>
  <si>
    <t>Pipelines CI/CD y Automatización de despliegues</t>
  </si>
  <si>
    <t>Gestión de versiones, release tagging y Principales herramientas CI/CD (Jenkins, CircleCI, GitLab CI)</t>
  </si>
  <si>
    <t>Compilación automatizada de aplicaciones</t>
  </si>
  <si>
    <t>Creación de artefactos de compilación (paquetes, binarios, imágenes) y Almacenamiento de artefactos (Artefactory, Nexus)</t>
  </si>
  <si>
    <t>Tipos de pruebas en DevOps (unitarias, integración, end-to-end), Pruebas de carga y rendimiento (JMeter, Gatling)</t>
  </si>
  <si>
    <t>Automatización de pruebas con frameworks (JUnit, Mocha, Jest) e Integración de pruebas unitarias en el pipeline de construcción</t>
  </si>
  <si>
    <t>DevOps: Release &amp; Deploy</t>
  </si>
  <si>
    <t>Automatización de despliegues</t>
  </si>
  <si>
    <t>Mantenimiento de Software: Estrategias de reingeniería, refactorización y despliegue de parches en entornos de alta disponibilidad.</t>
  </si>
  <si>
    <t>Estrategias de despliegue (Blue-Green, Canary, Rolling Updates)</t>
  </si>
  <si>
    <t>Despliegues seguros y reversión</t>
  </si>
  <si>
    <t>Despliegue en entornos de producción (AWS, Azure, GCP)</t>
  </si>
  <si>
    <t>Infraestructura como código (Terraform, Ansible)</t>
  </si>
  <si>
    <t>DevOps: Operate &amp; Monitor</t>
  </si>
  <si>
    <t>Principales herramientas de monitoreo (Prometheus, Grafana, ELK Stack)</t>
  </si>
  <si>
    <t>Calidad del Software: Revisiones por pares, análisis estático de código y aseguramiento de calidad (QA) integrado en el pipeline.</t>
  </si>
  <si>
    <t>Alertas y métricas (Alertmanager, Grafana)</t>
  </si>
  <si>
    <t>Centralización de logs</t>
  </si>
  <si>
    <t>Monitoreo de aplicaciones en la nube</t>
  </si>
  <si>
    <t>Tracing distribuido (Jaeger, OpenTelemetry)</t>
  </si>
  <si>
    <t>Logging en contenedores y microservicios</t>
  </si>
  <si>
    <t>Tecnologias y/o Herramientas actuales en el laboratorio</t>
  </si>
  <si>
    <t>Tecnologias y/o herramientas en Tendencia</t>
  </si>
  <si>
    <t>K3S</t>
  </si>
  <si>
    <t>Ansible</t>
  </si>
  <si>
    <t>Jenkins / GitLab CI</t>
  </si>
  <si>
    <t>REST / gRPC</t>
  </si>
  <si>
    <t>Grafana</t>
  </si>
  <si>
    <t>Vue.js / React</t>
  </si>
  <si>
    <t>Bases de datos NoSQL</t>
  </si>
  <si>
    <t>Bases de datos SQL</t>
  </si>
  <si>
    <t>GCP / Azure</t>
  </si>
  <si>
    <t>Consulta con el catedratico de los hallazgos y si debes hacer algun cambio en tecnologias y/o herramientas para el proximo semestre</t>
  </si>
  <si>
    <t>Codigo-Nombre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</si>
  <si>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</si>
  <si>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</si>
  <si>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</si>
  <si>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</si>
  <si>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</si>
  <si>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</si>
  <si>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</si>
  <si>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</si>
  <si>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</si>
  <si>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</si>
  <si>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</si>
  <si>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</si>
  <si>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</si>
  <si>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</si>
  <si>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</si>
  <si>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</si>
  <si>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</si>
  <si>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</si>
  <si>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</si>
  <si>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</si>
  <si>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</si>
  <si>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</si>
  <si>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</si>
  <si>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</si>
  <si>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</si>
  <si>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</si>
  <si>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</si>
  <si>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</si>
  <si>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</si>
  <si>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</si>
  <si>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</si>
  <si>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</si>
  <si>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</si>
  <si>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</si>
  <si>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</si>
  <si>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</si>
  <si>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</si>
  <si>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</si>
  <si>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</si>
  <si>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</si>
  <si>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</si>
  <si>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</si>
  <si>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</si>
  <si>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</si>
  <si>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</si>
  <si>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</si>
  <si>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</si>
  <si>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</si>
  <si>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</si>
  <si>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</si>
  <si>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</si>
  <si>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</si>
  <si>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</si>
  <si>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</si>
  <si>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</si>
  <si>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</si>
  <si>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</si>
  <si>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</si>
  <si>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</si>
  <si>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</si>
  <si>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</si>
  <si>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</si>
  <si>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</si>
  <si>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</si>
  <si>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</si>
  <si>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</si>
  <si>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</si>
  <si>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</si>
  <si>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</si>
  <si>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</si>
  <si>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</si>
  <si>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</si>
  <si>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</si>
  <si>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</si>
  <si>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</si>
  <si>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</si>
  <si>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>667 - Programacion Comercial 1</t>
  </si>
  <si>
    <t>768 - Algoritmos</t>
  </si>
  <si>
    <t>0089 - Comunicación Asertiva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</si>
</sst>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b/>
      <sz val="12.0"/>
      <color rgb="FF4285F4"/>
      <name val="Arial"/>
    </font>
    <font>
      <color rgb="FF999999"/>
      <name val="Arial"/>
    </font>
    <font>
      <color theme="1"/>
      <name val="Arial"/>
      <scheme val="minor"/>
    </font>
    <font>
      <u/>
      <color rgb="FF0000FF"/>
      <name val="Arial"/>
    </font>
    <font>
      <b/>
      <color theme="1"/>
      <name val="Arial"/>
    </font>
    <font>
      <u/>
      <color rgb="FF1155CC"/>
      <name val="Arial"/>
    </font>
    <font>
      <b/>
      <color theme="1"/>
      <name val="Arial"/>
      <scheme val="minor"/>
    </font>
    <font>
      <b/>
      <i/>
      <color theme="1"/>
      <name val="Arial"/>
      <scheme val="minor"/>
    </font>
    <font>
      <color rgb="FFB7B7B7"/>
      <name val="Arial"/>
    </font>
    <font>
      <u/>
      <color rgb="FF0000FF"/>
    </font>
    <font>
      <u/>
      <color theme="4"/>
      <name val="Arial"/>
    </font>
    <font>
      <u/>
      <color rgb="FF4285F4"/>
      <name val="Arial"/>
    </font>
    <font>
      <color rgb="FFFFFFFF"/>
      <name val="Arial"/>
    </font>
    <font>
      <color rgb="FFCCCCCC"/>
      <name val="Arial"/>
    </font>
    <font>
      <b/>
      <color rgb="FF4A86E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readingOrder="0"/>
    </xf>
    <xf borderId="2" fillId="0" fontId="8" numFmtId="0" xfId="0" applyAlignment="1" applyBorder="1" applyFont="1">
      <alignment readingOrder="0" vertical="bottom"/>
    </xf>
    <xf borderId="2" fillId="2" fontId="9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5" fillId="0" fontId="7" numFmtId="0" xfId="0" applyAlignment="1" applyBorder="1" applyFont="1">
      <alignment readingOrder="0"/>
    </xf>
    <xf borderId="5" fillId="0" fontId="4" numFmtId="0" xfId="0" applyBorder="1" applyFont="1"/>
    <xf borderId="6" fillId="0" fontId="4" numFmtId="0" xfId="0" applyBorder="1" applyFont="1"/>
    <xf borderId="1" fillId="0" fontId="1" numFmtId="0" xfId="0" applyAlignment="1" applyBorder="1" applyFont="1">
      <alignment vertical="bottom"/>
    </xf>
    <xf borderId="0" fillId="0" fontId="7" numFmtId="0" xfId="0" applyFont="1"/>
    <xf borderId="2" fillId="0" fontId="7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readingOrder="0" shrinkToFit="0" vertical="bottom" wrapText="1"/>
    </xf>
    <xf borderId="2" fillId="0" fontId="10" numFmtId="0" xfId="0" applyAlignment="1" applyBorder="1" applyFont="1">
      <alignment readingOrder="0" vertical="bottom"/>
    </xf>
    <xf borderId="5" fillId="0" fontId="11" numFmtId="0" xfId="0" applyAlignment="1" applyBorder="1" applyFont="1">
      <alignment readingOrder="0" shrinkToFit="0" wrapText="1"/>
    </xf>
    <xf borderId="5" fillId="0" fontId="12" numFmtId="0" xfId="0" applyAlignment="1" applyBorder="1" applyFont="1">
      <alignment readingOrder="0" shrinkToFit="0" wrapText="1"/>
    </xf>
    <xf borderId="0" fillId="0" fontId="13" numFmtId="0" xfId="0" applyFont="1"/>
    <xf borderId="1" fillId="2" fontId="1" numFmtId="0" xfId="0" applyBorder="1" applyFont="1"/>
    <xf borderId="1" fillId="0" fontId="14" numFmtId="0" xfId="0" applyAlignment="1" applyBorder="1" applyFont="1">
      <alignment readingOrder="0" shrinkToFit="0" wrapText="1"/>
    </xf>
    <xf borderId="1" fillId="0" fontId="15" numFmtId="0" xfId="0" applyAlignment="1" applyBorder="1" applyFont="1">
      <alignment readingOrder="0" shrinkToFit="0" wrapText="1"/>
    </xf>
    <xf borderId="1" fillId="0" fontId="16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horizontal="center" shrinkToFit="0" vertical="bottom" wrapText="1"/>
    </xf>
    <xf borderId="8" fillId="0" fontId="4" numFmtId="0" xfId="0" applyBorder="1" applyFont="1"/>
    <xf borderId="9" fillId="0" fontId="4" numFmtId="0" xfId="0" applyBorder="1" applyFont="1"/>
    <xf borderId="0" fillId="0" fontId="17" numFmtId="0" xfId="0" applyAlignment="1" applyFont="1">
      <alignment vertical="bottom"/>
    </xf>
    <xf borderId="2" fillId="0" fontId="1" numFmtId="0" xfId="0" applyAlignment="1" applyBorder="1" applyFont="1">
      <alignment shrinkToFit="0" vertical="bottom" wrapText="1"/>
    </xf>
    <xf borderId="0" fillId="0" fontId="18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4" fontId="1" numFmtId="0" xfId="0" applyAlignment="1" applyFill="1" applyFont="1">
      <alignment shrinkToFit="0" wrapText="1"/>
    </xf>
    <xf borderId="0" fillId="4" fontId="1" numFmtId="0" xfId="0" applyFont="1"/>
    <xf borderId="2" fillId="0" fontId="1" numFmtId="0" xfId="0" applyAlignment="1" applyBorder="1" applyFont="1">
      <alignment readingOrder="0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urvey.stackoverflow.co/" TargetMode="External"/><Relationship Id="rId10" Type="http://schemas.openxmlformats.org/officeDocument/2006/relationships/hyperlink" Target="https://db-engines.com/en/ranking_trend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google.com/search?q=https://www.gartner.com/en/magic-quadrant" TargetMode="External"/><Relationship Id="rId1" Type="http://schemas.openxmlformats.org/officeDocument/2006/relationships/hyperlink" Target="https://www.google.com/search?q=https://cloudcomputing.cs.cmu.edu/" TargetMode="External"/><Relationship Id="rId2" Type="http://schemas.openxmlformats.org/officeDocument/2006/relationships/hyperlink" Target="https://www.computer.org/education/bodies-of-knowledge/software-engineering" TargetMode="External"/><Relationship Id="rId3" Type="http://schemas.openxmlformats.org/officeDocument/2006/relationships/hyperlink" Target="https://www.cncf.io/reports/" TargetMode="External"/><Relationship Id="rId4" Type="http://schemas.openxmlformats.org/officeDocument/2006/relationships/hyperlink" Target="https://survey.stackoverflow.co/" TargetMode="External"/><Relationship Id="rId9" Type="http://schemas.openxmlformats.org/officeDocument/2006/relationships/hyperlink" Target="https://stateofjs.com/" TargetMode="External"/><Relationship Id="rId5" Type="http://schemas.openxmlformats.org/officeDocument/2006/relationships/hyperlink" Target="https://www.infoq.com/architecture-design/" TargetMode="External"/><Relationship Id="rId6" Type="http://schemas.openxmlformats.org/officeDocument/2006/relationships/hyperlink" Target="https://octoverse.github.com/" TargetMode="External"/><Relationship Id="rId7" Type="http://schemas.openxmlformats.org/officeDocument/2006/relationships/hyperlink" Target="https://www.google.com/search?q=https://ieeexplore.ieee.org/" TargetMode="External"/><Relationship Id="rId8" Type="http://schemas.openxmlformats.org/officeDocument/2006/relationships/hyperlink" Target="https://www.google.com/search?q=https://www.gartner.com/en/magic-quadran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2.88"/>
    <col customWidth="1" min="7" max="7" width="21.0"/>
    <col customWidth="1" min="8" max="8" width="26.38"/>
  </cols>
  <sheetData>
    <row r="1" ht="15.75" customHeight="1">
      <c r="A1" s="1"/>
      <c r="B1" s="2" t="s">
        <v>0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3" t="s">
        <v>1</v>
      </c>
      <c r="C3" s="4" t="s">
        <v>2</v>
      </c>
      <c r="D3" s="5"/>
      <c r="E3" s="5"/>
      <c r="F3" s="5"/>
      <c r="G3" s="6"/>
    </row>
    <row r="4" ht="15.75" customHeight="1">
      <c r="A4" s="1"/>
      <c r="B4" s="3" t="s">
        <v>3</v>
      </c>
      <c r="C4" s="7" t="s">
        <v>4</v>
      </c>
      <c r="D4" s="5"/>
      <c r="E4" s="5"/>
      <c r="F4" s="5"/>
      <c r="G4" s="6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8" t="s">
        <v>5</v>
      </c>
      <c r="C6" s="1"/>
      <c r="D6" s="1"/>
      <c r="E6" s="1"/>
      <c r="F6" s="1"/>
      <c r="G6" s="1"/>
    </row>
    <row r="7">
      <c r="A7" s="1"/>
      <c r="B7" s="9" t="s">
        <v>6</v>
      </c>
    </row>
    <row r="8" ht="15.75" customHeight="1">
      <c r="A8" s="1"/>
      <c r="B8" s="1"/>
      <c r="C8" s="1"/>
      <c r="D8" s="1"/>
      <c r="E8" s="1"/>
      <c r="F8" s="1"/>
      <c r="G8" s="1"/>
    </row>
    <row r="9" ht="28.5" customHeight="1">
      <c r="A9" s="1"/>
      <c r="B9" s="10" t="s">
        <v>7</v>
      </c>
      <c r="C9" s="11" t="s">
        <v>8</v>
      </c>
      <c r="D9" s="5"/>
      <c r="E9" s="5"/>
      <c r="F9" s="5"/>
      <c r="G9" s="6"/>
    </row>
    <row r="10" ht="15.75" customHeight="1">
      <c r="A10" s="1"/>
      <c r="B10" s="10" t="s">
        <v>9</v>
      </c>
      <c r="C10" s="11" t="s">
        <v>10</v>
      </c>
      <c r="D10" s="5"/>
      <c r="E10" s="5"/>
      <c r="F10" s="5"/>
      <c r="G10" s="6"/>
    </row>
    <row r="11" ht="30.75" customHeight="1">
      <c r="A11" s="1"/>
      <c r="B11" s="10" t="s">
        <v>1</v>
      </c>
      <c r="C11" s="11" t="s">
        <v>11</v>
      </c>
      <c r="D11" s="5"/>
      <c r="E11" s="5"/>
      <c r="F11" s="5"/>
      <c r="G11" s="6"/>
    </row>
    <row r="12" ht="31.5" customHeight="1">
      <c r="A12" s="1"/>
      <c r="B12" s="10" t="s">
        <v>12</v>
      </c>
      <c r="C12" s="12" t="s">
        <v>13</v>
      </c>
      <c r="D12" s="5"/>
      <c r="E12" s="5"/>
      <c r="F12" s="5"/>
      <c r="G12" s="6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13" t="s">
        <v>14</v>
      </c>
      <c r="C14" s="13" t="s">
        <v>15</v>
      </c>
      <c r="D14" s="5"/>
      <c r="E14" s="5"/>
      <c r="F14" s="5"/>
      <c r="G14" s="6"/>
    </row>
    <row r="15" ht="15.75" customHeight="1">
      <c r="A15" s="1"/>
      <c r="B15" s="14">
        <v>1.0</v>
      </c>
      <c r="C15" s="15" t="s">
        <v>16</v>
      </c>
      <c r="D15" s="16"/>
      <c r="E15" s="16"/>
      <c r="F15" s="16"/>
      <c r="G15" s="17"/>
    </row>
    <row r="16" ht="15.75" customHeight="1">
      <c r="A16" s="1"/>
      <c r="B16" s="14">
        <v>2.0</v>
      </c>
      <c r="C16" s="15" t="s">
        <v>17</v>
      </c>
      <c r="D16" s="16"/>
      <c r="E16" s="16"/>
      <c r="F16" s="16"/>
      <c r="G16" s="17"/>
    </row>
    <row r="17" ht="15.75" customHeight="1">
      <c r="A17" s="1"/>
      <c r="B17" s="18">
        <v>3.0</v>
      </c>
      <c r="C17" s="15" t="s">
        <v>18</v>
      </c>
      <c r="D17" s="16"/>
      <c r="E17" s="16"/>
      <c r="F17" s="16"/>
      <c r="G17" s="17"/>
    </row>
    <row r="18" ht="15.75" customHeight="1">
      <c r="A18" s="1"/>
      <c r="B18" s="18">
        <v>4.0</v>
      </c>
      <c r="C18" s="15" t="s">
        <v>19</v>
      </c>
      <c r="D18" s="16"/>
      <c r="E18" s="16"/>
      <c r="F18" s="16"/>
      <c r="G18" s="17"/>
    </row>
    <row r="19" ht="15.75" customHeight="1">
      <c r="A19" s="1"/>
      <c r="B19" s="18">
        <v>5.0</v>
      </c>
      <c r="C19" s="15" t="s">
        <v>20</v>
      </c>
      <c r="D19" s="16"/>
      <c r="E19" s="16"/>
      <c r="F19" s="16"/>
      <c r="G19" s="17"/>
    </row>
    <row r="20" ht="15.75" customHeight="1">
      <c r="A20" s="1"/>
      <c r="B20" s="18">
        <v>6.0</v>
      </c>
      <c r="C20" s="15" t="s">
        <v>21</v>
      </c>
      <c r="D20" s="16"/>
      <c r="E20" s="16"/>
      <c r="F20" s="16"/>
      <c r="G20" s="17"/>
    </row>
    <row r="21" ht="15.75" customHeight="1">
      <c r="A21" s="1"/>
      <c r="B21" s="18">
        <v>7.0</v>
      </c>
      <c r="C21" s="15" t="s">
        <v>22</v>
      </c>
      <c r="D21" s="16"/>
      <c r="E21" s="16"/>
      <c r="F21" s="16"/>
      <c r="G21" s="17"/>
    </row>
    <row r="22" ht="15.75" customHeight="1">
      <c r="A22" s="1"/>
      <c r="B22" s="18">
        <v>8.0</v>
      </c>
      <c r="C22" s="15" t="s">
        <v>23</v>
      </c>
      <c r="D22" s="16"/>
      <c r="E22" s="16"/>
      <c r="F22" s="16"/>
      <c r="G22" s="17"/>
    </row>
    <row r="23" ht="15.75" customHeight="1">
      <c r="A23" s="1"/>
      <c r="B23" s="18">
        <v>9.0</v>
      </c>
      <c r="C23" s="15" t="s">
        <v>24</v>
      </c>
      <c r="D23" s="16"/>
      <c r="E23" s="16"/>
      <c r="F23" s="16"/>
      <c r="G23" s="17"/>
    </row>
    <row r="24" ht="15.75" customHeight="1">
      <c r="A24" s="1"/>
      <c r="B24" s="18">
        <v>10.0</v>
      </c>
      <c r="C24" s="15" t="s">
        <v>25</v>
      </c>
      <c r="D24" s="16"/>
      <c r="E24" s="16"/>
      <c r="F24" s="16"/>
      <c r="G24" s="17"/>
    </row>
    <row r="25" ht="15.75" customHeight="1">
      <c r="A25" s="1"/>
      <c r="B25" s="1"/>
      <c r="C25" s="19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8" t="s">
        <v>26</v>
      </c>
      <c r="C27" s="1"/>
      <c r="D27" s="1"/>
      <c r="E27" s="1"/>
      <c r="F27" s="1"/>
      <c r="G27" s="1"/>
    </row>
    <row r="28" ht="15.75" customHeight="1">
      <c r="A28" s="1"/>
      <c r="B28" s="9" t="s">
        <v>27</v>
      </c>
    </row>
    <row r="29" ht="15.75" customHeight="1">
      <c r="A29" s="1"/>
      <c r="B29" s="1"/>
      <c r="C29" s="1"/>
      <c r="D29" s="1"/>
      <c r="E29" s="1"/>
      <c r="F29" s="1"/>
      <c r="G29" s="1"/>
    </row>
    <row r="30" ht="27.0" customHeight="1">
      <c r="A30" s="1"/>
      <c r="B30" s="10" t="s">
        <v>28</v>
      </c>
      <c r="C30" s="20" t="s">
        <v>29</v>
      </c>
      <c r="D30" s="5"/>
      <c r="E30" s="5"/>
      <c r="F30" s="5"/>
      <c r="G30" s="6"/>
    </row>
    <row r="31" ht="28.5" customHeight="1">
      <c r="A31" s="1"/>
      <c r="B31" s="10" t="s">
        <v>30</v>
      </c>
      <c r="C31" s="21" t="s">
        <v>31</v>
      </c>
      <c r="D31" s="16"/>
      <c r="E31" s="16"/>
      <c r="F31" s="16"/>
      <c r="G31" s="17"/>
    </row>
    <row r="32" ht="27.75" customHeight="1">
      <c r="A32" s="1"/>
      <c r="B32" s="22" t="s">
        <v>12</v>
      </c>
      <c r="C32" s="23" t="s">
        <v>32</v>
      </c>
      <c r="D32" s="5"/>
      <c r="E32" s="5"/>
      <c r="F32" s="5"/>
      <c r="G32" s="6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B34" s="13" t="s">
        <v>14</v>
      </c>
      <c r="C34" s="13" t="s">
        <v>33</v>
      </c>
      <c r="D34" s="5"/>
      <c r="E34" s="5"/>
      <c r="F34" s="5"/>
      <c r="G34" s="6"/>
    </row>
    <row r="35">
      <c r="B35" s="14">
        <v>1.0</v>
      </c>
      <c r="C35" s="24" t="s">
        <v>34</v>
      </c>
      <c r="D35" s="16"/>
      <c r="E35" s="16"/>
      <c r="F35" s="16"/>
      <c r="G35" s="17"/>
    </row>
    <row r="36">
      <c r="B36" s="14">
        <v>2.0</v>
      </c>
      <c r="C36" s="25" t="s">
        <v>35</v>
      </c>
      <c r="D36" s="16"/>
      <c r="E36" s="16"/>
      <c r="F36" s="16"/>
      <c r="G36" s="17"/>
    </row>
    <row r="37">
      <c r="B37" s="18">
        <v>3.0</v>
      </c>
      <c r="C37" s="24" t="s">
        <v>36</v>
      </c>
      <c r="D37" s="16"/>
      <c r="E37" s="16"/>
      <c r="F37" s="16"/>
      <c r="G37" s="17"/>
    </row>
    <row r="38">
      <c r="B38" s="18">
        <v>4.0</v>
      </c>
      <c r="C38" s="24" t="s">
        <v>37</v>
      </c>
      <c r="D38" s="16"/>
      <c r="E38" s="16"/>
      <c r="F38" s="16"/>
      <c r="G38" s="17"/>
    </row>
    <row r="39">
      <c r="B39" s="18">
        <v>5.0</v>
      </c>
      <c r="C39" s="25" t="s">
        <v>38</v>
      </c>
      <c r="D39" s="16"/>
      <c r="E39" s="16"/>
      <c r="F39" s="16"/>
      <c r="G39" s="17"/>
    </row>
    <row r="40">
      <c r="B40" s="18">
        <v>6.0</v>
      </c>
      <c r="C40" s="24" t="s">
        <v>39</v>
      </c>
      <c r="D40" s="16"/>
      <c r="E40" s="16"/>
      <c r="F40" s="16"/>
      <c r="G40" s="17"/>
    </row>
    <row r="41">
      <c r="B41" s="18">
        <v>7.0</v>
      </c>
      <c r="C41" s="24" t="s">
        <v>40</v>
      </c>
      <c r="D41" s="16"/>
      <c r="E41" s="16"/>
      <c r="F41" s="16"/>
      <c r="G41" s="17"/>
    </row>
    <row r="42">
      <c r="B42" s="18">
        <v>8.0</v>
      </c>
      <c r="C42" s="25" t="s">
        <v>41</v>
      </c>
      <c r="D42" s="16"/>
      <c r="E42" s="16"/>
      <c r="F42" s="16"/>
      <c r="G42" s="17"/>
    </row>
    <row r="43">
      <c r="B43" s="18">
        <v>9.0</v>
      </c>
      <c r="C43" s="24" t="s">
        <v>42</v>
      </c>
      <c r="D43" s="16"/>
      <c r="E43" s="16"/>
      <c r="F43" s="16"/>
      <c r="G43" s="17"/>
    </row>
    <row r="44">
      <c r="B44" s="18">
        <v>10.0</v>
      </c>
      <c r="C44" s="24" t="s">
        <v>43</v>
      </c>
      <c r="D44" s="16"/>
      <c r="E44" s="16"/>
      <c r="F44" s="16"/>
      <c r="G44" s="17"/>
    </row>
    <row r="45" ht="15.75" customHeight="1"/>
    <row r="46" ht="15.75" customHeight="1"/>
    <row r="47" ht="15.75" customHeight="1">
      <c r="B47" s="8" t="s">
        <v>44</v>
      </c>
    </row>
    <row r="48" ht="15.75" customHeight="1">
      <c r="B48" s="26" t="s">
        <v>45</v>
      </c>
    </row>
    <row r="49" ht="15.75" customHeight="1">
      <c r="B49" s="13" t="s">
        <v>14</v>
      </c>
      <c r="C49" s="13" t="s">
        <v>46</v>
      </c>
      <c r="D49" s="5"/>
      <c r="E49" s="5"/>
      <c r="F49" s="5"/>
      <c r="G49" s="6"/>
      <c r="H49" s="27" t="s">
        <v>47</v>
      </c>
    </row>
    <row r="50" ht="15.75" customHeight="1">
      <c r="B50" s="14">
        <v>1.0</v>
      </c>
      <c r="C50" s="15" t="s">
        <v>48</v>
      </c>
      <c r="D50" s="16"/>
      <c r="E50" s="16"/>
      <c r="F50" s="16"/>
      <c r="G50" s="17"/>
      <c r="H50" s="28" t="s">
        <v>49</v>
      </c>
    </row>
    <row r="51" ht="15.75" customHeight="1">
      <c r="B51" s="14">
        <v>2.0</v>
      </c>
      <c r="C51" s="15" t="s">
        <v>50</v>
      </c>
      <c r="D51" s="16"/>
      <c r="E51" s="16"/>
      <c r="F51" s="16"/>
      <c r="G51" s="17"/>
      <c r="H51" s="29" t="s">
        <v>51</v>
      </c>
    </row>
    <row r="52" ht="15.75" customHeight="1">
      <c r="B52" s="18">
        <v>3.0</v>
      </c>
      <c r="C52" s="15" t="s">
        <v>52</v>
      </c>
      <c r="D52" s="16"/>
      <c r="E52" s="16"/>
      <c r="F52" s="16"/>
      <c r="G52" s="17"/>
      <c r="H52" s="29" t="s">
        <v>53</v>
      </c>
    </row>
    <row r="53" ht="15.75" customHeight="1">
      <c r="B53" s="18">
        <v>4.0</v>
      </c>
      <c r="C53" s="15" t="s">
        <v>54</v>
      </c>
      <c r="D53" s="16"/>
      <c r="E53" s="16"/>
      <c r="F53" s="16"/>
      <c r="G53" s="17"/>
      <c r="H53" s="28" t="s">
        <v>55</v>
      </c>
    </row>
    <row r="54" ht="15.75" customHeight="1">
      <c r="B54" s="18">
        <v>5.0</v>
      </c>
      <c r="C54" s="15" t="s">
        <v>56</v>
      </c>
      <c r="D54" s="16"/>
      <c r="E54" s="16"/>
      <c r="F54" s="16"/>
      <c r="G54" s="17"/>
      <c r="H54" s="30" t="s">
        <v>57</v>
      </c>
    </row>
    <row r="55" ht="15.75" customHeight="1">
      <c r="B55" s="18">
        <v>6.0</v>
      </c>
      <c r="C55" s="15" t="s">
        <v>58</v>
      </c>
      <c r="D55" s="16"/>
      <c r="E55" s="16"/>
      <c r="F55" s="16"/>
      <c r="G55" s="17"/>
      <c r="H55" s="30" t="s">
        <v>59</v>
      </c>
    </row>
    <row r="56" ht="15.75" customHeight="1">
      <c r="B56" s="18">
        <v>7.0</v>
      </c>
      <c r="C56" s="15" t="s">
        <v>60</v>
      </c>
      <c r="D56" s="16"/>
      <c r="E56" s="16"/>
      <c r="F56" s="16"/>
      <c r="G56" s="17"/>
      <c r="H56" s="28" t="s">
        <v>61</v>
      </c>
    </row>
    <row r="57" ht="15.75" customHeight="1">
      <c r="B57" s="18">
        <v>8.0</v>
      </c>
      <c r="C57" s="15" t="s">
        <v>62</v>
      </c>
      <c r="D57" s="16"/>
      <c r="E57" s="16"/>
      <c r="F57" s="16"/>
      <c r="G57" s="17"/>
      <c r="H57" s="29" t="s">
        <v>63</v>
      </c>
    </row>
    <row r="58" ht="15.75" customHeight="1">
      <c r="B58" s="18">
        <v>9.0</v>
      </c>
      <c r="C58" s="15" t="s">
        <v>64</v>
      </c>
      <c r="D58" s="16"/>
      <c r="E58" s="16"/>
      <c r="F58" s="16"/>
      <c r="G58" s="17"/>
      <c r="H58" s="30" t="s">
        <v>51</v>
      </c>
    </row>
    <row r="59" ht="15.75" customHeight="1">
      <c r="B59" s="18">
        <v>10.0</v>
      </c>
      <c r="C59" s="15" t="s">
        <v>65</v>
      </c>
      <c r="D59" s="16"/>
      <c r="E59" s="16"/>
      <c r="F59" s="16"/>
      <c r="G59" s="17"/>
      <c r="H59" s="30" t="s">
        <v>59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5">
    <mergeCell ref="B1:G1"/>
    <mergeCell ref="C3:G3"/>
    <mergeCell ref="C4:G4"/>
    <mergeCell ref="B7:G7"/>
    <mergeCell ref="C9:G9"/>
    <mergeCell ref="C10:G10"/>
    <mergeCell ref="C11:G11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8:G28"/>
    <mergeCell ref="C30:G30"/>
    <mergeCell ref="C31:G31"/>
    <mergeCell ref="C32:G32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9:G49"/>
    <mergeCell ref="C57:G57"/>
    <mergeCell ref="C58:G58"/>
    <mergeCell ref="C59:G59"/>
    <mergeCell ref="C50:G50"/>
    <mergeCell ref="C51:G51"/>
    <mergeCell ref="C52:G52"/>
    <mergeCell ref="C53:G53"/>
    <mergeCell ref="C54:G54"/>
    <mergeCell ref="C55:G55"/>
    <mergeCell ref="C56:G56"/>
  </mergeCells>
  <dataValidations>
    <dataValidation type="list" allowBlank="1" showErrorMessage="1" sqref="C3">
      <formula1>Metadata!$A$2:$A$81</formula1>
    </dataValidation>
  </dataValidations>
  <hyperlinks>
    <hyperlink r:id="rId1" ref="C12"/>
    <hyperlink r:id="rId2" ref="C32"/>
    <hyperlink r:id="rId3" ref="H50"/>
    <hyperlink r:id="rId4" ref="H51"/>
    <hyperlink r:id="rId5" ref="H52"/>
    <hyperlink r:id="rId6" ref="H53"/>
    <hyperlink r:id="rId7" ref="H54"/>
    <hyperlink r:id="rId8" ref="H55"/>
    <hyperlink r:id="rId9" ref="H56"/>
    <hyperlink r:id="rId10" ref="H57"/>
    <hyperlink r:id="rId11" ref="H58"/>
    <hyperlink r:id="rId12" ref="H59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5.63"/>
    <col customWidth="1" min="4" max="4" width="21.25"/>
    <col customWidth="1" min="5" max="5" width="20.88"/>
    <col customWidth="1" min="6" max="6" width="25.13"/>
    <col customWidth="1" min="7" max="7" width="24.25"/>
  </cols>
  <sheetData>
    <row r="1">
      <c r="A1" s="1"/>
      <c r="B1" s="31" t="s">
        <v>66</v>
      </c>
      <c r="C1" s="32"/>
      <c r="D1" s="32"/>
      <c r="E1" s="32"/>
      <c r="F1" s="32"/>
      <c r="G1" s="33"/>
    </row>
    <row r="2">
      <c r="A2" s="34" t="str">
        <f>#REF!&amp;" - "&amp;C3</f>
        <v>#REF!</v>
      </c>
      <c r="B2" s="1"/>
      <c r="C2" s="1"/>
      <c r="D2" s="1"/>
      <c r="E2" s="1"/>
      <c r="F2" s="1"/>
      <c r="G2" s="1"/>
    </row>
    <row r="3">
      <c r="A3" s="1"/>
      <c r="B3" s="3" t="s">
        <v>1</v>
      </c>
      <c r="C3" s="35" t="str">
        <f>Refentes!C3</f>
        <v>780 - Software Avanzado</v>
      </c>
      <c r="D3" s="5"/>
      <c r="E3" s="5"/>
      <c r="F3" s="5"/>
      <c r="G3" s="6"/>
    </row>
    <row r="4">
      <c r="A4" s="1"/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A5" s="1"/>
      <c r="B5" s="36" t="s">
        <v>67</v>
      </c>
    </row>
    <row r="6">
      <c r="A6" s="1"/>
      <c r="B6" s="37" t="s">
        <v>68</v>
      </c>
    </row>
    <row r="7">
      <c r="A7" s="1"/>
      <c r="B7" s="38"/>
      <c r="C7" s="38"/>
      <c r="D7" s="38"/>
      <c r="E7" s="38"/>
      <c r="F7" s="38"/>
      <c r="G7" s="38"/>
    </row>
    <row r="8">
      <c r="A8" s="1"/>
      <c r="B8" s="38"/>
      <c r="C8" s="38"/>
      <c r="D8" s="38"/>
      <c r="E8" s="38"/>
      <c r="F8" s="39" t="s">
        <v>69</v>
      </c>
      <c r="G8" s="39" t="s">
        <v>70</v>
      </c>
    </row>
    <row r="9">
      <c r="A9" s="1"/>
      <c r="B9" s="40" t="s">
        <v>71</v>
      </c>
      <c r="C9" s="5"/>
      <c r="D9" s="5"/>
      <c r="E9" s="6"/>
      <c r="F9" s="10" t="str">
        <f>Refentes!C9</f>
        <v>Carnegie Mellon University (CMU)</v>
      </c>
      <c r="G9" s="10" t="str">
        <f>Refentes!C30</f>
        <v>IEEE Computer Society - SWEBOK V3.0 (Guide to the Software Engineering Body of Knowledge)</v>
      </c>
    </row>
    <row r="10">
      <c r="A10" s="1"/>
      <c r="B10" s="10" t="s">
        <v>72</v>
      </c>
      <c r="C10" s="10" t="s">
        <v>73</v>
      </c>
      <c r="D10" s="10" t="s">
        <v>74</v>
      </c>
      <c r="E10" s="10" t="s">
        <v>75</v>
      </c>
      <c r="F10" s="10" t="s">
        <v>76</v>
      </c>
      <c r="G10" s="10" t="s">
        <v>76</v>
      </c>
    </row>
    <row r="11">
      <c r="B11" s="41" t="s">
        <v>77</v>
      </c>
      <c r="C11" s="42">
        <v>1.0</v>
      </c>
      <c r="D11" s="41" t="s">
        <v>78</v>
      </c>
      <c r="E11" s="41" t="s">
        <v>79</v>
      </c>
      <c r="F11" s="43" t="s">
        <v>16</v>
      </c>
      <c r="G11" s="43" t="s">
        <v>80</v>
      </c>
    </row>
    <row r="12">
      <c r="B12" s="41" t="s">
        <v>77</v>
      </c>
      <c r="C12" s="42">
        <v>1.0</v>
      </c>
      <c r="D12" s="41" t="s">
        <v>78</v>
      </c>
      <c r="E12" s="41" t="s">
        <v>81</v>
      </c>
      <c r="F12" s="43" t="s">
        <v>16</v>
      </c>
      <c r="G12" s="43" t="s">
        <v>80</v>
      </c>
    </row>
    <row r="13">
      <c r="B13" s="41" t="s">
        <v>77</v>
      </c>
      <c r="C13" s="42">
        <v>1.0</v>
      </c>
      <c r="D13" s="41" t="s">
        <v>78</v>
      </c>
      <c r="E13" s="41" t="s">
        <v>82</v>
      </c>
      <c r="F13" s="43" t="s">
        <v>16</v>
      </c>
      <c r="G13" s="43" t="s">
        <v>80</v>
      </c>
    </row>
    <row r="14">
      <c r="B14" s="41" t="s">
        <v>83</v>
      </c>
      <c r="C14" s="42">
        <v>1.0</v>
      </c>
      <c r="D14" s="41" t="s">
        <v>78</v>
      </c>
      <c r="E14" s="41" t="s">
        <v>84</v>
      </c>
      <c r="F14" s="43" t="s">
        <v>20</v>
      </c>
      <c r="G14" s="43" t="s">
        <v>80</v>
      </c>
    </row>
    <row r="15">
      <c r="B15" s="41" t="s">
        <v>77</v>
      </c>
      <c r="C15" s="42">
        <v>1.0</v>
      </c>
      <c r="D15" s="41" t="s">
        <v>78</v>
      </c>
      <c r="E15" s="41" t="s">
        <v>85</v>
      </c>
      <c r="F15" s="43" t="s">
        <v>18</v>
      </c>
      <c r="G15" s="43" t="s">
        <v>80</v>
      </c>
    </row>
    <row r="16">
      <c r="B16" s="41" t="s">
        <v>77</v>
      </c>
      <c r="C16" s="42">
        <v>1.0</v>
      </c>
      <c r="D16" s="41" t="s">
        <v>78</v>
      </c>
      <c r="E16" s="41" t="s">
        <v>86</v>
      </c>
      <c r="F16" s="43" t="s">
        <v>16</v>
      </c>
      <c r="G16" s="43" t="s">
        <v>80</v>
      </c>
    </row>
    <row r="17">
      <c r="B17" s="41" t="s">
        <v>77</v>
      </c>
      <c r="C17" s="42">
        <v>1.0</v>
      </c>
      <c r="D17" s="41" t="s">
        <v>78</v>
      </c>
      <c r="E17" s="41" t="s">
        <v>87</v>
      </c>
      <c r="F17" s="43" t="s">
        <v>16</v>
      </c>
      <c r="G17" s="43" t="s">
        <v>88</v>
      </c>
    </row>
    <row r="18">
      <c r="B18" s="41" t="s">
        <v>83</v>
      </c>
      <c r="C18" s="42">
        <v>2.0</v>
      </c>
      <c r="D18" s="41" t="s">
        <v>89</v>
      </c>
      <c r="E18" s="41" t="s">
        <v>90</v>
      </c>
      <c r="F18" s="43" t="s">
        <v>19</v>
      </c>
      <c r="G18" s="43" t="s">
        <v>88</v>
      </c>
    </row>
    <row r="19">
      <c r="B19" s="41" t="s">
        <v>83</v>
      </c>
      <c r="C19" s="42">
        <v>2.0</v>
      </c>
      <c r="D19" s="41" t="s">
        <v>89</v>
      </c>
      <c r="E19" s="41" t="s">
        <v>91</v>
      </c>
      <c r="F19" s="43" t="s">
        <v>19</v>
      </c>
      <c r="G19" s="43" t="s">
        <v>88</v>
      </c>
    </row>
    <row r="20">
      <c r="B20" s="41" t="s">
        <v>83</v>
      </c>
      <c r="C20" s="42">
        <v>2.0</v>
      </c>
      <c r="D20" s="41" t="s">
        <v>89</v>
      </c>
      <c r="E20" s="41" t="s">
        <v>92</v>
      </c>
      <c r="F20" s="43" t="s">
        <v>19</v>
      </c>
      <c r="G20" s="43" t="s">
        <v>88</v>
      </c>
    </row>
    <row r="21">
      <c r="B21" s="41" t="s">
        <v>83</v>
      </c>
      <c r="C21" s="42">
        <v>2.0</v>
      </c>
      <c r="D21" s="41" t="s">
        <v>89</v>
      </c>
      <c r="E21" s="41" t="s">
        <v>93</v>
      </c>
      <c r="F21" s="43" t="s">
        <v>19</v>
      </c>
      <c r="G21" s="43" t="s">
        <v>88</v>
      </c>
    </row>
    <row r="22">
      <c r="B22" s="41" t="s">
        <v>83</v>
      </c>
      <c r="C22" s="42">
        <v>2.0</v>
      </c>
      <c r="D22" s="41" t="s">
        <v>89</v>
      </c>
      <c r="E22" s="41" t="s">
        <v>94</v>
      </c>
      <c r="F22" s="43" t="s">
        <v>19</v>
      </c>
      <c r="G22" s="43" t="s">
        <v>88</v>
      </c>
    </row>
    <row r="23">
      <c r="B23" s="41" t="s">
        <v>83</v>
      </c>
      <c r="C23" s="42">
        <v>2.0</v>
      </c>
      <c r="D23" s="41" t="s">
        <v>89</v>
      </c>
      <c r="E23" s="41" t="s">
        <v>95</v>
      </c>
      <c r="F23" s="43" t="s">
        <v>19</v>
      </c>
      <c r="G23" s="43" t="s">
        <v>88</v>
      </c>
    </row>
    <row r="24">
      <c r="B24" s="41" t="s">
        <v>83</v>
      </c>
      <c r="C24" s="42">
        <v>2.0</v>
      </c>
      <c r="D24" s="41" t="s">
        <v>89</v>
      </c>
      <c r="E24" s="41" t="s">
        <v>96</v>
      </c>
      <c r="F24" s="43" t="s">
        <v>19</v>
      </c>
      <c r="G24" s="43" t="s">
        <v>88</v>
      </c>
    </row>
    <row r="25">
      <c r="B25" s="41" t="s">
        <v>97</v>
      </c>
      <c r="C25" s="42">
        <v>3.0</v>
      </c>
      <c r="D25" s="41" t="s">
        <v>98</v>
      </c>
      <c r="E25" s="41" t="s">
        <v>99</v>
      </c>
      <c r="F25" s="43" t="s">
        <v>23</v>
      </c>
      <c r="G25" s="43" t="s">
        <v>100</v>
      </c>
    </row>
    <row r="26">
      <c r="B26" s="41" t="s">
        <v>101</v>
      </c>
      <c r="C26" s="42">
        <v>3.0</v>
      </c>
      <c r="D26" s="41" t="s">
        <v>98</v>
      </c>
      <c r="E26" s="41" t="s">
        <v>102</v>
      </c>
      <c r="F26" s="43" t="s">
        <v>23</v>
      </c>
      <c r="G26" s="43" t="s">
        <v>100</v>
      </c>
    </row>
    <row r="27">
      <c r="B27" s="41" t="s">
        <v>101</v>
      </c>
      <c r="C27" s="42">
        <v>3.0</v>
      </c>
      <c r="D27" s="41" t="s">
        <v>98</v>
      </c>
      <c r="E27" s="41" t="s">
        <v>103</v>
      </c>
      <c r="F27" s="43" t="s">
        <v>23</v>
      </c>
      <c r="G27" s="43" t="s">
        <v>100</v>
      </c>
    </row>
    <row r="28">
      <c r="B28" s="41" t="s">
        <v>101</v>
      </c>
      <c r="C28" s="42">
        <v>3.0</v>
      </c>
      <c r="D28" s="41" t="s">
        <v>98</v>
      </c>
      <c r="E28" s="41" t="s">
        <v>104</v>
      </c>
      <c r="F28" s="43" t="s">
        <v>23</v>
      </c>
      <c r="G28" s="43" t="s">
        <v>100</v>
      </c>
    </row>
    <row r="29">
      <c r="B29" s="41" t="s">
        <v>101</v>
      </c>
      <c r="C29" s="42">
        <v>3.0</v>
      </c>
      <c r="D29" s="41" t="s">
        <v>98</v>
      </c>
      <c r="E29" s="41" t="s">
        <v>105</v>
      </c>
      <c r="F29" s="43" t="s">
        <v>23</v>
      </c>
      <c r="G29" s="43" t="s">
        <v>100</v>
      </c>
    </row>
    <row r="30">
      <c r="B30" s="41" t="s">
        <v>101</v>
      </c>
      <c r="C30" s="42">
        <v>3.0</v>
      </c>
      <c r="D30" s="41" t="s">
        <v>98</v>
      </c>
      <c r="E30" s="41" t="s">
        <v>106</v>
      </c>
      <c r="F30" s="43" t="s">
        <v>23</v>
      </c>
      <c r="G30" s="43" t="s">
        <v>100</v>
      </c>
    </row>
    <row r="31">
      <c r="B31" s="41" t="s">
        <v>101</v>
      </c>
      <c r="C31" s="42">
        <v>3.0</v>
      </c>
      <c r="D31" s="41" t="s">
        <v>98</v>
      </c>
      <c r="E31" s="41" t="s">
        <v>107</v>
      </c>
      <c r="F31" s="43" t="s">
        <v>23</v>
      </c>
      <c r="G31" s="43" t="s">
        <v>100</v>
      </c>
    </row>
    <row r="32">
      <c r="B32" s="41" t="s">
        <v>101</v>
      </c>
      <c r="C32" s="42">
        <v>4.0</v>
      </c>
      <c r="D32" s="41" t="s">
        <v>50</v>
      </c>
      <c r="E32" s="41" t="s">
        <v>108</v>
      </c>
      <c r="F32" s="43" t="s">
        <v>17</v>
      </c>
      <c r="G32" s="43" t="s">
        <v>109</v>
      </c>
    </row>
    <row r="33">
      <c r="B33" s="41" t="s">
        <v>101</v>
      </c>
      <c r="C33" s="42">
        <v>4.0</v>
      </c>
      <c r="D33" s="41" t="s">
        <v>50</v>
      </c>
      <c r="E33" s="41" t="s">
        <v>110</v>
      </c>
      <c r="F33" s="43" t="s">
        <v>17</v>
      </c>
      <c r="G33" s="43" t="s">
        <v>109</v>
      </c>
    </row>
    <row r="34">
      <c r="B34" s="41" t="s">
        <v>101</v>
      </c>
      <c r="C34" s="42">
        <v>4.0</v>
      </c>
      <c r="D34" s="41" t="s">
        <v>50</v>
      </c>
      <c r="E34" s="41" t="s">
        <v>111</v>
      </c>
      <c r="F34" s="43" t="s">
        <v>17</v>
      </c>
      <c r="G34" s="43" t="s">
        <v>109</v>
      </c>
    </row>
    <row r="35">
      <c r="B35" s="41" t="s">
        <v>101</v>
      </c>
      <c r="C35" s="42">
        <v>4.0</v>
      </c>
      <c r="D35" s="41" t="s">
        <v>50</v>
      </c>
      <c r="E35" s="41" t="s">
        <v>112</v>
      </c>
      <c r="F35" s="43" t="s">
        <v>17</v>
      </c>
      <c r="G35" s="43" t="s">
        <v>109</v>
      </c>
    </row>
    <row r="36">
      <c r="B36" s="41" t="s">
        <v>101</v>
      </c>
      <c r="C36" s="42">
        <v>4.0</v>
      </c>
      <c r="D36" s="41" t="s">
        <v>50</v>
      </c>
      <c r="E36" s="41" t="s">
        <v>113</v>
      </c>
      <c r="F36" s="43" t="s">
        <v>17</v>
      </c>
      <c r="G36" s="43" t="s">
        <v>109</v>
      </c>
    </row>
    <row r="37">
      <c r="B37" s="41" t="s">
        <v>101</v>
      </c>
      <c r="C37" s="42">
        <v>4.0</v>
      </c>
      <c r="D37" s="41" t="s">
        <v>50</v>
      </c>
      <c r="E37" s="41" t="s">
        <v>114</v>
      </c>
      <c r="F37" s="43" t="s">
        <v>17</v>
      </c>
      <c r="G37" s="43" t="s">
        <v>109</v>
      </c>
    </row>
    <row r="38">
      <c r="B38" s="41" t="s">
        <v>101</v>
      </c>
      <c r="C38" s="42">
        <v>4.0</v>
      </c>
      <c r="D38" s="41" t="s">
        <v>50</v>
      </c>
      <c r="E38" s="41" t="s">
        <v>115</v>
      </c>
      <c r="F38" s="43" t="s">
        <v>17</v>
      </c>
      <c r="G38" s="43" t="s">
        <v>109</v>
      </c>
    </row>
    <row r="39">
      <c r="B39" s="41" t="s">
        <v>116</v>
      </c>
      <c r="C39" s="42">
        <v>5.0</v>
      </c>
      <c r="D39" s="41" t="s">
        <v>117</v>
      </c>
      <c r="E39" s="41" t="s">
        <v>118</v>
      </c>
      <c r="F39" s="43" t="s">
        <v>18</v>
      </c>
      <c r="G39" s="43" t="s">
        <v>80</v>
      </c>
    </row>
    <row r="40">
      <c r="B40" s="41" t="s">
        <v>116</v>
      </c>
      <c r="C40" s="42">
        <v>5.0</v>
      </c>
      <c r="D40" s="41" t="s">
        <v>117</v>
      </c>
      <c r="E40" s="41" t="s">
        <v>119</v>
      </c>
      <c r="F40" s="43" t="s">
        <v>18</v>
      </c>
      <c r="G40" s="43" t="s">
        <v>80</v>
      </c>
    </row>
    <row r="41">
      <c r="B41" s="41" t="s">
        <v>116</v>
      </c>
      <c r="C41" s="42">
        <v>5.0</v>
      </c>
      <c r="D41" s="41" t="s">
        <v>117</v>
      </c>
      <c r="E41" s="41" t="s">
        <v>120</v>
      </c>
      <c r="F41" s="43" t="s">
        <v>18</v>
      </c>
      <c r="G41" s="43" t="s">
        <v>80</v>
      </c>
    </row>
    <row r="42">
      <c r="B42" s="41" t="s">
        <v>116</v>
      </c>
      <c r="C42" s="42">
        <v>5.0</v>
      </c>
      <c r="D42" s="41" t="s">
        <v>117</v>
      </c>
      <c r="E42" s="41" t="s">
        <v>121</v>
      </c>
      <c r="F42" s="43" t="s">
        <v>18</v>
      </c>
      <c r="G42" s="43" t="s">
        <v>80</v>
      </c>
    </row>
    <row r="43">
      <c r="B43" s="41" t="s">
        <v>116</v>
      </c>
      <c r="C43" s="42">
        <v>5.0</v>
      </c>
      <c r="D43" s="41" t="s">
        <v>117</v>
      </c>
      <c r="E43" s="41" t="s">
        <v>122</v>
      </c>
      <c r="F43" s="43" t="s">
        <v>18</v>
      </c>
      <c r="G43" s="43" t="s">
        <v>80</v>
      </c>
    </row>
    <row r="44">
      <c r="B44" s="41" t="s">
        <v>116</v>
      </c>
      <c r="C44" s="42">
        <v>5.0</v>
      </c>
      <c r="D44" s="41" t="s">
        <v>117</v>
      </c>
      <c r="E44" s="41" t="s">
        <v>123</v>
      </c>
      <c r="F44" s="43" t="s">
        <v>18</v>
      </c>
      <c r="G44" s="43" t="s">
        <v>80</v>
      </c>
    </row>
    <row r="45">
      <c r="B45" s="41" t="s">
        <v>116</v>
      </c>
      <c r="C45" s="42">
        <v>5.0</v>
      </c>
      <c r="D45" s="41" t="s">
        <v>117</v>
      </c>
      <c r="E45" s="41" t="s">
        <v>124</v>
      </c>
      <c r="F45" s="43" t="s">
        <v>17</v>
      </c>
      <c r="G45" s="43" t="s">
        <v>80</v>
      </c>
    </row>
    <row r="46">
      <c r="B46" s="41" t="s">
        <v>97</v>
      </c>
      <c r="C46" s="42">
        <v>6.0</v>
      </c>
      <c r="D46" s="41" t="s">
        <v>48</v>
      </c>
      <c r="E46" s="41" t="s">
        <v>125</v>
      </c>
      <c r="F46" s="43" t="s">
        <v>17</v>
      </c>
      <c r="G46" s="43" t="s">
        <v>100</v>
      </c>
    </row>
    <row r="47">
      <c r="B47" s="41" t="s">
        <v>97</v>
      </c>
      <c r="C47" s="42">
        <v>6.0</v>
      </c>
      <c r="D47" s="41" t="s">
        <v>48</v>
      </c>
      <c r="E47" s="41" t="s">
        <v>126</v>
      </c>
      <c r="F47" s="43" t="s">
        <v>17</v>
      </c>
      <c r="G47" s="43" t="s">
        <v>100</v>
      </c>
    </row>
    <row r="48">
      <c r="B48" s="41" t="s">
        <v>97</v>
      </c>
      <c r="C48" s="42">
        <v>6.0</v>
      </c>
      <c r="D48" s="41" t="s">
        <v>48</v>
      </c>
      <c r="E48" s="41" t="s">
        <v>127</v>
      </c>
      <c r="F48" s="43" t="s">
        <v>17</v>
      </c>
      <c r="G48" s="43" t="s">
        <v>100</v>
      </c>
    </row>
    <row r="49">
      <c r="B49" s="41" t="s">
        <v>97</v>
      </c>
      <c r="C49" s="42">
        <v>6.0</v>
      </c>
      <c r="D49" s="41" t="s">
        <v>48</v>
      </c>
      <c r="E49" s="41" t="s">
        <v>128</v>
      </c>
      <c r="F49" s="43" t="s">
        <v>17</v>
      </c>
      <c r="G49" s="43" t="s">
        <v>100</v>
      </c>
    </row>
    <row r="50">
      <c r="B50" s="41" t="s">
        <v>97</v>
      </c>
      <c r="C50" s="42">
        <v>6.0</v>
      </c>
      <c r="D50" s="41" t="s">
        <v>48</v>
      </c>
      <c r="E50" s="41" t="s">
        <v>129</v>
      </c>
      <c r="F50" s="43" t="s">
        <v>17</v>
      </c>
      <c r="G50" s="43" t="s">
        <v>100</v>
      </c>
    </row>
    <row r="51">
      <c r="B51" s="41" t="s">
        <v>130</v>
      </c>
      <c r="C51" s="42">
        <v>7.0</v>
      </c>
      <c r="D51" s="41" t="s">
        <v>131</v>
      </c>
      <c r="E51" s="41" t="s">
        <v>132</v>
      </c>
      <c r="F51" s="43" t="s">
        <v>19</v>
      </c>
      <c r="G51" s="43" t="s">
        <v>133</v>
      </c>
    </row>
    <row r="52">
      <c r="B52" s="41" t="s">
        <v>130</v>
      </c>
      <c r="C52" s="42">
        <v>7.0</v>
      </c>
      <c r="D52" s="41" t="s">
        <v>131</v>
      </c>
      <c r="E52" s="41" t="s">
        <v>134</v>
      </c>
      <c r="F52" s="43" t="s">
        <v>19</v>
      </c>
      <c r="G52" s="43" t="s">
        <v>133</v>
      </c>
    </row>
    <row r="53">
      <c r="B53" s="41" t="s">
        <v>130</v>
      </c>
      <c r="C53" s="42">
        <v>7.0</v>
      </c>
      <c r="D53" s="41" t="s">
        <v>131</v>
      </c>
      <c r="E53" s="41" t="s">
        <v>135</v>
      </c>
      <c r="F53" s="43" t="s">
        <v>19</v>
      </c>
      <c r="G53" s="43" t="s">
        <v>133</v>
      </c>
    </row>
    <row r="54">
      <c r="B54" s="41" t="s">
        <v>130</v>
      </c>
      <c r="C54" s="42">
        <v>7.0</v>
      </c>
      <c r="D54" s="41" t="s">
        <v>131</v>
      </c>
      <c r="E54" s="41" t="s">
        <v>136</v>
      </c>
      <c r="F54" s="43" t="s">
        <v>19</v>
      </c>
      <c r="G54" s="43" t="s">
        <v>133</v>
      </c>
    </row>
    <row r="55">
      <c r="B55" s="41" t="s">
        <v>130</v>
      </c>
      <c r="C55" s="42">
        <v>7.0</v>
      </c>
      <c r="D55" s="41" t="s">
        <v>131</v>
      </c>
      <c r="E55" s="41" t="s">
        <v>137</v>
      </c>
      <c r="F55" s="43" t="s">
        <v>19</v>
      </c>
      <c r="G55" s="43" t="s">
        <v>133</v>
      </c>
    </row>
    <row r="56">
      <c r="B56" s="41" t="s">
        <v>83</v>
      </c>
      <c r="C56" s="42">
        <v>8.0</v>
      </c>
      <c r="D56" s="41" t="s">
        <v>138</v>
      </c>
      <c r="E56" s="41" t="s">
        <v>139</v>
      </c>
      <c r="F56" s="43" t="s">
        <v>19</v>
      </c>
      <c r="G56" s="43" t="s">
        <v>133</v>
      </c>
    </row>
    <row r="57">
      <c r="B57" s="41" t="s">
        <v>83</v>
      </c>
      <c r="C57" s="42">
        <v>8.0</v>
      </c>
      <c r="D57" s="41" t="s">
        <v>138</v>
      </c>
      <c r="E57" s="41" t="s">
        <v>140</v>
      </c>
      <c r="F57" s="43" t="s">
        <v>19</v>
      </c>
      <c r="G57" s="43" t="s">
        <v>133</v>
      </c>
    </row>
    <row r="58">
      <c r="B58" s="41" t="s">
        <v>83</v>
      </c>
      <c r="C58" s="42">
        <v>8.0</v>
      </c>
      <c r="D58" s="41" t="s">
        <v>138</v>
      </c>
      <c r="E58" s="41" t="s">
        <v>141</v>
      </c>
      <c r="F58" s="43" t="s">
        <v>19</v>
      </c>
      <c r="G58" s="43" t="s">
        <v>133</v>
      </c>
    </row>
    <row r="59">
      <c r="B59" s="41" t="s">
        <v>83</v>
      </c>
      <c r="C59" s="42">
        <v>8.0</v>
      </c>
      <c r="D59" s="41" t="s">
        <v>138</v>
      </c>
      <c r="E59" s="41" t="s">
        <v>142</v>
      </c>
      <c r="F59" s="43" t="s">
        <v>19</v>
      </c>
      <c r="G59" s="43" t="s">
        <v>133</v>
      </c>
    </row>
    <row r="60">
      <c r="B60" s="41" t="s">
        <v>83</v>
      </c>
      <c r="C60" s="42">
        <v>8.0</v>
      </c>
      <c r="D60" s="41" t="s">
        <v>138</v>
      </c>
      <c r="E60" s="41" t="s">
        <v>143</v>
      </c>
      <c r="F60" s="43" t="s">
        <v>19</v>
      </c>
      <c r="G60" s="43" t="s">
        <v>133</v>
      </c>
    </row>
    <row r="61">
      <c r="B61" s="41" t="s">
        <v>83</v>
      </c>
      <c r="C61" s="42">
        <v>9.0</v>
      </c>
      <c r="D61" s="41" t="s">
        <v>144</v>
      </c>
      <c r="E61" s="41" t="s">
        <v>145</v>
      </c>
      <c r="F61" s="43" t="s">
        <v>19</v>
      </c>
      <c r="G61" s="43" t="s">
        <v>133</v>
      </c>
    </row>
    <row r="62">
      <c r="B62" s="41" t="s">
        <v>83</v>
      </c>
      <c r="C62" s="42">
        <v>9.0</v>
      </c>
      <c r="D62" s="41" t="s">
        <v>144</v>
      </c>
      <c r="E62" s="41" t="s">
        <v>146</v>
      </c>
      <c r="F62" s="43" t="s">
        <v>19</v>
      </c>
      <c r="G62" s="43" t="s">
        <v>133</v>
      </c>
    </row>
    <row r="63">
      <c r="B63" s="41" t="s">
        <v>83</v>
      </c>
      <c r="C63" s="42">
        <v>9.0</v>
      </c>
      <c r="D63" s="41" t="s">
        <v>144</v>
      </c>
      <c r="E63" s="41" t="s">
        <v>147</v>
      </c>
      <c r="F63" s="43" t="s">
        <v>19</v>
      </c>
      <c r="G63" s="43" t="s">
        <v>133</v>
      </c>
    </row>
    <row r="64">
      <c r="B64" s="41" t="s">
        <v>83</v>
      </c>
      <c r="C64" s="42">
        <v>9.0</v>
      </c>
      <c r="D64" s="41" t="s">
        <v>144</v>
      </c>
      <c r="E64" s="41" t="s">
        <v>148</v>
      </c>
      <c r="F64" s="43" t="s">
        <v>19</v>
      </c>
      <c r="G64" s="43" t="s">
        <v>133</v>
      </c>
    </row>
    <row r="65">
      <c r="B65" s="41" t="s">
        <v>83</v>
      </c>
      <c r="C65" s="42">
        <v>9.0</v>
      </c>
      <c r="D65" s="41" t="s">
        <v>144</v>
      </c>
      <c r="E65" s="41" t="s">
        <v>149</v>
      </c>
      <c r="F65" s="43" t="s">
        <v>19</v>
      </c>
      <c r="G65" s="43" t="s">
        <v>133</v>
      </c>
    </row>
    <row r="66">
      <c r="B66" s="41" t="s">
        <v>83</v>
      </c>
      <c r="C66" s="42">
        <v>9.0</v>
      </c>
      <c r="D66" s="41" t="s">
        <v>144</v>
      </c>
      <c r="E66" s="41" t="s">
        <v>150</v>
      </c>
      <c r="F66" s="43" t="s">
        <v>24</v>
      </c>
      <c r="G66" s="43" t="s">
        <v>133</v>
      </c>
    </row>
    <row r="67">
      <c r="B67" s="41" t="s">
        <v>83</v>
      </c>
      <c r="C67" s="42">
        <v>9.0</v>
      </c>
      <c r="D67" s="41" t="s">
        <v>144</v>
      </c>
      <c r="E67" s="41" t="s">
        <v>151</v>
      </c>
      <c r="F67" s="43" t="s">
        <v>24</v>
      </c>
      <c r="G67" s="43" t="s">
        <v>109</v>
      </c>
    </row>
    <row r="68">
      <c r="B68" s="41" t="s">
        <v>83</v>
      </c>
      <c r="C68" s="42">
        <v>10.0</v>
      </c>
      <c r="D68" s="41" t="s">
        <v>152</v>
      </c>
      <c r="E68" s="41" t="s">
        <v>153</v>
      </c>
      <c r="F68" s="43" t="s">
        <v>19</v>
      </c>
      <c r="G68" s="43" t="s">
        <v>154</v>
      </c>
    </row>
    <row r="69">
      <c r="B69" s="41" t="s">
        <v>83</v>
      </c>
      <c r="C69" s="42">
        <v>10.0</v>
      </c>
      <c r="D69" s="41" t="s">
        <v>152</v>
      </c>
      <c r="E69" s="41" t="s">
        <v>155</v>
      </c>
      <c r="F69" s="43" t="s">
        <v>19</v>
      </c>
      <c r="G69" s="43" t="s">
        <v>154</v>
      </c>
    </row>
    <row r="70">
      <c r="B70" s="41" t="s">
        <v>83</v>
      </c>
      <c r="C70" s="42">
        <v>10.0</v>
      </c>
      <c r="D70" s="41" t="s">
        <v>152</v>
      </c>
      <c r="E70" s="41" t="s">
        <v>156</v>
      </c>
      <c r="F70" s="43" t="s">
        <v>23</v>
      </c>
      <c r="G70" s="43" t="s">
        <v>154</v>
      </c>
    </row>
    <row r="71">
      <c r="B71" s="41" t="s">
        <v>83</v>
      </c>
      <c r="C71" s="42">
        <v>10.0</v>
      </c>
      <c r="D71" s="41" t="s">
        <v>152</v>
      </c>
      <c r="E71" s="41" t="s">
        <v>157</v>
      </c>
      <c r="F71" s="43" t="s">
        <v>21</v>
      </c>
      <c r="G71" s="43" t="s">
        <v>100</v>
      </c>
    </row>
    <row r="72">
      <c r="B72" s="41" t="s">
        <v>83</v>
      </c>
      <c r="C72" s="42">
        <v>10.0</v>
      </c>
      <c r="D72" s="41" t="s">
        <v>152</v>
      </c>
      <c r="E72" s="41" t="s">
        <v>158</v>
      </c>
      <c r="F72" s="43" t="s">
        <v>21</v>
      </c>
      <c r="G72" s="43" t="s">
        <v>100</v>
      </c>
    </row>
    <row r="73">
      <c r="B73" s="41" t="s">
        <v>83</v>
      </c>
      <c r="C73" s="42">
        <v>11.0</v>
      </c>
      <c r="D73" s="41" t="s">
        <v>159</v>
      </c>
      <c r="E73" s="41" t="s">
        <v>160</v>
      </c>
      <c r="F73" s="43" t="s">
        <v>25</v>
      </c>
      <c r="G73" s="43" t="s">
        <v>161</v>
      </c>
    </row>
    <row r="74">
      <c r="B74" s="41" t="s">
        <v>83</v>
      </c>
      <c r="C74" s="42">
        <v>11.0</v>
      </c>
      <c r="D74" s="41" t="s">
        <v>159</v>
      </c>
      <c r="E74" s="41" t="s">
        <v>162</v>
      </c>
      <c r="F74" s="43" t="s">
        <v>25</v>
      </c>
      <c r="G74" s="43" t="s">
        <v>161</v>
      </c>
    </row>
    <row r="75">
      <c r="B75" s="41" t="s">
        <v>83</v>
      </c>
      <c r="C75" s="42">
        <v>11.0</v>
      </c>
      <c r="D75" s="41" t="s">
        <v>159</v>
      </c>
      <c r="E75" s="41" t="s">
        <v>163</v>
      </c>
      <c r="F75" s="43" t="s">
        <v>25</v>
      </c>
      <c r="G75" s="43" t="s">
        <v>161</v>
      </c>
    </row>
    <row r="76">
      <c r="B76" s="41" t="s">
        <v>83</v>
      </c>
      <c r="C76" s="42">
        <v>11.0</v>
      </c>
      <c r="D76" s="41" t="s">
        <v>159</v>
      </c>
      <c r="E76" s="41" t="s">
        <v>164</v>
      </c>
      <c r="F76" s="43" t="s">
        <v>25</v>
      </c>
      <c r="G76" s="43" t="s">
        <v>161</v>
      </c>
    </row>
    <row r="77">
      <c r="B77" s="41" t="s">
        <v>83</v>
      </c>
      <c r="C77" s="42">
        <v>11.0</v>
      </c>
      <c r="D77" s="41" t="s">
        <v>159</v>
      </c>
      <c r="E77" s="41" t="s">
        <v>165</v>
      </c>
      <c r="F77" s="43" t="s">
        <v>25</v>
      </c>
      <c r="G77" s="43" t="s">
        <v>161</v>
      </c>
    </row>
    <row r="78">
      <c r="B78" s="41" t="s">
        <v>83</v>
      </c>
      <c r="C78" s="42">
        <v>11.0</v>
      </c>
      <c r="D78" s="41" t="s">
        <v>159</v>
      </c>
      <c r="E78" s="41" t="s">
        <v>166</v>
      </c>
      <c r="F78" s="43" t="s">
        <v>25</v>
      </c>
      <c r="G78" s="43" t="s">
        <v>161</v>
      </c>
    </row>
    <row r="79">
      <c r="F79" s="44"/>
      <c r="G79" s="44"/>
    </row>
    <row r="80">
      <c r="F80" s="44"/>
      <c r="G80" s="44"/>
    </row>
    <row r="81">
      <c r="F81" s="44"/>
      <c r="G81" s="44"/>
    </row>
    <row r="82">
      <c r="F82" s="44"/>
      <c r="G82" s="44"/>
    </row>
    <row r="83">
      <c r="F83" s="44"/>
      <c r="G83" s="44"/>
    </row>
    <row r="84">
      <c r="F84" s="44"/>
      <c r="G84" s="44"/>
    </row>
    <row r="85">
      <c r="F85" s="44"/>
      <c r="G85" s="44"/>
    </row>
    <row r="86">
      <c r="F86" s="44"/>
      <c r="G86" s="44"/>
    </row>
    <row r="87">
      <c r="F87" s="44"/>
      <c r="G87" s="44"/>
    </row>
    <row r="88">
      <c r="F88" s="44"/>
      <c r="G88" s="44"/>
    </row>
    <row r="89">
      <c r="F89" s="44"/>
      <c r="G89" s="44"/>
    </row>
    <row r="90">
      <c r="F90" s="44"/>
      <c r="G90" s="44"/>
    </row>
    <row r="91">
      <c r="F91" s="44"/>
      <c r="G91" s="44"/>
    </row>
    <row r="92">
      <c r="F92" s="44"/>
      <c r="G92" s="44"/>
    </row>
    <row r="93">
      <c r="F93" s="44"/>
      <c r="G93" s="44"/>
    </row>
    <row r="94">
      <c r="F94" s="44"/>
      <c r="G94" s="44"/>
    </row>
    <row r="95">
      <c r="F95" s="44"/>
      <c r="G95" s="44"/>
    </row>
    <row r="96">
      <c r="F96" s="44"/>
      <c r="G96" s="44"/>
    </row>
    <row r="97">
      <c r="F97" s="44"/>
      <c r="G97" s="44"/>
    </row>
    <row r="98">
      <c r="F98" s="44"/>
      <c r="G98" s="44"/>
    </row>
    <row r="99">
      <c r="F99" s="44"/>
      <c r="G99" s="44"/>
    </row>
    <row r="100">
      <c r="F100" s="44"/>
      <c r="G100" s="44"/>
    </row>
    <row r="101">
      <c r="F101" s="44"/>
      <c r="G101" s="44"/>
    </row>
    <row r="102">
      <c r="F102" s="44"/>
      <c r="G102" s="44"/>
    </row>
    <row r="103">
      <c r="F103" s="44"/>
      <c r="G103" s="44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Refentes!$C$35:$G$44</formula1>
    </dataValidation>
    <dataValidation type="list" allowBlank="1" showErrorMessage="1" sqref="F11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31" t="s">
        <v>66</v>
      </c>
      <c r="C1" s="32"/>
      <c r="D1" s="32"/>
      <c r="E1" s="32"/>
      <c r="F1" s="32"/>
      <c r="G1" s="33"/>
    </row>
    <row r="2">
      <c r="B2" s="1"/>
      <c r="C2" s="1"/>
      <c r="D2" s="1"/>
      <c r="E2" s="1"/>
      <c r="F2" s="1"/>
      <c r="G2" s="1"/>
    </row>
    <row r="3">
      <c r="B3" s="3" t="s">
        <v>1</v>
      </c>
      <c r="C3" s="35" t="str">
        <f>Refentes!C3</f>
        <v>780 - Software Avanzado</v>
      </c>
      <c r="D3" s="5"/>
      <c r="E3" s="5"/>
      <c r="F3" s="5"/>
      <c r="G3" s="6"/>
    </row>
    <row r="4"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B5" s="37" t="s">
        <v>68</v>
      </c>
    </row>
    <row r="7">
      <c r="B7" s="45" t="s">
        <v>167</v>
      </c>
      <c r="E7" s="46" t="s">
        <v>168</v>
      </c>
    </row>
    <row r="8">
      <c r="B8" s="11" t="s">
        <v>169</v>
      </c>
      <c r="C8" s="5"/>
      <c r="D8" s="6"/>
      <c r="E8" s="47" t="s">
        <v>48</v>
      </c>
      <c r="F8" s="5"/>
      <c r="G8" s="6"/>
    </row>
    <row r="9">
      <c r="B9" s="11" t="s">
        <v>50</v>
      </c>
      <c r="C9" s="5"/>
      <c r="D9" s="6"/>
      <c r="E9" s="47" t="s">
        <v>50</v>
      </c>
      <c r="F9" s="5"/>
      <c r="G9" s="6"/>
    </row>
    <row r="10">
      <c r="B10" s="11" t="s">
        <v>170</v>
      </c>
      <c r="C10" s="5"/>
      <c r="D10" s="6"/>
      <c r="E10" s="47" t="s">
        <v>52</v>
      </c>
      <c r="F10" s="5"/>
      <c r="G10" s="6"/>
    </row>
    <row r="11">
      <c r="B11" s="11" t="s">
        <v>171</v>
      </c>
      <c r="C11" s="5"/>
      <c r="D11" s="6"/>
      <c r="E11" s="47" t="s">
        <v>54</v>
      </c>
      <c r="F11" s="5"/>
      <c r="G11" s="6"/>
    </row>
    <row r="12">
      <c r="B12" s="11" t="s">
        <v>172</v>
      </c>
      <c r="C12" s="5"/>
      <c r="D12" s="6"/>
      <c r="E12" s="47" t="s">
        <v>56</v>
      </c>
      <c r="F12" s="5"/>
      <c r="G12" s="6"/>
    </row>
    <row r="13">
      <c r="B13" s="11" t="s">
        <v>173</v>
      </c>
      <c r="C13" s="5"/>
      <c r="D13" s="6"/>
      <c r="E13" s="47" t="s">
        <v>58</v>
      </c>
      <c r="F13" s="5"/>
      <c r="G13" s="6"/>
    </row>
    <row r="14">
      <c r="B14" s="11" t="s">
        <v>174</v>
      </c>
      <c r="C14" s="5"/>
      <c r="D14" s="6"/>
      <c r="E14" s="47" t="s">
        <v>60</v>
      </c>
      <c r="F14" s="5"/>
      <c r="G14" s="6"/>
    </row>
    <row r="15">
      <c r="B15" s="11" t="s">
        <v>175</v>
      </c>
      <c r="C15" s="5"/>
      <c r="D15" s="6"/>
      <c r="E15" s="47" t="s">
        <v>62</v>
      </c>
      <c r="F15" s="5"/>
      <c r="G15" s="6"/>
    </row>
    <row r="16">
      <c r="B16" s="11" t="s">
        <v>176</v>
      </c>
      <c r="C16" s="5"/>
      <c r="D16" s="6"/>
      <c r="E16" s="47" t="s">
        <v>64</v>
      </c>
      <c r="F16" s="5"/>
      <c r="G16" s="6"/>
    </row>
    <row r="17">
      <c r="B17" s="11" t="s">
        <v>177</v>
      </c>
      <c r="C17" s="5"/>
      <c r="D17" s="6"/>
      <c r="E17" s="47" t="s">
        <v>65</v>
      </c>
      <c r="F17" s="5"/>
      <c r="G17" s="6"/>
    </row>
    <row r="18">
      <c r="B18" s="48" t="s">
        <v>178</v>
      </c>
    </row>
  </sheetData>
  <mergeCells count="26"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17:D17"/>
    <mergeCell ref="B8:D8"/>
    <mergeCell ref="B9:D9"/>
    <mergeCell ref="B10:D10"/>
    <mergeCell ref="B11:D11"/>
    <mergeCell ref="B12:D12"/>
    <mergeCell ref="B13:D13"/>
    <mergeCell ref="B14:D14"/>
    <mergeCell ref="E16:G16"/>
    <mergeCell ref="E17:G17"/>
    <mergeCell ref="E9:G9"/>
    <mergeCell ref="E10:G10"/>
    <mergeCell ref="E11:G11"/>
    <mergeCell ref="E12:G12"/>
    <mergeCell ref="E13:G13"/>
    <mergeCell ref="E14:G14"/>
    <mergeCell ref="E15:G15"/>
  </mergeCells>
  <dataValidations>
    <dataValidation type="list" allowBlank="1" showErrorMessage="1" sqref="E8:E17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179</v>
      </c>
    </row>
    <row r="2">
      <c r="A2" s="1" t="s">
        <v>180</v>
      </c>
    </row>
    <row r="3">
      <c r="A3" s="1" t="s">
        <v>181</v>
      </c>
    </row>
    <row r="4">
      <c r="A4" s="1" t="s">
        <v>182</v>
      </c>
    </row>
    <row r="5">
      <c r="A5" s="1" t="s">
        <v>183</v>
      </c>
    </row>
    <row r="6">
      <c r="A6" s="1" t="s">
        <v>184</v>
      </c>
    </row>
    <row r="7">
      <c r="A7" s="1" t="s">
        <v>185</v>
      </c>
    </row>
    <row r="8">
      <c r="A8" s="1" t="s">
        <v>186</v>
      </c>
    </row>
    <row r="9">
      <c r="A9" s="1" t="s">
        <v>187</v>
      </c>
    </row>
    <row r="10">
      <c r="A10" s="1" t="s">
        <v>188</v>
      </c>
    </row>
    <row r="11">
      <c r="A11" s="1" t="s">
        <v>189</v>
      </c>
    </row>
    <row r="12">
      <c r="A12" s="1" t="s">
        <v>190</v>
      </c>
    </row>
    <row r="13">
      <c r="A13" s="1" t="s">
        <v>191</v>
      </c>
    </row>
    <row r="14">
      <c r="A14" s="1" t="s">
        <v>192</v>
      </c>
    </row>
    <row r="15">
      <c r="A15" s="1" t="s">
        <v>193</v>
      </c>
    </row>
    <row r="16">
      <c r="A16" s="1" t="s">
        <v>194</v>
      </c>
    </row>
    <row r="17">
      <c r="A17" s="1" t="s">
        <v>195</v>
      </c>
    </row>
    <row r="18">
      <c r="A18" s="1" t="s">
        <v>196</v>
      </c>
    </row>
    <row r="19">
      <c r="A19" s="1" t="s">
        <v>197</v>
      </c>
    </row>
    <row r="20">
      <c r="A20" s="1" t="s">
        <v>198</v>
      </c>
    </row>
    <row r="21">
      <c r="A21" s="1" t="s">
        <v>199</v>
      </c>
    </row>
    <row r="22">
      <c r="A22" s="1" t="s">
        <v>200</v>
      </c>
    </row>
    <row r="23">
      <c r="A23" s="1" t="s">
        <v>201</v>
      </c>
    </row>
    <row r="24">
      <c r="A24" s="1" t="s">
        <v>202</v>
      </c>
    </row>
    <row r="25">
      <c r="A25" s="1" t="s">
        <v>203</v>
      </c>
    </row>
    <row r="26">
      <c r="A26" s="1" t="s">
        <v>204</v>
      </c>
    </row>
    <row r="27">
      <c r="A27" s="1" t="s">
        <v>205</v>
      </c>
    </row>
    <row r="28">
      <c r="A28" s="1" t="s">
        <v>206</v>
      </c>
    </row>
    <row r="29">
      <c r="A29" s="1" t="s">
        <v>207</v>
      </c>
    </row>
    <row r="30">
      <c r="A30" s="1" t="s">
        <v>208</v>
      </c>
    </row>
    <row r="31">
      <c r="A31" s="1" t="s">
        <v>209</v>
      </c>
    </row>
    <row r="32">
      <c r="A32" s="1" t="s">
        <v>210</v>
      </c>
    </row>
    <row r="33">
      <c r="A33" s="1" t="s">
        <v>211</v>
      </c>
    </row>
    <row r="34">
      <c r="A34" s="1" t="s">
        <v>212</v>
      </c>
    </row>
    <row r="35">
      <c r="A35" s="1" t="s">
        <v>213</v>
      </c>
    </row>
    <row r="36">
      <c r="A36" s="1" t="s">
        <v>214</v>
      </c>
    </row>
    <row r="37">
      <c r="A37" s="1" t="s">
        <v>215</v>
      </c>
    </row>
    <row r="38">
      <c r="A38" s="1" t="s">
        <v>216</v>
      </c>
    </row>
    <row r="39">
      <c r="A39" s="1" t="s">
        <v>217</v>
      </c>
    </row>
    <row r="40">
      <c r="A40" s="1" t="s">
        <v>218</v>
      </c>
    </row>
    <row r="41">
      <c r="A41" s="1" t="s">
        <v>219</v>
      </c>
    </row>
    <row r="42">
      <c r="A42" s="1" t="s">
        <v>220</v>
      </c>
    </row>
    <row r="43">
      <c r="A43" s="1" t="s">
        <v>221</v>
      </c>
    </row>
    <row r="44">
      <c r="A44" s="1" t="s">
        <v>222</v>
      </c>
    </row>
    <row r="45">
      <c r="A45" s="1" t="s">
        <v>223</v>
      </c>
    </row>
    <row r="46">
      <c r="A46" s="1" t="s">
        <v>224</v>
      </c>
    </row>
    <row r="47">
      <c r="A47" s="1" t="s">
        <v>225</v>
      </c>
    </row>
    <row r="48">
      <c r="A48" s="1" t="s">
        <v>226</v>
      </c>
    </row>
    <row r="49">
      <c r="A49" s="1" t="s">
        <v>227</v>
      </c>
    </row>
    <row r="50">
      <c r="A50" s="1" t="s">
        <v>228</v>
      </c>
    </row>
    <row r="51">
      <c r="A51" s="1" t="s">
        <v>229</v>
      </c>
    </row>
    <row r="52">
      <c r="A52" s="1" t="s">
        <v>230</v>
      </c>
    </row>
    <row r="53">
      <c r="A53" s="1" t="s">
        <v>231</v>
      </c>
    </row>
    <row r="54">
      <c r="A54" s="1" t="s">
        <v>232</v>
      </c>
    </row>
    <row r="55">
      <c r="A55" s="1" t="s">
        <v>233</v>
      </c>
    </row>
    <row r="56">
      <c r="A56" s="1" t="s">
        <v>234</v>
      </c>
    </row>
    <row r="57">
      <c r="A57" s="1" t="s">
        <v>235</v>
      </c>
    </row>
    <row r="58">
      <c r="A58" s="1" t="s">
        <v>236</v>
      </c>
    </row>
    <row r="59">
      <c r="A59" s="1" t="s">
        <v>237</v>
      </c>
    </row>
    <row r="60">
      <c r="A60" s="1" t="s">
        <v>238</v>
      </c>
    </row>
    <row r="61">
      <c r="A61" s="1" t="s">
        <v>239</v>
      </c>
    </row>
    <row r="62">
      <c r="A62" s="1" t="s">
        <v>240</v>
      </c>
    </row>
    <row r="63">
      <c r="A63" s="1" t="s">
        <v>241</v>
      </c>
    </row>
    <row r="64">
      <c r="A64" s="1" t="s">
        <v>242</v>
      </c>
    </row>
    <row r="65">
      <c r="A65" s="1" t="s">
        <v>243</v>
      </c>
    </row>
    <row r="66">
      <c r="A66" s="1" t="s">
        <v>244</v>
      </c>
    </row>
    <row r="67">
      <c r="A67" s="1" t="s">
        <v>245</v>
      </c>
    </row>
    <row r="68">
      <c r="A68" s="1" t="s">
        <v>246</v>
      </c>
    </row>
    <row r="69">
      <c r="A69" s="1" t="s">
        <v>247</v>
      </c>
    </row>
    <row r="70">
      <c r="A70" s="1" t="s">
        <v>248</v>
      </c>
    </row>
    <row r="71">
      <c r="A71" s="1" t="s">
        <v>249</v>
      </c>
    </row>
    <row r="72">
      <c r="A72" s="1" t="s">
        <v>2</v>
      </c>
    </row>
    <row r="73">
      <c r="A73" s="1" t="s">
        <v>250</v>
      </c>
    </row>
    <row r="74">
      <c r="A74" s="1" t="s">
        <v>251</v>
      </c>
    </row>
    <row r="75">
      <c r="A75" s="1" t="s">
        <v>252</v>
      </c>
    </row>
    <row r="76">
      <c r="A76" s="1" t="s">
        <v>253</v>
      </c>
    </row>
    <row r="77">
      <c r="A77" s="1" t="s">
        <v>254</v>
      </c>
    </row>
    <row r="78">
      <c r="A78" s="1" t="s">
        <v>255</v>
      </c>
    </row>
    <row r="79">
      <c r="A79" s="1" t="s">
        <v>256</v>
      </c>
    </row>
    <row r="80">
      <c r="A80" s="1" t="s">
        <v>257</v>
      </c>
    </row>
    <row r="81">
      <c r="A81" s="1" t="s">
        <v>258</v>
      </c>
    </row>
  </sheetData>
  <drawing r:id="rId1"/>
</worksheet>
</file>