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 FASE 2  VERSIÓN FINAL" sheetId="1" r:id="rId4"/>
    <sheet state="visible" name="copia_imprimir" sheetId="2" r:id="rId5"/>
    <sheet state="visible" name="CASOS DE PRUEBA - CONCURRENCIA" sheetId="3" r:id="rId6"/>
    <sheet state="visible" name="HC Fase 2" sheetId="4" r:id="rId7"/>
  </sheets>
  <definedNames/>
  <calcPr/>
  <extLst>
    <ext uri="GoogleSheetsCustomDataVersion2">
      <go:sheetsCustomData xmlns:go="http://customooxmlschemas.google.com/" r:id="rId8" roundtripDataChecksum="hPKgMRfeMw7+iujo3EHylae4h4Dn6zPrx70Vknd1nck="/>
    </ext>
  </extLst>
</workbook>
</file>

<file path=xl/sharedStrings.xml><?xml version="1.0" encoding="utf-8"?>
<sst xmlns="http://schemas.openxmlformats.org/spreadsheetml/2006/main" count="356" uniqueCount="194">
  <si>
    <t>Universidad San Carlos de Guatemala</t>
  </si>
  <si>
    <t>Facultad de Ingeniería</t>
  </si>
  <si>
    <t>Escuela de Ciencias y Sistemas</t>
  </si>
  <si>
    <t>Análisis y Diseño de Sistemas 2 Sección A</t>
  </si>
  <si>
    <t>Segundo Semestre, 2025</t>
  </si>
  <si>
    <t>Calificación Proyecto Fase 2</t>
  </si>
  <si>
    <t xml:space="preserve">Grupo No. </t>
  </si>
  <si>
    <t>Integrantes</t>
  </si>
  <si>
    <t>Nombre</t>
  </si>
  <si>
    <t>Carnet</t>
  </si>
  <si>
    <t>Fecha:</t>
  </si>
  <si>
    <t>Inicio:</t>
  </si>
  <si>
    <t>Fin:</t>
  </si>
  <si>
    <t>Modalidad de calificación:</t>
  </si>
  <si>
    <t>Presencial</t>
  </si>
  <si>
    <t>Descripción de ponderación</t>
  </si>
  <si>
    <t>Valor</t>
  </si>
  <si>
    <t>Observación</t>
  </si>
  <si>
    <t>Punteo</t>
  </si>
  <si>
    <t>Funcionalidades (Drivers funcionales)</t>
  </si>
  <si>
    <t>CDUN (25 %)</t>
  </si>
  <si>
    <t>CDU EXPANDIDO (50%)</t>
  </si>
  <si>
    <t>Implementación en el diagrama de despliegue (75%)</t>
  </si>
  <si>
    <t>Impelemementación correcta en código (100%)</t>
  </si>
  <si>
    <t>Mantenimiento de pasajeros</t>
  </si>
  <si>
    <t>Crear pasajero</t>
  </si>
  <si>
    <t>Editar pasajero existente</t>
  </si>
  <si>
    <t>Eliminar pasajero existente</t>
  </si>
  <si>
    <t>Mantenimiento de tripulación y técnico</t>
  </si>
  <si>
    <t>Crear tripulación (pilotos, sobrecargos, técnico, agente de puerta)</t>
  </si>
  <si>
    <t>Editar tripulación  (pilotos, sobrecargos, técnico, agente de puerta)</t>
  </si>
  <si>
    <t>Eliminar tripulación  (pilotos, sobrecargos, técnico, agente de puerta)</t>
  </si>
  <si>
    <t>Mantenimiento de Avión</t>
  </si>
  <si>
    <t>Crear avión</t>
  </si>
  <si>
    <t>Editar Avión</t>
  </si>
  <si>
    <t>Eliminar Avión</t>
  </si>
  <si>
    <t>Drivers funcionales</t>
  </si>
  <si>
    <t>Registro de vuelos</t>
  </si>
  <si>
    <t>Registro de reservas</t>
  </si>
  <si>
    <t>Ejecución de vuelo</t>
  </si>
  <si>
    <t>Registro check-in en línea</t>
  </si>
  <si>
    <t>Registro check-in agente</t>
  </si>
  <si>
    <t>Realización de mantenimiento del avión por horas de vuelo</t>
  </si>
  <si>
    <t>Historial de vuelos</t>
  </si>
  <si>
    <t>Concurrencia y persistencia</t>
  </si>
  <si>
    <r>
      <rPr>
        <rFont val="Arial"/>
        <color theme="1"/>
      </rPr>
      <t>Concurrencia de check-in</t>
    </r>
    <r>
      <rPr>
        <rFont val="Arial"/>
        <i/>
        <color theme="1"/>
      </rPr>
      <t xml:space="preserve"> (Se evaluará la capacidad del sistema para manejar múltiples solicitudes de check-in simultáneas sin que se produzcan errores o inconsistencias)</t>
    </r>
  </si>
  <si>
    <t>Persistencia de datos de check-in</t>
  </si>
  <si>
    <r>
      <rPr>
        <rFont val="Arial"/>
        <color theme="1"/>
      </rPr>
      <t xml:space="preserve">Concurrencia de reserva </t>
    </r>
    <r>
      <rPr>
        <rFont val="Arial"/>
        <i/>
        <color theme="1"/>
      </rPr>
      <t>(Se evaluará la capacidad del sistema para gestionar múltiples solicitudes de reserva de forma simultánea. )</t>
    </r>
  </si>
  <si>
    <t>Persistencia de datos de reserva</t>
  </si>
  <si>
    <t>Documentacion</t>
  </si>
  <si>
    <t>Marco de trabajo Scrum</t>
  </si>
  <si>
    <t xml:space="preserve"> </t>
  </si>
  <si>
    <t>9 Daily standups</t>
  </si>
  <si>
    <t>3 Sprint planning</t>
  </si>
  <si>
    <t>3 Sprint retrospective</t>
  </si>
  <si>
    <t>3 Release</t>
  </si>
  <si>
    <t>Arquitectura</t>
  </si>
  <si>
    <t>Cambios en la planificacion basados en el feedback</t>
  </si>
  <si>
    <t>Manual de usuario</t>
  </si>
  <si>
    <t>Implementación de los 5 patrones de diseño</t>
  </si>
  <si>
    <t>Implementación de requerimientos no funcionales (EAC)</t>
  </si>
  <si>
    <t>Uso de Docker y arquitectura en la nube</t>
  </si>
  <si>
    <t>DEBE SER CONDICIÓN PARA CALIFICAR</t>
  </si>
  <si>
    <t>Total</t>
  </si>
  <si>
    <t>CATEGORÍA</t>
  </si>
  <si>
    <t>EXCELENTE</t>
  </si>
  <si>
    <t>SATISFACTORIO</t>
  </si>
  <si>
    <t>MEJORABLE</t>
  </si>
  <si>
    <t>INSUFICIENTE</t>
  </si>
  <si>
    <t>DISTRIBUCIÓN DE LAS TAREAS</t>
  </si>
  <si>
    <r>
      <rPr>
        <rFont val="Arial"/>
        <color theme="1"/>
        <sz val="9.0"/>
      </rPr>
      <t xml:space="preserve">La distribución de “todas” las tareas asignadas ha sido equitativa en función del resto de los miembros del equipo.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</si>
  <si>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La distribución de “la mayor parte de las tareas asignadas” ha sido de forma equitativa entre todos los miembros del equipo.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</si>
  <si>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La distribución del 50% de las tareas asignadas ha sido de forma equitativa entre todos los miembros del equipo.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</si>
  <si>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Ha habido un reparto muy desigual de las tareas entre los diferentes miembros del equipo.
</t>
    </r>
    <r>
      <rPr>
        <rFont val="Arial"/>
        <b/>
        <color theme="1"/>
        <sz val="9.0"/>
      </rPr>
      <t>0/5</t>
    </r>
  </si>
  <si>
    <t>SEGUIMIENTO DE TAREAS POR PARTE DEL AUXILIAR</t>
  </si>
  <si>
    <r>
      <rPr>
        <rFont val="Arial"/>
        <color theme="1"/>
        <sz val="9.0"/>
      </rPr>
      <t xml:space="preserve">Durante la realización de todas las tareas y en todos los momentos de revisión, el auxiliar ha podido monitorear su trabajo con el incremento esperado.
</t>
    </r>
    <r>
      <rPr>
        <rFont val="Arial"/>
        <b/>
        <color theme="1"/>
        <sz val="9.0"/>
      </rPr>
      <t xml:space="preserve">5/5
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</si>
  <si>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Durante la realización de la mayor parte las tareas y en la mayor parte de los momentos de revisión, el auxiliar ha podido monitorear su trabajo con el incremento esperado.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</si>
  <si>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Durante la realización de las tareas y en el 50% de los momentos de revisión, el auxiliar ha podido monitorear su trabajo con el incremento esperado.
</t>
    </r>
    <r>
      <rPr>
        <rFont val="Arial"/>
        <b/>
        <color theme="1"/>
        <sz val="9.0"/>
      </rPr>
      <t>2/5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</si>
  <si>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Durante la realización de las tareas y en menos del 50% de los momentos de revisión, el auxiliar ha podido monitorear su trabajo con el incremento esperado.
</t>
    </r>
    <r>
      <rPr>
        <rFont val="Arial"/>
        <b/>
        <color theme="1"/>
        <sz val="9.0"/>
      </rPr>
      <t>0/5</t>
    </r>
  </si>
  <si>
    <t xml:space="preserve">ASUNCIÓN DE FUNCIONES Y RESPONSABILIDADES
</t>
  </si>
  <si>
    <r>
      <rPr>
        <rFont val="Arial"/>
        <color theme="1"/>
        <sz val="9.0"/>
      </rPr>
      <t xml:space="preserve">Ha demostrado en un 100% que realizó sus funciones y ha cumplido a la perfección sus responsabilidades.
</t>
    </r>
    <r>
      <rPr>
        <rFont val="Arial"/>
        <b/>
        <color theme="1"/>
        <sz val="9.0"/>
      </rPr>
      <t>10/10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</si>
  <si>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Ha ejercido sus funciones y ha cumplido sus responsabilidades en al menos un 75%
</t>
    </r>
    <r>
      <rPr>
        <rFont val="Arial"/>
        <b/>
        <color theme="1"/>
        <sz val="9.0"/>
      </rPr>
      <t>7/10</t>
    </r>
  </si>
  <si>
    <r>
      <rPr>
        <rFont val="Arial"/>
        <color theme="1"/>
        <sz val="9.0"/>
      </rPr>
      <t xml:space="preserve">Ha ejercido sus funciones y ha cumplido sus responsabilidades en al menos un 50%
</t>
    </r>
    <r>
      <rPr>
        <rFont val="Arial"/>
        <b/>
        <color theme="1"/>
        <sz val="9.0"/>
      </rPr>
      <t>4/10</t>
    </r>
  </si>
  <si>
    <r>
      <rPr>
        <rFont val="Arial"/>
        <color theme="1"/>
        <sz val="9.0"/>
      </rPr>
      <t xml:space="preserve">Ha ejercido sus funciones y ha cumplido sus responsabilidades en menos de un 50%
</t>
    </r>
    <r>
      <rPr>
        <rFont val="Arial"/>
        <b/>
        <color theme="1"/>
        <sz val="9.0"/>
      </rPr>
      <t>0/10</t>
    </r>
  </si>
  <si>
    <t>ESTUDIANTE</t>
  </si>
  <si>
    <t>RESULTADO</t>
  </si>
  <si>
    <t>PUNTEO</t>
  </si>
  <si>
    <t>TOTAL</t>
  </si>
  <si>
    <t>Calificado por:</t>
  </si>
  <si>
    <t>Mynor Francisco Morán García</t>
  </si>
  <si>
    <t>Tutor académico</t>
  </si>
  <si>
    <r>
      <rPr>
        <rFont val="Arial"/>
        <b/>
        <color theme="1"/>
      </rPr>
      <t xml:space="preserve">Grupo No. </t>
    </r>
    <r>
      <rPr>
        <rFont val="Arial"/>
        <color theme="1"/>
      </rPr>
      <t>____, estamos de acuerdo con la nota obtenida, la cual se detalla a continuación, bajo las siguientes consideraciones:</t>
    </r>
  </si>
  <si>
    <r>
      <rPr>
        <rFont val="Arial"/>
        <color theme="1"/>
      </rPr>
      <t xml:space="preserve">1) Esta nota </t>
    </r>
    <r>
      <rPr>
        <rFont val="Arial"/>
        <b/>
        <color theme="1"/>
      </rPr>
      <t>puede cambiar en cualquier momento, previo a su publicación en DTT</t>
    </r>
    <r>
      <rPr>
        <rFont val="Arial"/>
        <color theme="1"/>
      </rPr>
      <t>, según criterio del catedrático del curso.</t>
    </r>
  </si>
  <si>
    <t>Habilidades técnicas y documentación:</t>
  </si>
  <si>
    <t>_____ pts</t>
  </si>
  <si>
    <t>Habilidades blandas:</t>
  </si>
  <si>
    <t>Total:</t>
  </si>
  <si>
    <t>Representante de Grupo</t>
  </si>
  <si>
    <t>Nombre, carnet y firma</t>
  </si>
  <si>
    <t>Análisis y Diseño de Sistemas 2 Sección B</t>
  </si>
  <si>
    <r>
      <rPr>
        <rFont val="Arial"/>
        <color theme="1"/>
      </rPr>
      <t>Concurrencia de check-in</t>
    </r>
    <r>
      <rPr>
        <rFont val="Arial"/>
        <i/>
        <color theme="1"/>
      </rPr>
      <t xml:space="preserve"> (Se evaluará la capacidad del sistema para manejar múltiples solicitudes de check-in simultáneas sin que se produzcan errores o inconsistencias)</t>
    </r>
  </si>
  <si>
    <r>
      <rPr>
        <rFont val="Arial"/>
        <color theme="1"/>
      </rPr>
      <t xml:space="preserve">Concurrencia de reserva </t>
    </r>
    <r>
      <rPr>
        <rFont val="Arial"/>
        <i/>
        <color theme="1"/>
      </rPr>
      <t>(Se evaluará la capacidad del sistema para gestionar múltiples solicitudes de reserva de forma simultánea. )</t>
    </r>
  </si>
  <si>
    <r>
      <rPr>
        <rFont val="Arial"/>
        <color theme="1"/>
        <sz val="9.0"/>
      </rPr>
      <t xml:space="preserve">La distribución de “todas” las tareas asignadas ha sido equitativa en función del resto de los miembros del equipo.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</si>
  <si>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La distribución de “la mayor parte de las tareas asignadas” ha sido de forma equitativa entre todos los miembros del equipo.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</si>
  <si>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La distribución del 50% de las tareas asignadas ha sido de forma equitativa entre todos los miembros del equipo.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</si>
  <si>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Ha habido un reparto muy desigual de las tareas entre los diferentes miembros del equipo.
</t>
    </r>
    <r>
      <rPr>
        <rFont val="Arial"/>
        <b/>
        <color theme="1"/>
        <sz val="9.0"/>
      </rPr>
      <t>0/5</t>
    </r>
  </si>
  <si>
    <r>
      <rPr>
        <rFont val="Arial"/>
        <color theme="1"/>
        <sz val="9.0"/>
      </rPr>
      <t xml:space="preserve">Durante la realización de todas las tareas y en todos los momentos de revisión, el auxiliar ha podido monitorear su trabajo con el incremento esperado.
</t>
    </r>
    <r>
      <rPr>
        <rFont val="Arial"/>
        <b/>
        <color theme="1"/>
        <sz val="9.0"/>
      </rPr>
      <t xml:space="preserve">5/5
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</si>
  <si>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Durante la realización de la mayor parte las tareas y en la mayor parte de los momentos de revisión, el auxiliar ha podido monitorear su trabajo con el incremento esperado.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</si>
  <si>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Durante la realización de las tareas y en el 50% de los momentos de revisión, el auxiliar ha podido monitorear su trabajo con el incremento esperado.
</t>
    </r>
    <r>
      <rPr>
        <rFont val="Arial"/>
        <b/>
        <color theme="1"/>
        <sz val="9.0"/>
      </rPr>
      <t>2/5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</si>
  <si>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Durante la realización de las tareas y en menos del 50% de los momentos de revisión, el auxiliar ha podido monitorear su trabajo con el incremento esperado.
</t>
    </r>
    <r>
      <rPr>
        <rFont val="Arial"/>
        <b/>
        <color theme="1"/>
        <sz val="9.0"/>
      </rPr>
      <t>0/5</t>
    </r>
  </si>
  <si>
    <r>
      <rPr>
        <rFont val="Arial"/>
        <color theme="1"/>
        <sz val="9.0"/>
      </rPr>
      <t xml:space="preserve">Ha demostrado en un 100% que realizó sus funciones y ha cumplido a la perfección sus responsabilidades.
</t>
    </r>
    <r>
      <rPr>
        <rFont val="Arial"/>
        <b/>
        <color theme="1"/>
        <sz val="9.0"/>
      </rPr>
      <t>10/10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</si>
  <si>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Ha ejercido sus funciones y ha cumplido sus responsabilidades en al menos un 75%
</t>
    </r>
    <r>
      <rPr>
        <rFont val="Arial"/>
        <b/>
        <color theme="1"/>
        <sz val="9.0"/>
      </rPr>
      <t>7/10</t>
    </r>
  </si>
  <si>
    <r>
      <rPr>
        <rFont val="Arial"/>
        <color theme="1"/>
        <sz val="9.0"/>
      </rPr>
      <t xml:space="preserve">Ha ejercido sus funciones y ha cumplido sus responsabilidades en al menos un 50%
</t>
    </r>
    <r>
      <rPr>
        <rFont val="Arial"/>
        <b/>
        <color theme="1"/>
        <sz val="9.0"/>
      </rPr>
      <t>4/10</t>
    </r>
  </si>
  <si>
    <r>
      <rPr>
        <rFont val="Arial"/>
        <color theme="1"/>
        <sz val="9.0"/>
      </rPr>
      <t xml:space="preserve">Ha ejercido sus funciones y ha cumplido sus responsabilidades en menos de un 50%
</t>
    </r>
    <r>
      <rPr>
        <rFont val="Arial"/>
        <b/>
        <color theme="1"/>
        <sz val="9.0"/>
      </rPr>
      <t>0/10</t>
    </r>
  </si>
  <si>
    <t>Melyza Alejandra Rodríguez Contreras</t>
  </si>
  <si>
    <r>
      <rPr>
        <rFont val="Arial"/>
        <b/>
        <color theme="1"/>
      </rPr>
      <t xml:space="preserve">Grupo No. </t>
    </r>
    <r>
      <rPr>
        <rFont val="Arial"/>
        <color theme="1"/>
      </rPr>
      <t>____, estamos de acuerdo con la nota obtenida, la cual se detalla a continuación, bajo las siguientes consideraciones:</t>
    </r>
  </si>
  <si>
    <r>
      <rPr>
        <rFont val="Arial"/>
        <color theme="1"/>
      </rPr>
      <t xml:space="preserve">1) Esta nota </t>
    </r>
    <r>
      <rPr>
        <rFont val="Arial"/>
        <b/>
        <color theme="1"/>
      </rPr>
      <t>puede cambiar en cualquier momento, previo a su publicación en DTT</t>
    </r>
    <r>
      <rPr>
        <rFont val="Arial"/>
        <color theme="1"/>
      </rPr>
      <t>, según criterio del catedrático del curso.</t>
    </r>
  </si>
  <si>
    <t>CASO DE PRUEBA - RESERVA SIMULTANEA DE ASIENTOS</t>
  </si>
  <si>
    <t>CASO DE PRUEBA - CONCURRENCIA DE CHECK-IN</t>
  </si>
  <si>
    <t>Reserva simultánea de asientos:
Propósito: Confirmar que dos o más usuarios intentan reservar el mismo asiento en el mismo vuelo y que el sistema solo permite la reserva a uno de ellos, mientras que los demás reciben un mensaje de error o una notificación de que el asiento ya no está disponible.
Pasos:
1. Configurar un vuelo con pocos asientos disponibles.
2. varios usuarios que seleccionan y confirman el mismo asiento al mismo tiempo.
Verificar que solo una de las reservas se completa con éxito y que las otras fallan.</t>
  </si>
  <si>
    <t>Propósito: Asegurar que múltiples usuarios pueden realizar el check-in para el mismo vuelo sin conflictos. Esto incluye la emisión correcta de pases de abordar y la actualización del estado del vuelo.
Pasos:
Crear pasajeros que ya tienen una reserva confirmada para un vuelo.
Simular a varios de estos usuarios intentando hacer el check-in en un lapso de tiempo muy corto.
Validar que cada usuario recibe su pase de abordar individual y que el sistema actualiza correctamente el estado de cada reserva a "check-in completo" sin conflictos.</t>
  </si>
  <si>
    <t>___/09/2025</t>
  </si>
  <si>
    <t>DESCRIPCIÓN DE PONDERACIÓN</t>
  </si>
  <si>
    <t>VALOR</t>
  </si>
  <si>
    <t>OBSERVACIONES</t>
  </si>
  <si>
    <t>Escenario de Trazabilidad por funcionalidad</t>
  </si>
  <si>
    <t>CASO DE PRUEBA 1 - AVIONES Y TRIPULACIÓN (9 pts.)</t>
  </si>
  <si>
    <t>No cumple con ninguna</t>
  </si>
  <si>
    <t>A que proceso de negocio pertenece (Pertenece a un CUN en la Primera descomposicion)</t>
  </si>
  <si>
    <t>Modificar avión</t>
  </si>
  <si>
    <t>Esta presente en los CDU expandidos (a partir de aqui debe tener siempre el mismo nombre)</t>
  </si>
  <si>
    <t>Eliminar avión</t>
  </si>
  <si>
    <t>Debe aparecer en el diagrama de despliegue como una interfaz que realiza un componente de software (verificar que el componente pertenece a la estructura modular)</t>
  </si>
  <si>
    <t>Tipos de tripulación</t>
  </si>
  <si>
    <t>Codigo corresponde con Diagrama de componentes</t>
  </si>
  <si>
    <t>Crear miembro de tripulación</t>
  </si>
  <si>
    <t>Modificar miembro de tripulación</t>
  </si>
  <si>
    <t>Eliminar miembro de tripulación</t>
  </si>
  <si>
    <t>CASO DE PRUEBA 2 - CREACION DE VUELOS (9 pts.)</t>
  </si>
  <si>
    <t>Creación de vuelo</t>
  </si>
  <si>
    <t>Ubicación física del avión</t>
  </si>
  <si>
    <t>Asignación correcta de tripulación</t>
  </si>
  <si>
    <t>Cancelación de vuelo y notificación</t>
  </si>
  <si>
    <t>CASO DE PRUEBA 3 - PASAJEROS, RESERVAS Y CHECK-IN (17 pts.)</t>
  </si>
  <si>
    <t>Registro de pasajero</t>
  </si>
  <si>
    <t>Confirmación y activación de registro de pasajero</t>
  </si>
  <si>
    <t>Modificación de datos del pasajero</t>
  </si>
  <si>
    <t>Selección de asiento para reserva</t>
  </si>
  <si>
    <t>Compra de maletas extra</t>
  </si>
  <si>
    <t xml:space="preserve">Reserva de vuelo </t>
  </si>
  <si>
    <t xml:space="preserve">Notificación de reserva con QR </t>
  </si>
  <si>
    <t>Check-in en línea</t>
  </si>
  <si>
    <t>Check-in físico</t>
  </si>
  <si>
    <t>Embarque de pasajero (Lectura QR)</t>
  </si>
  <si>
    <t>CASO DE PRUEBA 4 - EJECUCIÓN DE VUELO (14 pts.)</t>
  </si>
  <si>
    <t xml:space="preserve">Inicio de vuelo </t>
  </si>
  <si>
    <t>Actualización automática de estados de vuelo</t>
  </si>
  <si>
    <t>Monitoreo de estados de vuelo (Tracking en pantalla)</t>
  </si>
  <si>
    <t xml:space="preserve">Notificación de estados de vuelo </t>
  </si>
  <si>
    <t>Fin de vuelo</t>
  </si>
  <si>
    <t>Actualización de datos al finalizar el vuelo (horas de vuelo del avión, experiencia del piloto, vuelos del sobrecargo, sistema de fidelización)</t>
  </si>
  <si>
    <t>CASO DE PRUEBA 5 - MANTENIMIENTO DE AVION (6 pts.)</t>
  </si>
  <si>
    <t xml:space="preserve">Límite de horas para mantenimiento por capacidad </t>
  </si>
  <si>
    <t>Alerta de mantenimiento por límite de horas</t>
  </si>
  <si>
    <t>Bloqueo por mantenimiento</t>
  </si>
  <si>
    <t>Revisión técnica y liberación de avión</t>
  </si>
  <si>
    <t>METODOLOGÍA DE DESARROLLO (9 pts.)</t>
  </si>
  <si>
    <t>Tablero Kanban</t>
  </si>
  <si>
    <t>Cantidad correcta de sprints (3 sprints)</t>
  </si>
  <si>
    <t>Sprint planning con documentación (3 reuniones)</t>
  </si>
  <si>
    <t>Daily meet con documentación (9 reuniones - 3 por sprint)</t>
  </si>
  <si>
    <t>Sprint retrospective con documentación (3 reuniones)</t>
  </si>
  <si>
    <t>DOCUMENTACIÓN (21 pts.)</t>
  </si>
  <si>
    <t>Implementación del estilo arquitectónico propuesto</t>
  </si>
  <si>
    <t>Implementación de los requerimientos no funcionales por medio de EAC</t>
  </si>
  <si>
    <t>Mejoras a la solución propuesta en la fase 1 debidamente documentadas</t>
  </si>
  <si>
    <t>Manual de usuario detallado</t>
  </si>
  <si>
    <t>Uso de Docker (Imágenes, contenedores, Docker-Compose)</t>
  </si>
  <si>
    <r>
      <rPr>
        <rFont val="Arial,sans-serif"/>
        <color rgb="FF000000"/>
        <sz val="9.0"/>
      </rPr>
      <t xml:space="preserve">La distribución de “todas” las tareas asignadas ha sido equitativa en función del resto de los miembros del equipo.
</t>
    </r>
    <r>
      <rPr>
        <rFont val="Arial,sans-serif"/>
        <b/>
        <color rgb="FF000000"/>
        <sz val="9.0"/>
      </rPr>
      <t>5/5</t>
    </r>
    <r>
      <rPr>
        <rFont val="Arial,sans-serif"/>
        <color rgb="FF000000"/>
        <sz val="9.0"/>
      </rPr>
      <t xml:space="preserve">
</t>
    </r>
  </si>
  <si>
    <r>
      <rPr>
        <rFont val="Arial,sans-serif"/>
        <color rgb="FF000000"/>
        <sz val="9.0"/>
      </rPr>
      <t xml:space="preserve">La distribución de “la mayor parte de las tareas asignadas” ha sido de forma equitativa entre todos los miembros del equipo.
</t>
    </r>
    <r>
      <rPr>
        <rFont val="Arial,sans-serif"/>
        <b/>
        <color rgb="FF000000"/>
        <sz val="9.0"/>
      </rPr>
      <t>3/5</t>
    </r>
  </si>
  <si>
    <r>
      <rPr>
        <rFont val="Arial,sans-serif"/>
        <color rgb="FF000000"/>
        <sz val="9.0"/>
      </rPr>
      <t xml:space="preserve">La distribución del 50% de las tareas asignadas ha sido de forma equitativa entre todos los miembros del equipo.
</t>
    </r>
    <r>
      <rPr>
        <rFont val="Arial,sans-serif"/>
        <b/>
        <color rgb="FF000000"/>
        <sz val="9.0"/>
      </rPr>
      <t>2/5</t>
    </r>
  </si>
  <si>
    <r>
      <rPr>
        <rFont val="Arial,sans-serif"/>
        <color rgb="FF000000"/>
        <sz val="9.0"/>
      </rPr>
      <t xml:space="preserve">Ha habido un reparto muy desigual de las tareas entre los diferentes miembros del equipo.
</t>
    </r>
    <r>
      <rPr>
        <rFont val="Arial,sans-serif"/>
        <b/>
        <color rgb="FF000000"/>
        <sz val="9.0"/>
      </rPr>
      <t>0/5</t>
    </r>
  </si>
  <si>
    <r>
      <rPr>
        <rFont val="Arial"/>
        <color theme="1"/>
        <sz val="9.0"/>
      </rPr>
      <t xml:space="preserve">Ha demostrado en un 100% que realizó sus funciones y ha cumplido a la perfección sus responsabilidades.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</si>
  <si>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Ha ejercido sus funciones y ha cumplido sus responsabilidades en al menos un 75%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</si>
  <si>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Ha ejercido sus funciones y ha cumplido sus responsabilidades en al menos un 50%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</si>
  <si>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Ha ejercido sus funciones y ha cumplido sus responsabilidades en menos de un 50%
</t>
    </r>
    <r>
      <rPr>
        <rFont val="Arial"/>
        <b/>
        <color theme="1"/>
        <sz val="9.0"/>
      </rPr>
      <t>0/5</t>
    </r>
  </si>
  <si>
    <t>VALIDACION COCOCYS - ACTIVIDAD DE MODIFICACIÓN</t>
  </si>
  <si>
    <r>
      <rPr>
        <rFont val="Arial"/>
        <color theme="1"/>
        <sz val="9.0"/>
      </rPr>
      <t xml:space="preserve">Realizó la modificación y cumplió a cabalidad con lo requerido, logrando integrar correctamente el cambio asignado.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</si>
  <si>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Logró integrar en al menos un 75% el cambio asignado.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</si>
  <si>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Logró integrar en al menos un 50% el cambio asignado.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</si>
  <si>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No logró implementar la modificación requerida.
</t>
    </r>
    <r>
      <rPr>
        <rFont val="Arial"/>
        <b/>
        <color theme="1"/>
        <sz val="9.0"/>
      </rPr>
      <t xml:space="preserve">0/5
</t>
    </r>
  </si>
  <si>
    <r>
      <rPr>
        <rFont val="Arial"/>
        <b/>
        <color theme="1"/>
      </rPr>
      <t xml:space="preserve">Grupo No. </t>
    </r>
    <r>
      <rPr>
        <rFont val="Arial"/>
        <color theme="1"/>
      </rPr>
      <t>____, estamos de acuerdo con la nota obtenida, la cual se detalla a continuación, bajo las siguientes consideraciones:</t>
    </r>
  </si>
  <si>
    <r>
      <rPr>
        <rFont val="Arial"/>
        <color theme="1"/>
      </rPr>
      <t xml:space="preserve">1) Esta nota </t>
    </r>
    <r>
      <rPr>
        <rFont val="Arial"/>
        <b/>
        <color theme="1"/>
      </rPr>
      <t>puede cambiar en cualquier momento, previo a su publicación en DTT</t>
    </r>
    <r>
      <rPr>
        <rFont val="Arial"/>
        <color theme="1"/>
      </rPr>
      <t>, según criterio del catedrático del curso.</t>
    </r>
  </si>
  <si>
    <r>
      <rPr>
        <rFont val="Arial"/>
        <color theme="1"/>
      </rPr>
      <t xml:space="preserve">2) Para tener derecho a la nota obtenida, </t>
    </r>
    <r>
      <rPr>
        <rFont val="Arial"/>
        <b/>
        <color theme="1"/>
      </rPr>
      <t>se debe obtener un resultado satisfactorio en la modificación requerida por la Escuela de Sistemas</t>
    </r>
    <r>
      <rPr>
        <rFont val="Arial"/>
        <color theme="1"/>
      </rPr>
      <t xml:space="preserve"> mediante la metodología COCOSYS. Esta modificación es evaluada</t>
    </r>
    <r>
      <rPr>
        <rFont val="Arial"/>
        <b/>
        <color theme="1"/>
      </rPr>
      <t xml:space="preserve"> INDIVIDUALMENTE</t>
    </r>
    <r>
      <rPr>
        <rFont val="Arial"/>
        <color theme="1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</si>
</sst>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20.0"/>
      <color theme="1"/>
      <name val="Arial"/>
    </font>
    <font>
      <b/>
      <color rgb="FFFFFFFF"/>
      <name val="Arial"/>
    </font>
    <font>
      <b/>
      <sz val="8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b/>
      <sz val="11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color rgb="FFFF0000"/>
      <name val="Arial"/>
    </font>
    <font/>
    <font>
      <sz val="7.0"/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5F6F8"/>
        <bgColor rgb="FFF5F6F8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1C4587"/>
        <bgColor rgb="FF1C4587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2" fontId="4" numFmtId="0" xfId="0" applyAlignment="1" applyFill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2" numFmtId="164" xfId="0" applyAlignment="1" applyFont="1" applyNumberFormat="1">
      <alignment horizontal="center" readingOrder="0" vertical="bottom"/>
    </xf>
    <xf borderId="0" fillId="2" fontId="2" numFmtId="0" xfId="0" applyAlignment="1" applyFont="1">
      <alignment vertical="bottom"/>
    </xf>
    <xf borderId="3" fillId="4" fontId="2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2" fontId="6" numFmtId="0" xfId="0" applyFont="1"/>
    <xf borderId="2" fillId="4" fontId="2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2" fontId="8" numFmtId="0" xfId="0" applyAlignment="1" applyFont="1">
      <alignment horizontal="center"/>
    </xf>
    <xf borderId="2" fillId="5" fontId="8" numFmtId="0" xfId="0" applyAlignment="1" applyBorder="1" applyFill="1" applyFont="1">
      <alignment horizontal="center"/>
    </xf>
    <xf borderId="0" fillId="0" fontId="7" numFmtId="9" xfId="0" applyAlignment="1" applyFont="1" applyNumberFormat="1">
      <alignment horizontal="right" vertical="bottom"/>
    </xf>
    <xf borderId="2" fillId="6" fontId="8" numFmtId="0" xfId="0" applyAlignment="1" applyBorder="1" applyFill="1" applyFont="1">
      <alignment horizontal="center" vertical="center"/>
    </xf>
    <xf borderId="2" fillId="6" fontId="8" numFmtId="0" xfId="0" applyAlignment="1" applyBorder="1" applyFont="1">
      <alignment horizontal="center" readingOrder="0" vertical="center"/>
    </xf>
    <xf borderId="2" fillId="6" fontId="8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vertical="center"/>
    </xf>
    <xf borderId="0" fillId="2" fontId="7" numFmtId="0" xfId="0" applyAlignment="1" applyFont="1">
      <alignment readingOrder="0"/>
    </xf>
    <xf borderId="2" fillId="7" fontId="8" numFmtId="0" xfId="0" applyAlignment="1" applyBorder="1" applyFill="1" applyFont="1">
      <alignment horizontal="center" readingOrder="0"/>
    </xf>
    <xf borderId="2" fillId="7" fontId="8" numFmtId="0" xfId="0" applyAlignment="1" applyBorder="1" applyFont="1">
      <alignment horizontal="center"/>
    </xf>
    <xf borderId="2" fillId="7" fontId="7" numFmtId="0" xfId="0" applyBorder="1" applyFont="1"/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/>
    </xf>
    <xf borderId="2" fillId="0" fontId="7" numFmtId="0" xfId="0" applyBorder="1" applyFont="1"/>
    <xf borderId="5" fillId="0" fontId="7" numFmtId="0" xfId="0" applyBorder="1" applyFont="1"/>
    <xf borderId="2" fillId="0" fontId="6" numFmtId="0" xfId="0" applyAlignment="1" applyBorder="1" applyFont="1">
      <alignment readingOrder="0" shrinkToFit="0" wrapText="1"/>
    </xf>
    <xf borderId="2" fillId="0" fontId="6" numFmtId="0" xfId="0" applyBorder="1" applyFont="1"/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/>
    </xf>
    <xf borderId="2" fillId="6" fontId="8" numFmtId="0" xfId="0" applyAlignment="1" applyBorder="1" applyFont="1">
      <alignment horizontal="center"/>
    </xf>
    <xf borderId="4" fillId="6" fontId="7" numFmtId="0" xfId="0" applyBorder="1" applyFont="1"/>
    <xf borderId="2" fillId="8" fontId="8" numFmtId="0" xfId="0" applyAlignment="1" applyBorder="1" applyFill="1" applyFont="1">
      <alignment horizontal="center"/>
    </xf>
    <xf borderId="2" fillId="7" fontId="7" numFmtId="0" xfId="0" applyAlignment="1" applyBorder="1" applyFont="1">
      <alignment readingOrder="0"/>
    </xf>
    <xf borderId="2" fillId="0" fontId="9" numFmtId="0" xfId="0" applyAlignment="1" applyBorder="1" applyFont="1">
      <alignment horizontal="center" readingOrder="0"/>
    </xf>
    <xf borderId="0" fillId="2" fontId="7" numFmtId="0" xfId="0" applyFont="1"/>
    <xf borderId="2" fillId="6" fontId="7" numFmtId="0" xfId="0" applyBorder="1" applyFont="1"/>
    <xf borderId="2" fillId="9" fontId="10" numFmtId="0" xfId="0" applyAlignment="1" applyBorder="1" applyFill="1" applyFont="1">
      <alignment horizontal="center" shrinkToFit="0" vertical="bottom" wrapText="1"/>
    </xf>
    <xf borderId="2" fillId="10" fontId="10" numFmtId="0" xfId="0" applyAlignment="1" applyBorder="1" applyFill="1" applyFont="1">
      <alignment horizontal="center" shrinkToFit="0" vertical="bottom" wrapText="1"/>
    </xf>
    <xf borderId="2" fillId="11" fontId="10" numFmtId="0" xfId="0" applyAlignment="1" applyBorder="1" applyFill="1" applyFont="1">
      <alignment horizontal="center" shrinkToFit="0" vertical="bottom" wrapText="1"/>
    </xf>
    <xf borderId="2" fillId="12" fontId="10" numFmtId="0" xfId="0" applyAlignment="1" applyBorder="1" applyFill="1" applyFont="1">
      <alignment horizontal="center" shrinkToFit="0" vertical="bottom" wrapText="1"/>
    </xf>
    <xf borderId="2" fillId="13" fontId="10" numFmtId="0" xfId="0" applyAlignment="1" applyBorder="1" applyFill="1" applyFont="1">
      <alignment horizontal="center" shrinkToFit="0" vertical="bottom" wrapText="1"/>
    </xf>
    <xf borderId="2" fillId="0" fontId="1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readingOrder="0" shrinkToFit="0" vertical="top" wrapText="1"/>
    </xf>
    <xf borderId="2" fillId="9" fontId="10" numFmtId="0" xfId="0" applyAlignment="1" applyBorder="1" applyFont="1">
      <alignment horizontal="center" readingOrder="0" shrinkToFit="0" vertical="bottom" wrapText="1"/>
    </xf>
    <xf borderId="6" fillId="4" fontId="2" numFmtId="0" xfId="0" applyBorder="1" applyFont="1"/>
    <xf borderId="2" fillId="0" fontId="1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6" fillId="2" fontId="13" numFmtId="0" xfId="0" applyAlignment="1" applyBorder="1" applyFont="1">
      <alignment horizontal="center"/>
    </xf>
    <xf borderId="7" fillId="0" fontId="14" numFmtId="0" xfId="0" applyBorder="1" applyFont="1"/>
    <xf borderId="3" fillId="0" fontId="14" numFmtId="0" xfId="0" applyBorder="1" applyFont="1"/>
    <xf borderId="6" fillId="2" fontId="13" numFmtId="0" xfId="0" applyAlignment="1" applyBorder="1" applyFont="1">
      <alignment horizontal="right" vertical="bottom"/>
    </xf>
    <xf borderId="6" fillId="0" fontId="2" numFmtId="0" xfId="0" applyBorder="1" applyFont="1"/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2" fillId="0" fontId="16" numFmtId="0" xfId="0" applyAlignment="1" applyBorder="1" applyFont="1">
      <alignment horizontal="center" readingOrder="0"/>
    </xf>
    <xf borderId="2" fillId="0" fontId="16" numFmtId="0" xfId="0" applyAlignment="1" applyBorder="1" applyFont="1">
      <alignment horizontal="center"/>
    </xf>
    <xf borderId="0" fillId="14" fontId="6" numFmtId="0" xfId="0" applyAlignment="1" applyFill="1" applyFont="1">
      <alignment readingOrder="0"/>
    </xf>
    <xf borderId="0" fillId="0" fontId="17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8" fillId="3" fontId="4" numFmtId="0" xfId="0" applyAlignment="1" applyBorder="1" applyFont="1">
      <alignment horizontal="center" vertical="bottom"/>
    </xf>
    <xf borderId="0" fillId="0" fontId="8" numFmtId="0" xfId="0" applyAlignment="1" applyFont="1">
      <alignment horizontal="center" shrinkToFit="0" wrapText="1"/>
    </xf>
    <xf borderId="1" fillId="9" fontId="8" numFmtId="0" xfId="0" applyAlignment="1" applyBorder="1" applyFont="1">
      <alignment horizontal="center" shrinkToFit="0" vertical="bottom" wrapText="1"/>
    </xf>
    <xf borderId="9" fillId="9" fontId="8" numFmtId="0" xfId="0" applyAlignment="1" applyBorder="1" applyFont="1">
      <alignment horizontal="center" shrinkToFit="0" vertical="bottom" wrapText="1"/>
    </xf>
    <xf borderId="8" fillId="9" fontId="8" numFmtId="0" xfId="0" applyAlignment="1" applyBorder="1" applyFont="1">
      <alignment horizontal="center" shrinkToFit="0" vertical="bottom" wrapText="1"/>
    </xf>
    <xf borderId="0" fillId="0" fontId="18" numFmtId="0" xfId="0" applyAlignment="1" applyFont="1">
      <alignment horizontal="center" shrinkToFit="0" wrapText="1"/>
    </xf>
    <xf borderId="5" fillId="15" fontId="1" numFmtId="0" xfId="0" applyAlignment="1" applyBorder="1" applyFill="1" applyFont="1">
      <alignment shrinkToFit="0" vertical="bottom" wrapText="1"/>
    </xf>
    <xf borderId="10" fillId="0" fontId="14" numFmtId="0" xfId="0" applyBorder="1" applyFont="1"/>
    <xf borderId="11" fillId="15" fontId="2" numFmtId="0" xfId="0" applyAlignment="1" applyBorder="1" applyFont="1">
      <alignment vertical="bottom"/>
    </xf>
    <xf borderId="0" fillId="0" fontId="16" numFmtId="0" xfId="0" applyAlignment="1" applyFont="1">
      <alignment horizontal="left" shrinkToFit="0" wrapText="1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right" shrinkToFit="0" vertical="top" wrapText="1"/>
    </xf>
    <xf borderId="2" fillId="0" fontId="2" numFmtId="0" xfId="0" applyAlignment="1" applyBorder="1" applyFont="1">
      <alignment vertical="top"/>
    </xf>
    <xf borderId="11" fillId="0" fontId="2" numFmtId="0" xfId="0" applyAlignment="1" applyBorder="1" applyFont="1">
      <alignment vertical="bottom"/>
    </xf>
    <xf borderId="0" fillId="0" fontId="18" numFmtId="0" xfId="0" applyAlignment="1" applyFont="1">
      <alignment horizontal="right" shrinkToFit="0" wrapText="1"/>
    </xf>
    <xf borderId="5" fillId="15" fontId="1" numFmtId="0" xfId="0" applyAlignment="1" applyBorder="1" applyFont="1">
      <alignment horizontal="right" shrinkToFit="0" vertical="bottom" wrapText="1"/>
    </xf>
    <xf borderId="10" fillId="15" fontId="1" numFmtId="0" xfId="0" applyAlignment="1" applyBorder="1" applyFont="1">
      <alignment horizontal="right" shrinkToFit="0" vertical="bottom" wrapText="1"/>
    </xf>
    <xf borderId="10" fillId="15" fontId="2" numFmtId="0" xfId="0" applyAlignment="1" applyBorder="1" applyFont="1">
      <alignment vertical="bottom"/>
    </xf>
    <xf borderId="2" fillId="9" fontId="10" numFmtId="0" xfId="0" applyAlignment="1" applyBorder="1" applyFont="1">
      <alignment horizontal="center" shrinkToFit="0" vertical="bottom" wrapText="1"/>
    </xf>
    <xf borderId="2" fillId="10" fontId="10" numFmtId="0" xfId="0" applyAlignment="1" applyBorder="1" applyFont="1">
      <alignment horizontal="center" shrinkToFit="0" vertical="bottom" wrapText="1"/>
    </xf>
    <xf borderId="2" fillId="11" fontId="10" numFmtId="0" xfId="0" applyAlignment="1" applyBorder="1" applyFont="1">
      <alignment horizontal="center" shrinkToFit="0" vertical="bottom" wrapText="1"/>
    </xf>
    <xf borderId="2" fillId="12" fontId="10" numFmtId="0" xfId="0" applyAlignment="1" applyBorder="1" applyFont="1">
      <alignment horizontal="center" shrinkToFit="0" vertical="bottom" wrapText="1"/>
    </xf>
    <xf borderId="2" fillId="13" fontId="10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2571750</xdr:colOff>
      <xdr:row>0</xdr:row>
      <xdr:rowOff>66675</xdr:rowOff>
    </xdr:from>
    <xdr:ext cx="120015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2571750</xdr:colOff>
      <xdr:row>0</xdr:row>
      <xdr:rowOff>66675</xdr:rowOff>
    </xdr:from>
    <xdr:ext cx="120015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28575</xdr:rowOff>
    </xdr:from>
    <xdr:ext cx="120015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.5"/>
    <col customWidth="1" min="2" max="2" width="52.5"/>
    <col customWidth="1" min="3" max="3" width="13.5"/>
    <col customWidth="1" min="4" max="4" width="18.25"/>
    <col customWidth="1" min="5" max="5" width="14.63"/>
    <col customWidth="1" min="6" max="6" width="17.25"/>
    <col customWidth="1" min="7" max="7" width="11.75"/>
    <col customWidth="1" min="8" max="8" width="25.38"/>
    <col customWidth="1" min="9" max="9" width="7.88"/>
    <col customWidth="1" min="10" max="10" width="2.13"/>
  </cols>
  <sheetData>
    <row r="2">
      <c r="A2" s="1"/>
      <c r="B2" s="1" t="s">
        <v>0</v>
      </c>
      <c r="I2" s="2"/>
    </row>
    <row r="3">
      <c r="A3" s="1"/>
      <c r="B3" s="1" t="s">
        <v>1</v>
      </c>
    </row>
    <row r="4">
      <c r="A4" s="1"/>
      <c r="B4" s="1" t="s">
        <v>2</v>
      </c>
    </row>
    <row r="5">
      <c r="A5" s="1"/>
      <c r="B5" s="3" t="s">
        <v>3</v>
      </c>
    </row>
    <row r="6">
      <c r="A6" s="1"/>
      <c r="B6" s="1" t="s">
        <v>4</v>
      </c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</row>
    <row r="10">
      <c r="A10" s="5"/>
      <c r="B10" s="5" t="s">
        <v>5</v>
      </c>
    </row>
    <row r="11">
      <c r="A11" s="5"/>
      <c r="B11" s="5" t="s">
        <v>6</v>
      </c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B16" s="6" t="s">
        <v>7</v>
      </c>
      <c r="D16" s="6"/>
      <c r="E16" s="6"/>
      <c r="F16" s="6"/>
      <c r="G16" s="6"/>
      <c r="H16" s="2"/>
      <c r="I16" s="2"/>
    </row>
    <row r="17">
      <c r="A17" s="7"/>
      <c r="B17" s="8" t="s">
        <v>8</v>
      </c>
      <c r="C17" s="9" t="s">
        <v>9</v>
      </c>
      <c r="D17" s="10" t="s">
        <v>10</v>
      </c>
      <c r="E17" s="11">
        <v>45920.0</v>
      </c>
      <c r="F17" s="4"/>
      <c r="G17" s="7"/>
      <c r="H17" s="10"/>
      <c r="I17" s="11"/>
    </row>
    <row r="18">
      <c r="A18" s="12"/>
      <c r="B18" s="13"/>
      <c r="C18" s="14"/>
      <c r="D18" s="10" t="s">
        <v>11</v>
      </c>
      <c r="E18" s="4"/>
      <c r="F18" s="15"/>
      <c r="G18" s="16"/>
      <c r="H18" s="10"/>
      <c r="I18" s="4"/>
    </row>
    <row r="19">
      <c r="A19" s="12"/>
      <c r="B19" s="14"/>
      <c r="C19" s="17"/>
      <c r="D19" s="10" t="s">
        <v>12</v>
      </c>
      <c r="E19" s="4"/>
      <c r="F19" s="4"/>
      <c r="G19" s="16"/>
      <c r="H19" s="10"/>
      <c r="I19" s="4"/>
    </row>
    <row r="20">
      <c r="A20" s="12"/>
      <c r="B20" s="17"/>
      <c r="C20" s="14"/>
      <c r="D20" s="10" t="s">
        <v>13</v>
      </c>
      <c r="E20" s="15" t="s">
        <v>14</v>
      </c>
      <c r="F20" s="4"/>
      <c r="G20" s="16"/>
      <c r="H20" s="10"/>
      <c r="I20" s="15"/>
    </row>
    <row r="21">
      <c r="A21" s="12"/>
      <c r="B21" s="14"/>
      <c r="C21" s="17"/>
      <c r="D21" s="12"/>
      <c r="E21" s="10"/>
      <c r="F21" s="15"/>
      <c r="G21" s="16"/>
      <c r="H21" s="2"/>
      <c r="I21" s="2"/>
    </row>
    <row r="22">
      <c r="A22" s="12"/>
      <c r="B22" s="17"/>
      <c r="C22" s="17"/>
      <c r="D22" s="12"/>
      <c r="E22" s="12"/>
      <c r="F22" s="12"/>
      <c r="G22" s="16"/>
      <c r="H22" s="2"/>
      <c r="I22" s="2"/>
    </row>
    <row r="27">
      <c r="L27" s="18"/>
      <c r="M27" s="18"/>
    </row>
    <row r="28">
      <c r="A28" s="19"/>
      <c r="B28" s="20" t="s">
        <v>15</v>
      </c>
      <c r="C28" s="20"/>
      <c r="D28" s="20"/>
      <c r="E28" s="20"/>
      <c r="F28" s="20"/>
      <c r="G28" s="20" t="s">
        <v>16</v>
      </c>
      <c r="H28" s="20" t="s">
        <v>17</v>
      </c>
      <c r="I28" s="20" t="s">
        <v>18</v>
      </c>
      <c r="L28" s="21"/>
      <c r="M28" s="18"/>
    </row>
    <row r="29">
      <c r="A29" s="19"/>
      <c r="B29" s="22" t="s">
        <v>19</v>
      </c>
      <c r="C29" s="23" t="s">
        <v>20</v>
      </c>
      <c r="D29" s="23" t="s">
        <v>21</v>
      </c>
      <c r="E29" s="24" t="s">
        <v>22</v>
      </c>
      <c r="F29" s="24" t="s">
        <v>23</v>
      </c>
      <c r="G29" s="22">
        <f>SUM(G43:G49)+G30+G34+G38+G50</f>
        <v>51</v>
      </c>
      <c r="H29" s="25"/>
      <c r="I29" s="22"/>
      <c r="L29" s="21"/>
      <c r="M29" s="18"/>
    </row>
    <row r="30">
      <c r="A30" s="26"/>
      <c r="B30" s="27" t="s">
        <v>24</v>
      </c>
      <c r="C30" s="28"/>
      <c r="D30" s="28"/>
      <c r="E30" s="28"/>
      <c r="F30" s="28"/>
      <c r="G30" s="28">
        <f>SUM(G31:G33)</f>
        <v>6</v>
      </c>
      <c r="H30" s="29"/>
      <c r="I30" s="28"/>
      <c r="L30" s="21"/>
      <c r="M30" s="18"/>
    </row>
    <row r="31">
      <c r="A31" s="26"/>
      <c r="B31" s="30" t="s">
        <v>25</v>
      </c>
      <c r="C31" s="31"/>
      <c r="D31" s="31"/>
      <c r="E31" s="31"/>
      <c r="F31" s="31"/>
      <c r="G31" s="32">
        <v>2.0</v>
      </c>
      <c r="H31" s="33"/>
      <c r="I31" s="33"/>
      <c r="L31" s="21"/>
      <c r="M31" s="18"/>
    </row>
    <row r="32">
      <c r="A32" s="26"/>
      <c r="B32" s="30" t="s">
        <v>26</v>
      </c>
      <c r="C32" s="32"/>
      <c r="D32" s="32"/>
      <c r="E32" s="32"/>
      <c r="F32" s="32"/>
      <c r="G32" s="32">
        <v>2.0</v>
      </c>
      <c r="H32" s="33"/>
      <c r="I32" s="33"/>
      <c r="L32" s="21"/>
      <c r="M32" s="18"/>
    </row>
    <row r="33">
      <c r="A33" s="26"/>
      <c r="B33" s="30" t="s">
        <v>27</v>
      </c>
      <c r="C33" s="32"/>
      <c r="D33" s="32"/>
      <c r="E33" s="32"/>
      <c r="F33" s="32"/>
      <c r="G33" s="32">
        <v>2.0</v>
      </c>
      <c r="H33" s="33"/>
      <c r="I33" s="33"/>
      <c r="L33" s="21"/>
      <c r="M33" s="18"/>
    </row>
    <row r="34">
      <c r="A34" s="26"/>
      <c r="B34" s="27" t="s">
        <v>28</v>
      </c>
      <c r="C34" s="28"/>
      <c r="D34" s="28"/>
      <c r="E34" s="28"/>
      <c r="F34" s="28"/>
      <c r="G34" s="28">
        <f>SUM(G35:G37)</f>
        <v>6</v>
      </c>
      <c r="H34" s="29"/>
      <c r="I34" s="28"/>
      <c r="L34" s="21"/>
      <c r="M34" s="18"/>
    </row>
    <row r="35">
      <c r="A35" s="26"/>
      <c r="B35" s="30" t="s">
        <v>29</v>
      </c>
      <c r="C35" s="31"/>
      <c r="D35" s="31"/>
      <c r="E35" s="31"/>
      <c r="F35" s="31"/>
      <c r="G35" s="32">
        <v>2.0</v>
      </c>
      <c r="H35" s="33"/>
      <c r="I35" s="33"/>
      <c r="L35" s="21"/>
      <c r="M35" s="18"/>
    </row>
    <row r="36">
      <c r="A36" s="26"/>
      <c r="B36" s="30" t="s">
        <v>30</v>
      </c>
      <c r="C36" s="32"/>
      <c r="D36" s="32"/>
      <c r="E36" s="32"/>
      <c r="F36" s="32"/>
      <c r="G36" s="32">
        <v>2.0</v>
      </c>
      <c r="H36" s="33"/>
      <c r="I36" s="33"/>
      <c r="L36" s="21"/>
      <c r="M36" s="18"/>
    </row>
    <row r="37">
      <c r="A37" s="26"/>
      <c r="B37" s="30" t="s">
        <v>31</v>
      </c>
      <c r="C37" s="32"/>
      <c r="D37" s="32"/>
      <c r="E37" s="32"/>
      <c r="F37" s="32"/>
      <c r="G37" s="32">
        <v>2.0</v>
      </c>
      <c r="H37" s="33"/>
      <c r="I37" s="33"/>
      <c r="L37" s="21"/>
      <c r="M37" s="18"/>
    </row>
    <row r="38">
      <c r="A38" s="26"/>
      <c r="B38" s="27" t="s">
        <v>32</v>
      </c>
      <c r="C38" s="28"/>
      <c r="D38" s="28"/>
      <c r="E38" s="28"/>
      <c r="F38" s="28"/>
      <c r="G38" s="28">
        <f>SUM(G39:G41)</f>
        <v>6</v>
      </c>
      <c r="H38" s="29"/>
      <c r="I38" s="28"/>
      <c r="L38" s="21"/>
      <c r="M38" s="18"/>
    </row>
    <row r="39">
      <c r="A39" s="26"/>
      <c r="B39" s="30" t="s">
        <v>33</v>
      </c>
      <c r="C39" s="31"/>
      <c r="D39" s="31"/>
      <c r="E39" s="31"/>
      <c r="F39" s="31"/>
      <c r="G39" s="32">
        <v>2.0</v>
      </c>
      <c r="H39" s="33"/>
      <c r="I39" s="33"/>
      <c r="L39" s="21"/>
      <c r="M39" s="18"/>
    </row>
    <row r="40">
      <c r="A40" s="26"/>
      <c r="B40" s="30" t="s">
        <v>34</v>
      </c>
      <c r="C40" s="32"/>
      <c r="D40" s="32"/>
      <c r="E40" s="32"/>
      <c r="F40" s="32"/>
      <c r="G40" s="32">
        <v>2.0</v>
      </c>
      <c r="H40" s="33"/>
      <c r="I40" s="33"/>
      <c r="L40" s="21"/>
      <c r="M40" s="18"/>
    </row>
    <row r="41">
      <c r="A41" s="26"/>
      <c r="B41" s="30" t="s">
        <v>35</v>
      </c>
      <c r="C41" s="32"/>
      <c r="D41" s="32"/>
      <c r="E41" s="32"/>
      <c r="F41" s="32"/>
      <c r="G41" s="32">
        <v>2.0</v>
      </c>
      <c r="H41" s="33"/>
      <c r="I41" s="33"/>
      <c r="L41" s="21"/>
      <c r="M41" s="18"/>
    </row>
    <row r="42">
      <c r="A42" s="26"/>
      <c r="B42" s="27" t="s">
        <v>36</v>
      </c>
      <c r="C42" s="28"/>
      <c r="D42" s="28"/>
      <c r="E42" s="28"/>
      <c r="F42" s="28"/>
      <c r="G42" s="28">
        <f>SUM(G43:G49)</f>
        <v>19</v>
      </c>
      <c r="H42" s="29"/>
      <c r="I42" s="28"/>
      <c r="L42" s="21"/>
      <c r="M42" s="18"/>
    </row>
    <row r="43">
      <c r="A43" s="26"/>
      <c r="B43" s="30" t="s">
        <v>37</v>
      </c>
      <c r="C43" s="32"/>
      <c r="D43" s="32"/>
      <c r="E43" s="32"/>
      <c r="F43" s="32"/>
      <c r="G43" s="32">
        <v>3.0</v>
      </c>
      <c r="H43" s="34"/>
      <c r="I43" s="33"/>
      <c r="L43" s="21"/>
      <c r="M43" s="18"/>
    </row>
    <row r="44">
      <c r="A44" s="26"/>
      <c r="B44" s="30" t="s">
        <v>38</v>
      </c>
      <c r="C44" s="32"/>
      <c r="D44" s="32"/>
      <c r="E44" s="32"/>
      <c r="F44" s="32"/>
      <c r="G44" s="32">
        <v>3.0</v>
      </c>
      <c r="H44" s="34"/>
      <c r="I44" s="33"/>
      <c r="L44" s="21"/>
      <c r="M44" s="18"/>
    </row>
    <row r="45">
      <c r="A45" s="26"/>
      <c r="B45" s="30" t="s">
        <v>39</v>
      </c>
      <c r="C45" s="32"/>
      <c r="D45" s="32"/>
      <c r="E45" s="32"/>
      <c r="F45" s="32"/>
      <c r="G45" s="32">
        <v>4.0</v>
      </c>
      <c r="H45" s="34"/>
      <c r="I45" s="33"/>
      <c r="L45" s="21"/>
      <c r="M45" s="18"/>
    </row>
    <row r="46">
      <c r="A46" s="26"/>
      <c r="B46" s="30" t="s">
        <v>40</v>
      </c>
      <c r="C46" s="32"/>
      <c r="D46" s="32"/>
      <c r="E46" s="32"/>
      <c r="F46" s="32"/>
      <c r="G46" s="32">
        <v>3.0</v>
      </c>
      <c r="H46" s="34"/>
      <c r="I46" s="33"/>
      <c r="L46" s="21"/>
      <c r="M46" s="18"/>
    </row>
    <row r="47">
      <c r="A47" s="26"/>
      <c r="B47" s="30" t="s">
        <v>41</v>
      </c>
      <c r="C47" s="32"/>
      <c r="D47" s="32"/>
      <c r="E47" s="32"/>
      <c r="F47" s="32"/>
      <c r="G47" s="32">
        <v>2.0</v>
      </c>
      <c r="H47" s="34"/>
      <c r="I47" s="33"/>
      <c r="L47" s="21"/>
      <c r="M47" s="18"/>
    </row>
    <row r="48">
      <c r="A48" s="26"/>
      <c r="B48" s="30" t="s">
        <v>42</v>
      </c>
      <c r="C48" s="32"/>
      <c r="D48" s="32"/>
      <c r="E48" s="32"/>
      <c r="F48" s="32"/>
      <c r="G48" s="32">
        <v>2.0</v>
      </c>
      <c r="H48" s="34"/>
      <c r="I48" s="33"/>
      <c r="L48" s="21"/>
      <c r="M48" s="18"/>
    </row>
    <row r="49">
      <c r="A49" s="26"/>
      <c r="B49" s="30" t="s">
        <v>43</v>
      </c>
      <c r="C49" s="32"/>
      <c r="D49" s="32"/>
      <c r="E49" s="32"/>
      <c r="F49" s="32"/>
      <c r="G49" s="32">
        <v>2.0</v>
      </c>
      <c r="H49" s="34"/>
      <c r="I49" s="33"/>
      <c r="L49" s="21"/>
      <c r="M49" s="18"/>
    </row>
    <row r="50">
      <c r="A50" s="26"/>
      <c r="B50" s="27" t="s">
        <v>44</v>
      </c>
      <c r="C50" s="28"/>
      <c r="D50" s="28"/>
      <c r="E50" s="28"/>
      <c r="F50" s="28"/>
      <c r="G50" s="28">
        <f>SUM(G51:G54)</f>
        <v>14</v>
      </c>
      <c r="H50" s="29"/>
      <c r="I50" s="28"/>
      <c r="L50" s="21"/>
      <c r="M50" s="18"/>
    </row>
    <row r="51">
      <c r="A51" s="26"/>
      <c r="B51" s="35" t="s">
        <v>45</v>
      </c>
      <c r="C51" s="36"/>
      <c r="D51" s="36"/>
      <c r="E51" s="36"/>
      <c r="F51" s="36"/>
      <c r="G51" s="37">
        <v>4.0</v>
      </c>
      <c r="H51" s="33"/>
      <c r="I51" s="33"/>
      <c r="L51" s="21"/>
      <c r="M51" s="18"/>
    </row>
    <row r="52">
      <c r="A52" s="26"/>
      <c r="B52" s="38" t="s">
        <v>46</v>
      </c>
      <c r="C52" s="36"/>
      <c r="D52" s="36"/>
      <c r="E52" s="36"/>
      <c r="F52" s="36"/>
      <c r="G52" s="37">
        <v>3.0</v>
      </c>
      <c r="H52" s="33"/>
      <c r="I52" s="33"/>
      <c r="L52" s="21"/>
      <c r="M52" s="18"/>
    </row>
    <row r="53">
      <c r="A53" s="26"/>
      <c r="B53" s="35" t="s">
        <v>47</v>
      </c>
      <c r="C53" s="36"/>
      <c r="D53" s="36"/>
      <c r="E53" s="36"/>
      <c r="F53" s="36"/>
      <c r="G53" s="37">
        <v>4.0</v>
      </c>
      <c r="H53" s="33"/>
      <c r="I53" s="33"/>
      <c r="L53" s="21"/>
      <c r="M53" s="18"/>
    </row>
    <row r="54">
      <c r="A54" s="26"/>
      <c r="B54" s="38" t="s">
        <v>48</v>
      </c>
      <c r="C54" s="36"/>
      <c r="D54" s="36"/>
      <c r="E54" s="36"/>
      <c r="F54" s="36"/>
      <c r="G54" s="37">
        <v>3.0</v>
      </c>
      <c r="H54" s="33"/>
      <c r="I54" s="33"/>
      <c r="L54" s="21"/>
      <c r="M54" s="18"/>
    </row>
    <row r="55">
      <c r="A55" s="19"/>
      <c r="B55" s="39" t="s">
        <v>49</v>
      </c>
      <c r="C55" s="39"/>
      <c r="D55" s="39"/>
      <c r="E55" s="39"/>
      <c r="F55" s="39"/>
      <c r="G55" s="39">
        <f>G56+G61</f>
        <v>29</v>
      </c>
      <c r="H55" s="40"/>
      <c r="I55" s="39"/>
    </row>
    <row r="56">
      <c r="A56" s="19"/>
      <c r="B56" s="28" t="s">
        <v>50</v>
      </c>
      <c r="C56" s="28"/>
      <c r="D56" s="28"/>
      <c r="E56" s="28"/>
      <c r="F56" s="28"/>
      <c r="G56" s="41">
        <f>SUM(G57:G60)</f>
        <v>5</v>
      </c>
      <c r="H56" s="42" t="s">
        <v>51</v>
      </c>
      <c r="I56" s="28"/>
    </row>
    <row r="57">
      <c r="A57" s="26"/>
      <c r="B57" s="30" t="s">
        <v>52</v>
      </c>
      <c r="C57" s="31"/>
      <c r="D57" s="31"/>
      <c r="E57" s="31"/>
      <c r="F57" s="31"/>
      <c r="G57" s="32">
        <v>2.0</v>
      </c>
      <c r="H57" s="33"/>
      <c r="I57" s="33"/>
    </row>
    <row r="58">
      <c r="A58" s="26"/>
      <c r="B58" s="30" t="s">
        <v>53</v>
      </c>
      <c r="C58" s="31"/>
      <c r="D58" s="31"/>
      <c r="E58" s="31"/>
      <c r="F58" s="31"/>
      <c r="G58" s="43">
        <v>1.0</v>
      </c>
      <c r="H58" s="33"/>
      <c r="I58" s="33"/>
    </row>
    <row r="59">
      <c r="A59" s="26"/>
      <c r="B59" s="30" t="s">
        <v>54</v>
      </c>
      <c r="C59" s="31"/>
      <c r="D59" s="31"/>
      <c r="E59" s="31"/>
      <c r="F59" s="31"/>
      <c r="G59" s="43">
        <v>1.0</v>
      </c>
      <c r="H59" s="33"/>
      <c r="I59" s="33"/>
    </row>
    <row r="60">
      <c r="A60" s="26"/>
      <c r="B60" s="30" t="s">
        <v>55</v>
      </c>
      <c r="C60" s="31"/>
      <c r="D60" s="31"/>
      <c r="E60" s="31"/>
      <c r="F60" s="31"/>
      <c r="G60" s="43">
        <v>1.0</v>
      </c>
      <c r="H60" s="33"/>
      <c r="I60" s="33"/>
    </row>
    <row r="61">
      <c r="A61" s="19"/>
      <c r="B61" s="28" t="s">
        <v>56</v>
      </c>
      <c r="C61" s="28"/>
      <c r="D61" s="28"/>
      <c r="E61" s="28"/>
      <c r="F61" s="28"/>
      <c r="G61" s="28">
        <f>SUM(G62:G66)</f>
        <v>24</v>
      </c>
      <c r="H61" s="29"/>
      <c r="I61" s="28"/>
    </row>
    <row r="62">
      <c r="A62" s="44"/>
      <c r="B62" s="33" t="s">
        <v>57</v>
      </c>
      <c r="C62" s="32"/>
      <c r="D62" s="32"/>
      <c r="E62" s="32"/>
      <c r="F62" s="32"/>
      <c r="G62" s="43">
        <v>10.0</v>
      </c>
      <c r="H62" s="33"/>
      <c r="I62" s="33"/>
    </row>
    <row r="63">
      <c r="A63" s="26"/>
      <c r="B63" s="30" t="s">
        <v>58</v>
      </c>
      <c r="C63" s="32"/>
      <c r="D63" s="32"/>
      <c r="E63" s="32"/>
      <c r="F63" s="32"/>
      <c r="G63" s="32">
        <v>2.0</v>
      </c>
      <c r="H63" s="33"/>
      <c r="I63" s="33"/>
    </row>
    <row r="64">
      <c r="A64" s="26"/>
      <c r="B64" s="30" t="s">
        <v>59</v>
      </c>
      <c r="C64" s="31"/>
      <c r="D64" s="31"/>
      <c r="E64" s="31"/>
      <c r="F64" s="31"/>
      <c r="G64" s="31">
        <v>4.0</v>
      </c>
      <c r="H64" s="33"/>
      <c r="I64" s="33"/>
    </row>
    <row r="65">
      <c r="A65" s="26"/>
      <c r="B65" s="30" t="s">
        <v>60</v>
      </c>
      <c r="C65" s="31"/>
      <c r="D65" s="31"/>
      <c r="E65" s="31"/>
      <c r="F65" s="31"/>
      <c r="G65" s="43">
        <v>5.0</v>
      </c>
      <c r="H65" s="33"/>
      <c r="I65" s="33"/>
    </row>
    <row r="66">
      <c r="A66" s="26"/>
      <c r="B66" s="30" t="s">
        <v>61</v>
      </c>
      <c r="C66" s="31"/>
      <c r="D66" s="31"/>
      <c r="E66" s="31"/>
      <c r="F66" s="31"/>
      <c r="G66" s="32">
        <v>3.0</v>
      </c>
      <c r="H66" s="30" t="s">
        <v>62</v>
      </c>
      <c r="I66" s="33"/>
    </row>
    <row r="67">
      <c r="A67" s="19"/>
      <c r="B67" s="39" t="s">
        <v>63</v>
      </c>
      <c r="C67" s="39"/>
      <c r="D67" s="39"/>
      <c r="E67" s="39"/>
      <c r="F67" s="39"/>
      <c r="G67" s="39">
        <f>G29+G55</f>
        <v>80</v>
      </c>
      <c r="H67" s="45"/>
      <c r="I67" s="39"/>
    </row>
    <row r="69">
      <c r="B69" s="46" t="s">
        <v>64</v>
      </c>
      <c r="C69" s="47" t="s">
        <v>65</v>
      </c>
      <c r="D69" s="48" t="s">
        <v>66</v>
      </c>
      <c r="E69" s="49" t="s">
        <v>67</v>
      </c>
      <c r="F69" s="50" t="s">
        <v>68</v>
      </c>
    </row>
    <row r="70">
      <c r="B70" s="51" t="s">
        <v>69</v>
      </c>
      <c r="C70" s="52" t="s">
        <v>70</v>
      </c>
      <c r="D70" s="52" t="s">
        <v>71</v>
      </c>
      <c r="E70" s="52" t="s">
        <v>72</v>
      </c>
      <c r="F70" s="52" t="s">
        <v>73</v>
      </c>
    </row>
    <row r="71">
      <c r="B71" s="51" t="s">
        <v>74</v>
      </c>
      <c r="C71" s="53" t="s">
        <v>75</v>
      </c>
      <c r="D71" s="53" t="s">
        <v>76</v>
      </c>
      <c r="E71" s="53" t="s">
        <v>77</v>
      </c>
      <c r="F71" s="53" t="s">
        <v>78</v>
      </c>
    </row>
    <row r="72">
      <c r="B72" s="51" t="s">
        <v>79</v>
      </c>
      <c r="C72" s="53" t="s">
        <v>80</v>
      </c>
      <c r="D72" s="53" t="s">
        <v>81</v>
      </c>
      <c r="E72" s="53" t="s">
        <v>82</v>
      </c>
      <c r="F72" s="53" t="s">
        <v>83</v>
      </c>
    </row>
    <row r="74">
      <c r="B74" s="54" t="s">
        <v>84</v>
      </c>
      <c r="C74" s="46" t="s">
        <v>64</v>
      </c>
      <c r="D74" s="54" t="s">
        <v>85</v>
      </c>
      <c r="E74" s="54" t="s">
        <v>86</v>
      </c>
      <c r="F74" s="54" t="s">
        <v>87</v>
      </c>
    </row>
    <row r="75">
      <c r="B75" s="55"/>
      <c r="C75" s="56" t="s">
        <v>69</v>
      </c>
      <c r="D75" s="57"/>
      <c r="E75" s="58"/>
      <c r="F75" s="59"/>
    </row>
    <row r="76">
      <c r="B76" s="60"/>
      <c r="C76" s="56" t="s">
        <v>74</v>
      </c>
      <c r="D76" s="57"/>
      <c r="E76" s="58"/>
      <c r="F76" s="60"/>
    </row>
    <row r="77">
      <c r="B77" s="60"/>
      <c r="C77" s="56" t="s">
        <v>79</v>
      </c>
      <c r="D77" s="57"/>
      <c r="E77" s="58"/>
      <c r="F77" s="60"/>
    </row>
    <row r="78">
      <c r="B78" s="61"/>
      <c r="C78" s="56" t="s">
        <v>87</v>
      </c>
      <c r="D78" s="57"/>
      <c r="E78" s="58"/>
      <c r="F78" s="61"/>
    </row>
    <row r="79">
      <c r="B79" s="55"/>
      <c r="C79" s="56" t="s">
        <v>69</v>
      </c>
      <c r="D79" s="57"/>
      <c r="E79" s="58"/>
      <c r="F79" s="62"/>
    </row>
    <row r="80">
      <c r="B80" s="60"/>
      <c r="C80" s="56" t="s">
        <v>74</v>
      </c>
      <c r="D80" s="57"/>
      <c r="E80" s="58"/>
      <c r="F80" s="60"/>
    </row>
    <row r="81">
      <c r="B81" s="60"/>
      <c r="C81" s="56" t="s">
        <v>79</v>
      </c>
      <c r="D81" s="57"/>
      <c r="E81" s="58"/>
      <c r="F81" s="60"/>
    </row>
    <row r="82">
      <c r="B82" s="61"/>
      <c r="C82" s="56" t="s">
        <v>87</v>
      </c>
      <c r="D82" s="57"/>
      <c r="E82" s="58"/>
      <c r="F82" s="61"/>
    </row>
    <row r="83">
      <c r="B83" s="63"/>
      <c r="C83" s="56" t="s">
        <v>69</v>
      </c>
      <c r="D83" s="57"/>
      <c r="E83" s="58"/>
      <c r="F83" s="62"/>
    </row>
    <row r="84">
      <c r="B84" s="60"/>
      <c r="C84" s="56" t="s">
        <v>74</v>
      </c>
      <c r="D84" s="57"/>
      <c r="E84" s="58"/>
      <c r="F84" s="60"/>
    </row>
    <row r="85">
      <c r="B85" s="60"/>
      <c r="C85" s="56" t="s">
        <v>79</v>
      </c>
      <c r="D85" s="57"/>
      <c r="E85" s="58"/>
      <c r="F85" s="60"/>
    </row>
    <row r="86">
      <c r="B86" s="61"/>
      <c r="C86" s="56" t="s">
        <v>87</v>
      </c>
      <c r="D86" s="57"/>
      <c r="E86" s="58"/>
      <c r="F86" s="61"/>
    </row>
    <row r="87">
      <c r="B87" s="63"/>
      <c r="C87" s="56" t="s">
        <v>69</v>
      </c>
      <c r="D87" s="57"/>
      <c r="E87" s="58"/>
      <c r="F87" s="62"/>
    </row>
    <row r="88">
      <c r="B88" s="60"/>
      <c r="C88" s="56" t="s">
        <v>74</v>
      </c>
      <c r="D88" s="57"/>
      <c r="E88" s="58"/>
      <c r="F88" s="60"/>
    </row>
    <row r="89">
      <c r="B89" s="60"/>
      <c r="C89" s="56" t="s">
        <v>79</v>
      </c>
      <c r="D89" s="57"/>
      <c r="E89" s="58"/>
      <c r="F89" s="60"/>
    </row>
    <row r="90">
      <c r="B90" s="61"/>
      <c r="C90" s="56" t="s">
        <v>87</v>
      </c>
      <c r="D90" s="57"/>
      <c r="E90" s="58"/>
      <c r="F90" s="61"/>
    </row>
    <row r="92">
      <c r="B92" s="4" t="s">
        <v>88</v>
      </c>
      <c r="C92" s="2"/>
      <c r="D92" s="2"/>
      <c r="E92" s="2"/>
      <c r="F92" s="2"/>
    </row>
    <row r="93">
      <c r="B93" s="4"/>
      <c r="C93" s="4"/>
      <c r="D93" s="4"/>
      <c r="E93" s="2"/>
      <c r="F93" s="2"/>
    </row>
    <row r="94">
      <c r="B94" s="4"/>
      <c r="C94" s="4"/>
      <c r="D94" s="4"/>
      <c r="E94" s="2"/>
      <c r="F94" s="2"/>
    </row>
    <row r="95">
      <c r="B95" s="4"/>
      <c r="C95" s="4"/>
      <c r="D95" s="4"/>
      <c r="E95" s="2"/>
      <c r="F95" s="2"/>
    </row>
    <row r="96">
      <c r="B96" s="64" t="s">
        <v>89</v>
      </c>
      <c r="F96" s="2"/>
    </row>
    <row r="97">
      <c r="B97" s="65" t="s">
        <v>90</v>
      </c>
      <c r="F97" s="2"/>
    </row>
    <row r="98">
      <c r="B98" s="2"/>
      <c r="C98" s="2"/>
      <c r="D98" s="2"/>
      <c r="E98" s="2"/>
      <c r="F98" s="2"/>
    </row>
    <row r="99">
      <c r="B99" s="4" t="s">
        <v>91</v>
      </c>
      <c r="C99" s="2"/>
      <c r="D99" s="2"/>
      <c r="E99" s="2"/>
      <c r="F99" s="2"/>
    </row>
    <row r="100">
      <c r="B100" s="4"/>
      <c r="C100" s="4"/>
      <c r="D100" s="4"/>
      <c r="E100" s="4"/>
      <c r="F100" s="4"/>
    </row>
    <row r="101">
      <c r="B101" s="4" t="s">
        <v>92</v>
      </c>
    </row>
    <row r="107">
      <c r="A107" s="66"/>
      <c r="B107" s="67" t="s">
        <v>93</v>
      </c>
      <c r="C107" s="4" t="s">
        <v>94</v>
      </c>
      <c r="D107" s="2"/>
      <c r="E107" s="2"/>
    </row>
    <row r="108">
      <c r="A108" s="66"/>
      <c r="B108" s="4"/>
      <c r="C108" s="2"/>
      <c r="D108" s="2"/>
      <c r="E108" s="2"/>
    </row>
    <row r="109">
      <c r="A109" s="66"/>
      <c r="B109" s="67" t="s">
        <v>95</v>
      </c>
      <c r="C109" s="4" t="s">
        <v>94</v>
      </c>
      <c r="D109" s="2"/>
      <c r="E109" s="2"/>
    </row>
    <row r="110">
      <c r="A110" s="66"/>
      <c r="B110" s="4"/>
      <c r="C110" s="2"/>
      <c r="D110" s="2"/>
      <c r="E110" s="2"/>
    </row>
    <row r="111">
      <c r="A111" s="66"/>
      <c r="B111" s="67" t="s">
        <v>96</v>
      </c>
      <c r="C111" s="4" t="s">
        <v>94</v>
      </c>
      <c r="D111" s="2"/>
      <c r="E111" s="2"/>
    </row>
    <row r="112">
      <c r="A112" s="66"/>
      <c r="B112" s="2"/>
      <c r="E112" s="2"/>
    </row>
    <row r="113">
      <c r="A113" s="66"/>
      <c r="B113" s="4"/>
      <c r="C113" s="4"/>
      <c r="D113" s="4"/>
      <c r="E113" s="4"/>
    </row>
    <row r="114">
      <c r="A114" s="66"/>
      <c r="B114" s="4"/>
      <c r="C114" s="4"/>
      <c r="D114" s="4"/>
      <c r="E114" s="4"/>
    </row>
    <row r="115">
      <c r="A115" s="66"/>
      <c r="B115" s="4"/>
      <c r="C115" s="4"/>
      <c r="D115" s="4"/>
      <c r="E115" s="4"/>
    </row>
    <row r="116">
      <c r="A116" s="66"/>
      <c r="B116" s="4"/>
      <c r="C116" s="4"/>
      <c r="D116" s="4"/>
      <c r="E116" s="4"/>
    </row>
    <row r="117">
      <c r="A117" s="66"/>
      <c r="B117" s="65" t="s">
        <v>97</v>
      </c>
    </row>
    <row r="118">
      <c r="A118" s="66"/>
      <c r="B118" s="68" t="s">
        <v>98</v>
      </c>
    </row>
    <row r="123">
      <c r="A123" s="66"/>
      <c r="B123" s="4"/>
      <c r="C123" s="2"/>
      <c r="D123" s="2"/>
      <c r="E123" s="2"/>
      <c r="F123" s="2"/>
      <c r="G123" s="2"/>
      <c r="H123" s="2"/>
      <c r="I123" s="2"/>
      <c r="J123" s="2"/>
    </row>
    <row r="124">
      <c r="A124" s="66"/>
      <c r="B124" s="4"/>
      <c r="C124" s="4"/>
      <c r="D124" s="4"/>
      <c r="E124" s="4"/>
      <c r="F124" s="4"/>
      <c r="G124" s="4"/>
      <c r="H124" s="4"/>
      <c r="I124" s="2"/>
      <c r="J124" s="2"/>
    </row>
    <row r="125">
      <c r="A125" s="66"/>
      <c r="B125" s="4"/>
      <c r="C125" s="4"/>
      <c r="D125" s="4"/>
      <c r="E125" s="4"/>
      <c r="F125" s="4"/>
      <c r="G125" s="4"/>
      <c r="H125" s="4"/>
      <c r="I125" s="2"/>
      <c r="J125" s="2"/>
    </row>
    <row r="126">
      <c r="A126" s="66"/>
      <c r="B126" s="4"/>
      <c r="C126" s="4"/>
      <c r="D126" s="4"/>
      <c r="E126" s="4"/>
      <c r="F126" s="4"/>
      <c r="G126" s="4"/>
      <c r="H126" s="4"/>
      <c r="I126" s="2"/>
      <c r="J126" s="2"/>
    </row>
    <row r="127">
      <c r="A127" s="66"/>
      <c r="B127" s="65"/>
      <c r="J127" s="2"/>
    </row>
    <row r="128">
      <c r="A128" s="66"/>
      <c r="B128" s="65"/>
      <c r="J128" s="2"/>
    </row>
    <row r="129">
      <c r="A129" s="66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66"/>
      <c r="B130" s="4"/>
      <c r="C130" s="2"/>
      <c r="D130" s="2"/>
      <c r="E130" s="2"/>
      <c r="F130" s="2"/>
      <c r="G130" s="2"/>
      <c r="H130" s="2"/>
      <c r="I130" s="2"/>
      <c r="J130" s="2"/>
    </row>
    <row r="131">
      <c r="A131" s="66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66"/>
      <c r="B132" s="4"/>
    </row>
    <row r="133">
      <c r="A133" s="66"/>
      <c r="B133" s="4"/>
      <c r="C133" s="2"/>
      <c r="D133" s="2"/>
      <c r="E133" s="2"/>
      <c r="F133" s="2"/>
      <c r="G133" s="2"/>
      <c r="H133" s="2"/>
      <c r="I133" s="2"/>
      <c r="J133" s="2"/>
    </row>
    <row r="134">
      <c r="A134" s="66"/>
      <c r="B134" s="4"/>
      <c r="C134" s="2"/>
      <c r="D134" s="2"/>
      <c r="E134" s="2"/>
      <c r="F134" s="2"/>
      <c r="G134" s="2"/>
      <c r="H134" s="2"/>
      <c r="I134" s="2"/>
      <c r="J134" s="2"/>
    </row>
    <row r="135">
      <c r="A135" s="66"/>
      <c r="B135" s="69"/>
      <c r="C135" s="4"/>
      <c r="D135" s="4"/>
      <c r="E135" s="4"/>
      <c r="F135" s="4"/>
      <c r="G135" s="4"/>
      <c r="H135" s="2"/>
      <c r="I135" s="2"/>
      <c r="J135" s="2"/>
    </row>
    <row r="136">
      <c r="A136" s="66"/>
      <c r="B136" s="4"/>
      <c r="C136" s="2"/>
      <c r="D136" s="2"/>
      <c r="E136" s="2"/>
      <c r="F136" s="2"/>
      <c r="G136" s="2"/>
      <c r="H136" s="2"/>
      <c r="I136" s="2"/>
      <c r="J136" s="2"/>
    </row>
    <row r="137">
      <c r="A137" s="66"/>
      <c r="B137" s="67"/>
      <c r="C137" s="4"/>
      <c r="D137" s="4"/>
      <c r="E137" s="4"/>
      <c r="F137" s="4"/>
      <c r="G137" s="4"/>
      <c r="H137" s="2"/>
      <c r="I137" s="2"/>
      <c r="J137" s="2"/>
    </row>
    <row r="138">
      <c r="A138" s="66"/>
      <c r="B138" s="4"/>
      <c r="C138" s="2"/>
      <c r="D138" s="2"/>
      <c r="E138" s="2"/>
      <c r="F138" s="2"/>
      <c r="G138" s="2"/>
      <c r="H138" s="2"/>
      <c r="I138" s="2"/>
      <c r="J138" s="2"/>
    </row>
    <row r="139">
      <c r="A139" s="66"/>
      <c r="B139" s="4"/>
      <c r="C139" s="4"/>
      <c r="D139" s="4"/>
      <c r="E139" s="4"/>
      <c r="F139" s="4"/>
      <c r="G139" s="4"/>
      <c r="H139" s="4"/>
      <c r="I139" s="4"/>
      <c r="J139" s="2"/>
    </row>
    <row r="140">
      <c r="A140" s="66"/>
      <c r="B140" s="65"/>
      <c r="J140" s="2"/>
    </row>
    <row r="141">
      <c r="A141" s="66"/>
      <c r="B141" s="68"/>
      <c r="J141" s="2"/>
    </row>
  </sheetData>
  <mergeCells count="30">
    <mergeCell ref="B2:H2"/>
    <mergeCell ref="I2:I6"/>
    <mergeCell ref="B3:H3"/>
    <mergeCell ref="B4:H4"/>
    <mergeCell ref="B5:H5"/>
    <mergeCell ref="B9:I9"/>
    <mergeCell ref="B6:H6"/>
    <mergeCell ref="F83:F86"/>
    <mergeCell ref="F87:F90"/>
    <mergeCell ref="B10:I10"/>
    <mergeCell ref="B11:I11"/>
    <mergeCell ref="B13:I13"/>
    <mergeCell ref="B16:C16"/>
    <mergeCell ref="B75:B78"/>
    <mergeCell ref="F75:F78"/>
    <mergeCell ref="F79:F82"/>
    <mergeCell ref="B117:E117"/>
    <mergeCell ref="B118:E118"/>
    <mergeCell ref="B127:I127"/>
    <mergeCell ref="B128:I128"/>
    <mergeCell ref="B132:J132"/>
    <mergeCell ref="B140:I140"/>
    <mergeCell ref="B141:I141"/>
    <mergeCell ref="B79:B82"/>
    <mergeCell ref="B83:B86"/>
    <mergeCell ref="B87:B90"/>
    <mergeCell ref="B96:E96"/>
    <mergeCell ref="B97:E97"/>
    <mergeCell ref="B101:F101"/>
    <mergeCell ref="B112:D112"/>
  </mergeCells>
  <printOptions horizontalCentered="1"/>
  <pageMargins bottom="0.75" footer="0.0" header="0.0" left="0.7" right="0.7" top="0.75"/>
  <pageSetup fitToHeight="0" paperSize="9" cellComments="atEnd" orientation="portrait" pageOrder="overThenDown"/>
  <headerFooter>
    <oddFooter>&amp;LAYD 2&amp;CFase 2&amp;RPágina &amp;P de 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.5"/>
    <col customWidth="1" min="2" max="2" width="52.5"/>
    <col customWidth="1" min="3" max="3" width="13.38"/>
    <col customWidth="1" min="4" max="4" width="18.25"/>
    <col customWidth="1" min="5" max="5" width="14.63"/>
    <col customWidth="1" min="6" max="6" width="17.25"/>
    <col customWidth="1" min="7" max="7" width="11.75"/>
    <col customWidth="1" min="8" max="8" width="33.75"/>
    <col customWidth="1" min="9" max="9" width="15.25"/>
    <col customWidth="1" min="10" max="10" width="2.13"/>
  </cols>
  <sheetData>
    <row r="2">
      <c r="A2" s="1"/>
      <c r="B2" s="1" t="s">
        <v>0</v>
      </c>
      <c r="I2" s="2"/>
    </row>
    <row r="3">
      <c r="A3" s="1"/>
      <c r="B3" s="1" t="s">
        <v>1</v>
      </c>
    </row>
    <row r="4">
      <c r="A4" s="1"/>
      <c r="B4" s="1" t="s">
        <v>2</v>
      </c>
    </row>
    <row r="5">
      <c r="A5" s="1"/>
      <c r="B5" s="1" t="s">
        <v>99</v>
      </c>
    </row>
    <row r="6">
      <c r="A6" s="1"/>
      <c r="B6" s="1" t="s">
        <v>4</v>
      </c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</row>
    <row r="10">
      <c r="A10" s="5"/>
      <c r="B10" s="5" t="s">
        <v>5</v>
      </c>
    </row>
    <row r="11">
      <c r="A11" s="5"/>
      <c r="B11" s="5" t="s">
        <v>6</v>
      </c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B16" s="6" t="s">
        <v>7</v>
      </c>
      <c r="D16" s="6"/>
      <c r="E16" s="6"/>
      <c r="F16" s="6"/>
      <c r="G16" s="6"/>
      <c r="H16" s="2"/>
      <c r="I16" s="2"/>
    </row>
    <row r="17">
      <c r="A17" s="7"/>
      <c r="B17" s="8" t="s">
        <v>8</v>
      </c>
      <c r="C17" s="9" t="s">
        <v>9</v>
      </c>
      <c r="F17" s="10" t="s">
        <v>10</v>
      </c>
      <c r="G17" s="11">
        <v>45920.0</v>
      </c>
      <c r="H17" s="10"/>
      <c r="I17" s="11"/>
    </row>
    <row r="18">
      <c r="A18" s="12"/>
      <c r="B18" s="13"/>
      <c r="C18" s="14"/>
      <c r="F18" s="10" t="s">
        <v>11</v>
      </c>
      <c r="G18" s="4"/>
      <c r="H18" s="10"/>
      <c r="I18" s="4"/>
    </row>
    <row r="19">
      <c r="A19" s="12"/>
      <c r="B19" s="14"/>
      <c r="C19" s="17"/>
      <c r="F19" s="10" t="s">
        <v>12</v>
      </c>
      <c r="G19" s="4"/>
      <c r="H19" s="10"/>
      <c r="I19" s="4"/>
    </row>
    <row r="20">
      <c r="A20" s="12"/>
      <c r="B20" s="17"/>
      <c r="C20" s="14"/>
      <c r="F20" s="10" t="s">
        <v>13</v>
      </c>
      <c r="G20" s="15" t="s">
        <v>14</v>
      </c>
      <c r="H20" s="10"/>
      <c r="I20" s="15"/>
    </row>
    <row r="21">
      <c r="A21" s="12"/>
      <c r="B21" s="14"/>
      <c r="C21" s="17"/>
      <c r="D21" s="12"/>
      <c r="E21" s="10"/>
      <c r="F21" s="15"/>
      <c r="G21" s="16"/>
      <c r="H21" s="2"/>
      <c r="I21" s="2"/>
    </row>
    <row r="22">
      <c r="A22" s="12"/>
      <c r="B22" s="17"/>
      <c r="C22" s="17"/>
      <c r="D22" s="12"/>
      <c r="E22" s="12"/>
      <c r="F22" s="12"/>
      <c r="G22" s="16"/>
      <c r="H22" s="2"/>
      <c r="I22" s="2"/>
    </row>
    <row r="27">
      <c r="L27" s="18"/>
      <c r="M27" s="18"/>
    </row>
    <row r="28">
      <c r="A28" s="19"/>
      <c r="B28" s="20" t="s">
        <v>15</v>
      </c>
      <c r="C28" s="20"/>
      <c r="D28" s="20"/>
      <c r="E28" s="20"/>
      <c r="F28" s="20"/>
      <c r="G28" s="20" t="s">
        <v>16</v>
      </c>
      <c r="H28" s="20" t="s">
        <v>17</v>
      </c>
      <c r="I28" s="20" t="s">
        <v>18</v>
      </c>
      <c r="L28" s="21"/>
      <c r="M28" s="18"/>
    </row>
    <row r="29">
      <c r="A29" s="19"/>
      <c r="B29" s="22" t="s">
        <v>19</v>
      </c>
      <c r="C29" s="23" t="s">
        <v>20</v>
      </c>
      <c r="D29" s="23" t="s">
        <v>21</v>
      </c>
      <c r="E29" s="24" t="s">
        <v>22</v>
      </c>
      <c r="F29" s="24" t="s">
        <v>23</v>
      </c>
      <c r="G29" s="22">
        <f>SUM(G43:G49)+G30+G34+G38+G50</f>
        <v>51</v>
      </c>
      <c r="H29" s="25"/>
      <c r="I29" s="22"/>
      <c r="L29" s="21"/>
      <c r="M29" s="18"/>
    </row>
    <row r="30">
      <c r="A30" s="26"/>
      <c r="B30" s="27" t="s">
        <v>24</v>
      </c>
      <c r="C30" s="28"/>
      <c r="D30" s="28"/>
      <c r="E30" s="28"/>
      <c r="F30" s="28"/>
      <c r="G30" s="28">
        <f>SUM(G31:G33)</f>
        <v>6</v>
      </c>
      <c r="H30" s="29"/>
      <c r="I30" s="28"/>
      <c r="L30" s="21"/>
      <c r="M30" s="18"/>
    </row>
    <row r="31">
      <c r="A31" s="26"/>
      <c r="B31" s="30" t="s">
        <v>25</v>
      </c>
      <c r="C31" s="31"/>
      <c r="D31" s="31"/>
      <c r="E31" s="31"/>
      <c r="F31" s="31"/>
      <c r="G31" s="32">
        <v>2.0</v>
      </c>
      <c r="H31" s="33"/>
      <c r="I31" s="33"/>
      <c r="L31" s="21"/>
      <c r="M31" s="18"/>
    </row>
    <row r="32">
      <c r="A32" s="26"/>
      <c r="B32" s="30" t="s">
        <v>26</v>
      </c>
      <c r="C32" s="32"/>
      <c r="D32" s="32"/>
      <c r="E32" s="32"/>
      <c r="F32" s="32"/>
      <c r="G32" s="32">
        <v>2.0</v>
      </c>
      <c r="H32" s="33"/>
      <c r="I32" s="33"/>
      <c r="L32" s="21"/>
      <c r="M32" s="18"/>
    </row>
    <row r="33">
      <c r="A33" s="26"/>
      <c r="B33" s="30" t="s">
        <v>27</v>
      </c>
      <c r="C33" s="32"/>
      <c r="D33" s="32"/>
      <c r="E33" s="32"/>
      <c r="F33" s="32"/>
      <c r="G33" s="32">
        <v>2.0</v>
      </c>
      <c r="H33" s="33"/>
      <c r="I33" s="33"/>
      <c r="L33" s="21"/>
      <c r="M33" s="18"/>
    </row>
    <row r="34">
      <c r="A34" s="26"/>
      <c r="B34" s="27" t="s">
        <v>28</v>
      </c>
      <c r="C34" s="28"/>
      <c r="D34" s="28"/>
      <c r="E34" s="28"/>
      <c r="F34" s="28"/>
      <c r="G34" s="28">
        <f>SUM(G35:G37)</f>
        <v>6</v>
      </c>
      <c r="H34" s="29"/>
      <c r="I34" s="28"/>
      <c r="L34" s="21"/>
      <c r="M34" s="18"/>
    </row>
    <row r="35">
      <c r="A35" s="26"/>
      <c r="B35" s="30" t="s">
        <v>29</v>
      </c>
      <c r="C35" s="31"/>
      <c r="D35" s="31"/>
      <c r="E35" s="31"/>
      <c r="F35" s="31"/>
      <c r="G35" s="32">
        <v>2.0</v>
      </c>
      <c r="H35" s="33"/>
      <c r="I35" s="33"/>
      <c r="L35" s="21"/>
      <c r="M35" s="18"/>
    </row>
    <row r="36">
      <c r="A36" s="26"/>
      <c r="B36" s="30" t="s">
        <v>30</v>
      </c>
      <c r="C36" s="32"/>
      <c r="D36" s="32"/>
      <c r="E36" s="32"/>
      <c r="F36" s="32"/>
      <c r="G36" s="32">
        <v>2.0</v>
      </c>
      <c r="H36" s="33"/>
      <c r="I36" s="33"/>
      <c r="L36" s="21"/>
      <c r="M36" s="18"/>
    </row>
    <row r="37">
      <c r="A37" s="26"/>
      <c r="B37" s="30" t="s">
        <v>31</v>
      </c>
      <c r="C37" s="32"/>
      <c r="D37" s="32"/>
      <c r="E37" s="32"/>
      <c r="F37" s="32"/>
      <c r="G37" s="32">
        <v>2.0</v>
      </c>
      <c r="H37" s="33"/>
      <c r="I37" s="33"/>
      <c r="L37" s="21"/>
      <c r="M37" s="18"/>
    </row>
    <row r="38">
      <c r="A38" s="26"/>
      <c r="B38" s="27" t="s">
        <v>32</v>
      </c>
      <c r="C38" s="28"/>
      <c r="D38" s="28"/>
      <c r="E38" s="28"/>
      <c r="F38" s="28"/>
      <c r="G38" s="28">
        <f>SUM(G39:G41)</f>
        <v>6</v>
      </c>
      <c r="H38" s="29"/>
      <c r="I38" s="28"/>
      <c r="L38" s="21"/>
      <c r="M38" s="18"/>
    </row>
    <row r="39">
      <c r="A39" s="26"/>
      <c r="B39" s="30" t="s">
        <v>33</v>
      </c>
      <c r="C39" s="31"/>
      <c r="D39" s="31"/>
      <c r="E39" s="31"/>
      <c r="F39" s="31"/>
      <c r="G39" s="32">
        <v>2.0</v>
      </c>
      <c r="H39" s="33"/>
      <c r="I39" s="33"/>
      <c r="L39" s="21"/>
      <c r="M39" s="18"/>
    </row>
    <row r="40">
      <c r="A40" s="26"/>
      <c r="B40" s="30" t="s">
        <v>34</v>
      </c>
      <c r="C40" s="32"/>
      <c r="D40" s="32"/>
      <c r="E40" s="32"/>
      <c r="F40" s="32"/>
      <c r="G40" s="32">
        <v>2.0</v>
      </c>
      <c r="H40" s="33"/>
      <c r="I40" s="33"/>
      <c r="L40" s="21"/>
      <c r="M40" s="18"/>
    </row>
    <row r="41">
      <c r="A41" s="26"/>
      <c r="B41" s="30" t="s">
        <v>35</v>
      </c>
      <c r="C41" s="32"/>
      <c r="D41" s="32"/>
      <c r="E41" s="32"/>
      <c r="F41" s="32"/>
      <c r="G41" s="32">
        <v>2.0</v>
      </c>
      <c r="H41" s="33"/>
      <c r="I41" s="33"/>
      <c r="L41" s="21"/>
      <c r="M41" s="18"/>
    </row>
    <row r="42">
      <c r="A42" s="26"/>
      <c r="B42" s="27" t="s">
        <v>36</v>
      </c>
      <c r="C42" s="28"/>
      <c r="D42" s="28"/>
      <c r="E42" s="28"/>
      <c r="F42" s="28"/>
      <c r="G42" s="28">
        <f>SUM(G43:G49)</f>
        <v>19</v>
      </c>
      <c r="H42" s="29"/>
      <c r="I42" s="28"/>
      <c r="L42" s="21"/>
      <c r="M42" s="18"/>
    </row>
    <row r="43">
      <c r="A43" s="26"/>
      <c r="B43" s="30" t="s">
        <v>37</v>
      </c>
      <c r="C43" s="32"/>
      <c r="D43" s="32"/>
      <c r="E43" s="32"/>
      <c r="F43" s="32"/>
      <c r="G43" s="32">
        <v>3.0</v>
      </c>
      <c r="H43" s="34"/>
      <c r="I43" s="33"/>
      <c r="L43" s="21"/>
      <c r="M43" s="18"/>
    </row>
    <row r="44">
      <c r="A44" s="26"/>
      <c r="B44" s="30" t="s">
        <v>38</v>
      </c>
      <c r="C44" s="32"/>
      <c r="D44" s="32"/>
      <c r="E44" s="32"/>
      <c r="F44" s="32"/>
      <c r="G44" s="32">
        <v>3.0</v>
      </c>
      <c r="H44" s="34"/>
      <c r="I44" s="33"/>
      <c r="L44" s="21"/>
      <c r="M44" s="18"/>
    </row>
    <row r="45">
      <c r="A45" s="26"/>
      <c r="B45" s="30" t="s">
        <v>39</v>
      </c>
      <c r="C45" s="32"/>
      <c r="D45" s="32"/>
      <c r="E45" s="32"/>
      <c r="F45" s="32"/>
      <c r="G45" s="32">
        <v>4.0</v>
      </c>
      <c r="H45" s="34"/>
      <c r="I45" s="33"/>
      <c r="L45" s="21"/>
      <c r="M45" s="18"/>
    </row>
    <row r="46">
      <c r="A46" s="26"/>
      <c r="B46" s="30" t="s">
        <v>40</v>
      </c>
      <c r="C46" s="32"/>
      <c r="D46" s="32"/>
      <c r="E46" s="32"/>
      <c r="F46" s="32"/>
      <c r="G46" s="32">
        <v>3.0</v>
      </c>
      <c r="H46" s="34"/>
      <c r="I46" s="33"/>
      <c r="L46" s="21"/>
      <c r="M46" s="18"/>
    </row>
    <row r="47">
      <c r="A47" s="26"/>
      <c r="B47" s="30" t="s">
        <v>41</v>
      </c>
      <c r="C47" s="32"/>
      <c r="D47" s="32"/>
      <c r="E47" s="32"/>
      <c r="F47" s="32"/>
      <c r="G47" s="32">
        <v>2.0</v>
      </c>
      <c r="H47" s="34"/>
      <c r="I47" s="33"/>
      <c r="L47" s="21"/>
      <c r="M47" s="18"/>
    </row>
    <row r="48">
      <c r="A48" s="26"/>
      <c r="B48" s="30" t="s">
        <v>42</v>
      </c>
      <c r="C48" s="32"/>
      <c r="D48" s="32"/>
      <c r="E48" s="32"/>
      <c r="F48" s="32"/>
      <c r="G48" s="32">
        <v>2.0</v>
      </c>
      <c r="H48" s="34"/>
      <c r="I48" s="33"/>
      <c r="L48" s="21"/>
      <c r="M48" s="18"/>
    </row>
    <row r="49">
      <c r="A49" s="26"/>
      <c r="B49" s="30" t="s">
        <v>43</v>
      </c>
      <c r="C49" s="32"/>
      <c r="D49" s="32"/>
      <c r="E49" s="32"/>
      <c r="F49" s="32"/>
      <c r="G49" s="32">
        <v>2.0</v>
      </c>
      <c r="H49" s="34"/>
      <c r="I49" s="33"/>
      <c r="L49" s="21"/>
      <c r="M49" s="18"/>
    </row>
    <row r="50">
      <c r="A50" s="26"/>
      <c r="B50" s="27" t="s">
        <v>44</v>
      </c>
      <c r="C50" s="28"/>
      <c r="D50" s="28"/>
      <c r="E50" s="28"/>
      <c r="F50" s="28"/>
      <c r="G50" s="28">
        <f>SUM(G51:G54)</f>
        <v>14</v>
      </c>
      <c r="H50" s="29"/>
      <c r="I50" s="28"/>
      <c r="L50" s="21"/>
      <c r="M50" s="18"/>
    </row>
    <row r="51">
      <c r="A51" s="26"/>
      <c r="B51" s="35" t="s">
        <v>100</v>
      </c>
      <c r="C51" s="36"/>
      <c r="D51" s="36"/>
      <c r="E51" s="36"/>
      <c r="F51" s="36"/>
      <c r="G51" s="37">
        <v>4.0</v>
      </c>
      <c r="H51" s="33"/>
      <c r="I51" s="33"/>
      <c r="L51" s="21"/>
      <c r="M51" s="18"/>
    </row>
    <row r="52">
      <c r="A52" s="26"/>
      <c r="B52" s="38" t="s">
        <v>46</v>
      </c>
      <c r="C52" s="36"/>
      <c r="D52" s="36"/>
      <c r="E52" s="36"/>
      <c r="F52" s="36"/>
      <c r="G52" s="37">
        <v>3.0</v>
      </c>
      <c r="H52" s="33"/>
      <c r="I52" s="33"/>
      <c r="L52" s="21"/>
      <c r="M52" s="18"/>
    </row>
    <row r="53">
      <c r="A53" s="26"/>
      <c r="B53" s="35" t="s">
        <v>101</v>
      </c>
      <c r="C53" s="36"/>
      <c r="D53" s="36"/>
      <c r="E53" s="36"/>
      <c r="F53" s="36"/>
      <c r="G53" s="37">
        <v>4.0</v>
      </c>
      <c r="H53" s="33"/>
      <c r="I53" s="33"/>
      <c r="L53" s="21"/>
      <c r="M53" s="18"/>
    </row>
    <row r="54">
      <c r="A54" s="26"/>
      <c r="B54" s="38" t="s">
        <v>48</v>
      </c>
      <c r="C54" s="36"/>
      <c r="D54" s="36"/>
      <c r="E54" s="36"/>
      <c r="F54" s="36"/>
      <c r="G54" s="37">
        <v>3.0</v>
      </c>
      <c r="H54" s="33"/>
      <c r="I54" s="33"/>
      <c r="L54" s="21"/>
      <c r="M54" s="18"/>
    </row>
    <row r="55">
      <c r="A55" s="19"/>
      <c r="B55" s="39" t="s">
        <v>49</v>
      </c>
      <c r="C55" s="39"/>
      <c r="D55" s="39"/>
      <c r="E55" s="39"/>
      <c r="F55" s="39"/>
      <c r="G55" s="39">
        <f>G56+G61</f>
        <v>29</v>
      </c>
      <c r="H55" s="40"/>
      <c r="I55" s="39"/>
    </row>
    <row r="56">
      <c r="A56" s="19"/>
      <c r="B56" s="28" t="s">
        <v>50</v>
      </c>
      <c r="C56" s="28"/>
      <c r="D56" s="28"/>
      <c r="E56" s="28"/>
      <c r="F56" s="28"/>
      <c r="G56" s="28">
        <f>SUM(G57:G60)</f>
        <v>5</v>
      </c>
      <c r="H56" s="42" t="s">
        <v>51</v>
      </c>
      <c r="I56" s="28"/>
    </row>
    <row r="57">
      <c r="A57" s="26"/>
      <c r="B57" s="30" t="s">
        <v>52</v>
      </c>
      <c r="C57" s="31"/>
      <c r="D57" s="31"/>
      <c r="E57" s="31"/>
      <c r="F57" s="31"/>
      <c r="G57" s="70">
        <v>2.0</v>
      </c>
      <c r="H57" s="33"/>
      <c r="I57" s="33"/>
    </row>
    <row r="58">
      <c r="A58" s="26"/>
      <c r="B58" s="30" t="s">
        <v>53</v>
      </c>
      <c r="C58" s="31"/>
      <c r="D58" s="31"/>
      <c r="E58" s="31"/>
      <c r="F58" s="31"/>
      <c r="G58" s="70">
        <v>1.0</v>
      </c>
      <c r="H58" s="33"/>
      <c r="I58" s="33"/>
    </row>
    <row r="59">
      <c r="A59" s="26"/>
      <c r="B59" s="30" t="s">
        <v>54</v>
      </c>
      <c r="C59" s="31"/>
      <c r="D59" s="31"/>
      <c r="E59" s="31"/>
      <c r="F59" s="31"/>
      <c r="G59" s="70">
        <v>1.0</v>
      </c>
      <c r="H59" s="33"/>
      <c r="I59" s="33"/>
    </row>
    <row r="60">
      <c r="A60" s="26"/>
      <c r="B60" s="30" t="s">
        <v>55</v>
      </c>
      <c r="C60" s="31"/>
      <c r="D60" s="31"/>
      <c r="E60" s="31"/>
      <c r="F60" s="31"/>
      <c r="G60" s="70">
        <v>1.0</v>
      </c>
      <c r="H60" s="33"/>
      <c r="I60" s="33"/>
    </row>
    <row r="61">
      <c r="A61" s="19"/>
      <c r="B61" s="28" t="s">
        <v>56</v>
      </c>
      <c r="C61" s="28"/>
      <c r="D61" s="28"/>
      <c r="E61" s="28"/>
      <c r="F61" s="28"/>
      <c r="G61" s="28">
        <f>SUM(G62:G66)</f>
        <v>24</v>
      </c>
      <c r="H61" s="29"/>
      <c r="I61" s="28"/>
    </row>
    <row r="62">
      <c r="A62" s="44"/>
      <c r="B62" s="33" t="s">
        <v>57</v>
      </c>
      <c r="C62" s="32"/>
      <c r="D62" s="32"/>
      <c r="E62" s="32"/>
      <c r="F62" s="32"/>
      <c r="G62" s="70">
        <v>10.0</v>
      </c>
      <c r="H62" s="33"/>
      <c r="I62" s="33"/>
    </row>
    <row r="63">
      <c r="A63" s="26"/>
      <c r="B63" s="30" t="s">
        <v>58</v>
      </c>
      <c r="C63" s="32"/>
      <c r="D63" s="32"/>
      <c r="E63" s="32"/>
      <c r="F63" s="32"/>
      <c r="G63" s="70">
        <v>2.0</v>
      </c>
      <c r="H63" s="33"/>
      <c r="I63" s="33"/>
    </row>
    <row r="64">
      <c r="A64" s="26"/>
      <c r="B64" s="30" t="s">
        <v>59</v>
      </c>
      <c r="C64" s="31"/>
      <c r="D64" s="31"/>
      <c r="E64" s="31"/>
      <c r="F64" s="31"/>
      <c r="G64" s="71">
        <v>4.0</v>
      </c>
      <c r="H64" s="33"/>
      <c r="I64" s="33"/>
    </row>
    <row r="65">
      <c r="A65" s="26"/>
      <c r="B65" s="30" t="s">
        <v>60</v>
      </c>
      <c r="C65" s="31"/>
      <c r="D65" s="31"/>
      <c r="E65" s="31"/>
      <c r="F65" s="31"/>
      <c r="G65" s="70">
        <v>5.0</v>
      </c>
      <c r="H65" s="33"/>
      <c r="I65" s="33"/>
    </row>
    <row r="66">
      <c r="A66" s="26"/>
      <c r="B66" s="30" t="s">
        <v>61</v>
      </c>
      <c r="C66" s="31"/>
      <c r="D66" s="31"/>
      <c r="E66" s="31"/>
      <c r="F66" s="31"/>
      <c r="G66" s="70">
        <v>3.0</v>
      </c>
      <c r="H66" s="30"/>
      <c r="I66" s="33"/>
    </row>
    <row r="67">
      <c r="A67" s="19"/>
      <c r="B67" s="39" t="s">
        <v>63</v>
      </c>
      <c r="C67" s="39"/>
      <c r="D67" s="39"/>
      <c r="E67" s="39"/>
      <c r="F67" s="39"/>
      <c r="G67" s="39">
        <f>G29+G55</f>
        <v>80</v>
      </c>
      <c r="H67" s="45"/>
      <c r="I67" s="39"/>
    </row>
    <row r="69">
      <c r="B69" s="46" t="s">
        <v>64</v>
      </c>
      <c r="C69" s="47" t="s">
        <v>65</v>
      </c>
      <c r="D69" s="48" t="s">
        <v>66</v>
      </c>
      <c r="E69" s="49" t="s">
        <v>67</v>
      </c>
      <c r="F69" s="50" t="s">
        <v>68</v>
      </c>
    </row>
    <row r="70">
      <c r="B70" s="51" t="s">
        <v>69</v>
      </c>
      <c r="C70" s="52" t="s">
        <v>102</v>
      </c>
      <c r="D70" s="52" t="s">
        <v>103</v>
      </c>
      <c r="E70" s="52" t="s">
        <v>104</v>
      </c>
      <c r="F70" s="52" t="s">
        <v>105</v>
      </c>
    </row>
    <row r="71">
      <c r="B71" s="51" t="s">
        <v>74</v>
      </c>
      <c r="C71" s="53" t="s">
        <v>106</v>
      </c>
      <c r="D71" s="53" t="s">
        <v>107</v>
      </c>
      <c r="E71" s="53" t="s">
        <v>108</v>
      </c>
      <c r="F71" s="53" t="s">
        <v>109</v>
      </c>
    </row>
    <row r="72">
      <c r="B72" s="51" t="s">
        <v>79</v>
      </c>
      <c r="C72" s="53" t="s">
        <v>110</v>
      </c>
      <c r="D72" s="53" t="s">
        <v>111</v>
      </c>
      <c r="E72" s="53" t="s">
        <v>112</v>
      </c>
      <c r="F72" s="53" t="s">
        <v>113</v>
      </c>
    </row>
    <row r="74">
      <c r="B74" s="54" t="s">
        <v>84</v>
      </c>
      <c r="C74" s="46" t="s">
        <v>64</v>
      </c>
      <c r="D74" s="54" t="s">
        <v>85</v>
      </c>
      <c r="E74" s="54" t="s">
        <v>86</v>
      </c>
      <c r="F74" s="54" t="s">
        <v>87</v>
      </c>
    </row>
    <row r="75">
      <c r="B75" s="55"/>
      <c r="C75" s="56" t="s">
        <v>69</v>
      </c>
      <c r="D75" s="57"/>
      <c r="E75" s="58"/>
      <c r="F75" s="59"/>
    </row>
    <row r="76">
      <c r="B76" s="60"/>
      <c r="C76" s="56" t="s">
        <v>74</v>
      </c>
      <c r="D76" s="57"/>
      <c r="E76" s="58"/>
      <c r="F76" s="60"/>
    </row>
    <row r="77">
      <c r="B77" s="60"/>
      <c r="C77" s="56" t="s">
        <v>79</v>
      </c>
      <c r="D77" s="57"/>
      <c r="E77" s="58"/>
      <c r="F77" s="60"/>
    </row>
    <row r="78">
      <c r="B78" s="61"/>
      <c r="C78" s="56" t="s">
        <v>87</v>
      </c>
      <c r="D78" s="57"/>
      <c r="E78" s="58"/>
      <c r="F78" s="61"/>
    </row>
    <row r="79">
      <c r="B79" s="55"/>
      <c r="C79" s="56" t="s">
        <v>69</v>
      </c>
      <c r="D79" s="57"/>
      <c r="E79" s="58"/>
      <c r="F79" s="62"/>
    </row>
    <row r="80">
      <c r="B80" s="60"/>
      <c r="C80" s="56" t="s">
        <v>74</v>
      </c>
      <c r="D80" s="57"/>
      <c r="E80" s="58"/>
      <c r="F80" s="60"/>
    </row>
    <row r="81">
      <c r="B81" s="60"/>
      <c r="C81" s="56" t="s">
        <v>79</v>
      </c>
      <c r="D81" s="57"/>
      <c r="E81" s="58"/>
      <c r="F81" s="60"/>
    </row>
    <row r="82">
      <c r="B82" s="61"/>
      <c r="C82" s="56" t="s">
        <v>87</v>
      </c>
      <c r="D82" s="57"/>
      <c r="E82" s="58"/>
      <c r="F82" s="61"/>
    </row>
    <row r="83">
      <c r="B83" s="63"/>
      <c r="C83" s="56" t="s">
        <v>69</v>
      </c>
      <c r="D83" s="57"/>
      <c r="E83" s="58"/>
      <c r="F83" s="62"/>
    </row>
    <row r="84">
      <c r="B84" s="60"/>
      <c r="C84" s="56" t="s">
        <v>74</v>
      </c>
      <c r="D84" s="57"/>
      <c r="E84" s="58"/>
      <c r="F84" s="60"/>
    </row>
    <row r="85">
      <c r="B85" s="60"/>
      <c r="C85" s="56" t="s">
        <v>79</v>
      </c>
      <c r="D85" s="57"/>
      <c r="E85" s="58"/>
      <c r="F85" s="60"/>
    </row>
    <row r="86">
      <c r="B86" s="61"/>
      <c r="C86" s="56" t="s">
        <v>87</v>
      </c>
      <c r="D86" s="57"/>
      <c r="E86" s="58"/>
      <c r="F86" s="61"/>
    </row>
    <row r="87">
      <c r="B87" s="63"/>
      <c r="C87" s="56" t="s">
        <v>69</v>
      </c>
      <c r="D87" s="57"/>
      <c r="E87" s="58"/>
      <c r="F87" s="62"/>
    </row>
    <row r="88">
      <c r="B88" s="60"/>
      <c r="C88" s="56" t="s">
        <v>74</v>
      </c>
      <c r="D88" s="57"/>
      <c r="E88" s="58"/>
      <c r="F88" s="60"/>
    </row>
    <row r="89">
      <c r="B89" s="60"/>
      <c r="C89" s="56" t="s">
        <v>79</v>
      </c>
      <c r="D89" s="57"/>
      <c r="E89" s="58"/>
      <c r="F89" s="60"/>
    </row>
    <row r="90">
      <c r="B90" s="61"/>
      <c r="C90" s="56" t="s">
        <v>87</v>
      </c>
      <c r="D90" s="57"/>
      <c r="E90" s="58"/>
      <c r="F90" s="61"/>
    </row>
    <row r="92">
      <c r="B92" s="4" t="s">
        <v>88</v>
      </c>
      <c r="C92" s="2"/>
      <c r="D92" s="2"/>
      <c r="E92" s="2"/>
      <c r="F92" s="2"/>
    </row>
    <row r="93">
      <c r="B93" s="4"/>
      <c r="C93" s="4"/>
      <c r="D93" s="4"/>
      <c r="E93" s="2"/>
      <c r="F93" s="2"/>
    </row>
    <row r="94">
      <c r="B94" s="4"/>
      <c r="C94" s="4"/>
      <c r="D94" s="4"/>
      <c r="E94" s="2"/>
      <c r="F94" s="2"/>
    </row>
    <row r="95">
      <c r="B95" s="4"/>
      <c r="C95" s="4"/>
      <c r="D95" s="4"/>
      <c r="E95" s="2"/>
      <c r="F95" s="2"/>
    </row>
    <row r="96">
      <c r="B96" s="65" t="s">
        <v>114</v>
      </c>
      <c r="F96" s="2"/>
    </row>
    <row r="97">
      <c r="B97" s="65" t="s">
        <v>90</v>
      </c>
      <c r="F97" s="2"/>
    </row>
    <row r="98">
      <c r="B98" s="2"/>
      <c r="C98" s="2"/>
      <c r="D98" s="2"/>
      <c r="E98" s="2"/>
      <c r="F98" s="2"/>
    </row>
    <row r="99">
      <c r="B99" s="4" t="s">
        <v>115</v>
      </c>
      <c r="C99" s="2"/>
      <c r="D99" s="2"/>
      <c r="E99" s="2"/>
      <c r="F99" s="2"/>
    </row>
    <row r="100">
      <c r="B100" s="4"/>
      <c r="C100" s="4"/>
      <c r="D100" s="4"/>
      <c r="E100" s="4"/>
      <c r="F100" s="4"/>
    </row>
    <row r="101">
      <c r="B101" s="4" t="s">
        <v>116</v>
      </c>
    </row>
    <row r="107">
      <c r="A107" s="66"/>
      <c r="B107" s="67" t="s">
        <v>93</v>
      </c>
      <c r="C107" s="4" t="s">
        <v>94</v>
      </c>
      <c r="D107" s="2"/>
      <c r="E107" s="2"/>
    </row>
    <row r="108">
      <c r="A108" s="66"/>
      <c r="B108" s="4"/>
      <c r="C108" s="2"/>
      <c r="D108" s="2"/>
      <c r="E108" s="2"/>
    </row>
    <row r="109">
      <c r="A109" s="66"/>
      <c r="B109" s="67" t="s">
        <v>95</v>
      </c>
      <c r="C109" s="4" t="s">
        <v>94</v>
      </c>
      <c r="D109" s="2"/>
      <c r="E109" s="2"/>
    </row>
    <row r="110">
      <c r="A110" s="66"/>
      <c r="B110" s="4"/>
      <c r="C110" s="2"/>
      <c r="D110" s="2"/>
      <c r="E110" s="2"/>
    </row>
    <row r="111">
      <c r="A111" s="66"/>
      <c r="B111" s="67" t="s">
        <v>96</v>
      </c>
      <c r="C111" s="4" t="s">
        <v>94</v>
      </c>
      <c r="D111" s="2"/>
      <c r="E111" s="2"/>
    </row>
    <row r="112">
      <c r="A112" s="66"/>
      <c r="B112" s="2"/>
      <c r="E112" s="2"/>
    </row>
    <row r="113">
      <c r="A113" s="66"/>
      <c r="B113" s="4"/>
      <c r="C113" s="4"/>
      <c r="D113" s="4"/>
      <c r="E113" s="4"/>
    </row>
    <row r="114">
      <c r="A114" s="66"/>
      <c r="B114" s="4"/>
      <c r="C114" s="4"/>
      <c r="D114" s="4"/>
      <c r="E114" s="4"/>
    </row>
    <row r="115">
      <c r="A115" s="66"/>
      <c r="B115" s="4"/>
      <c r="C115" s="4"/>
      <c r="D115" s="4"/>
      <c r="E115" s="4"/>
    </row>
    <row r="116">
      <c r="A116" s="66"/>
      <c r="B116" s="4"/>
      <c r="C116" s="4"/>
      <c r="D116" s="4"/>
      <c r="E116" s="4"/>
    </row>
    <row r="117">
      <c r="A117" s="66"/>
      <c r="B117" s="65" t="s">
        <v>97</v>
      </c>
    </row>
    <row r="118">
      <c r="A118" s="66"/>
      <c r="B118" s="68" t="s">
        <v>98</v>
      </c>
    </row>
    <row r="123">
      <c r="A123" s="66"/>
      <c r="B123" s="4"/>
      <c r="C123" s="2"/>
      <c r="D123" s="2"/>
      <c r="E123" s="2"/>
      <c r="F123" s="2"/>
      <c r="G123" s="2"/>
      <c r="H123" s="2"/>
      <c r="I123" s="2"/>
      <c r="J123" s="2"/>
    </row>
    <row r="124">
      <c r="A124" s="66"/>
      <c r="B124" s="4"/>
      <c r="C124" s="4"/>
      <c r="D124" s="4"/>
      <c r="E124" s="4"/>
      <c r="F124" s="4"/>
      <c r="G124" s="4"/>
      <c r="H124" s="4"/>
      <c r="I124" s="2"/>
      <c r="J124" s="2"/>
    </row>
    <row r="125">
      <c r="A125" s="66"/>
      <c r="B125" s="4"/>
      <c r="C125" s="4"/>
      <c r="D125" s="4"/>
      <c r="E125" s="4"/>
      <c r="F125" s="4"/>
      <c r="G125" s="4"/>
      <c r="H125" s="4"/>
      <c r="I125" s="2"/>
      <c r="J125" s="2"/>
    </row>
    <row r="126">
      <c r="A126" s="66"/>
      <c r="B126" s="4"/>
      <c r="C126" s="4"/>
      <c r="D126" s="4"/>
      <c r="E126" s="4"/>
      <c r="F126" s="4"/>
      <c r="G126" s="4"/>
      <c r="H126" s="4"/>
      <c r="I126" s="2"/>
      <c r="J126" s="2"/>
    </row>
    <row r="127">
      <c r="A127" s="66"/>
      <c r="B127" s="65"/>
      <c r="J127" s="2"/>
    </row>
    <row r="128">
      <c r="A128" s="66"/>
      <c r="B128" s="65"/>
      <c r="J128" s="2"/>
    </row>
    <row r="129">
      <c r="A129" s="66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66"/>
      <c r="B130" s="4"/>
      <c r="C130" s="2"/>
      <c r="D130" s="2"/>
      <c r="E130" s="2"/>
      <c r="F130" s="2"/>
      <c r="G130" s="2"/>
      <c r="H130" s="2"/>
      <c r="I130" s="2"/>
      <c r="J130" s="2"/>
    </row>
    <row r="131">
      <c r="A131" s="66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66"/>
      <c r="B132" s="4"/>
    </row>
    <row r="133">
      <c r="A133" s="66"/>
      <c r="B133" s="4"/>
      <c r="C133" s="2"/>
      <c r="D133" s="2"/>
      <c r="E133" s="2"/>
      <c r="F133" s="2"/>
      <c r="G133" s="2"/>
      <c r="H133" s="2"/>
      <c r="I133" s="2"/>
      <c r="J133" s="2"/>
    </row>
    <row r="134">
      <c r="A134" s="66"/>
      <c r="B134" s="4"/>
      <c r="C134" s="2"/>
      <c r="D134" s="2"/>
      <c r="E134" s="2"/>
      <c r="F134" s="2"/>
      <c r="G134" s="2"/>
      <c r="H134" s="2"/>
      <c r="I134" s="2"/>
      <c r="J134" s="2"/>
    </row>
    <row r="135">
      <c r="A135" s="66"/>
      <c r="B135" s="69"/>
      <c r="C135" s="4"/>
      <c r="D135" s="4"/>
      <c r="E135" s="4"/>
      <c r="F135" s="4"/>
      <c r="G135" s="4"/>
      <c r="H135" s="2"/>
      <c r="I135" s="2"/>
      <c r="J135" s="2"/>
    </row>
    <row r="136">
      <c r="A136" s="66"/>
      <c r="B136" s="4"/>
      <c r="C136" s="2"/>
      <c r="D136" s="2"/>
      <c r="E136" s="2"/>
      <c r="F136" s="2"/>
      <c r="G136" s="2"/>
      <c r="H136" s="2"/>
      <c r="I136" s="2"/>
      <c r="J136" s="2"/>
    </row>
    <row r="137">
      <c r="A137" s="66"/>
      <c r="B137" s="67"/>
      <c r="C137" s="4"/>
      <c r="D137" s="4"/>
      <c r="E137" s="4"/>
      <c r="F137" s="4"/>
      <c r="G137" s="4"/>
      <c r="H137" s="2"/>
      <c r="I137" s="2"/>
      <c r="J137" s="2"/>
    </row>
    <row r="138">
      <c r="A138" s="66"/>
      <c r="B138" s="4"/>
      <c r="C138" s="2"/>
      <c r="D138" s="2"/>
      <c r="E138" s="2"/>
      <c r="F138" s="2"/>
      <c r="G138" s="2"/>
      <c r="H138" s="2"/>
      <c r="I138" s="2"/>
      <c r="J138" s="2"/>
    </row>
    <row r="139">
      <c r="A139" s="66"/>
      <c r="B139" s="4"/>
      <c r="C139" s="4"/>
      <c r="D139" s="4"/>
      <c r="E139" s="4"/>
      <c r="F139" s="4"/>
      <c r="G139" s="4"/>
      <c r="H139" s="4"/>
      <c r="I139" s="4"/>
      <c r="J139" s="2"/>
    </row>
    <row r="140">
      <c r="A140" s="66"/>
      <c r="B140" s="65"/>
      <c r="J140" s="2"/>
    </row>
    <row r="141">
      <c r="A141" s="66"/>
      <c r="B141" s="68"/>
      <c r="J141" s="2"/>
    </row>
  </sheetData>
  <mergeCells count="30">
    <mergeCell ref="B2:H2"/>
    <mergeCell ref="I2:I6"/>
    <mergeCell ref="B3:H3"/>
    <mergeCell ref="B4:H4"/>
    <mergeCell ref="B5:H5"/>
    <mergeCell ref="B6:H6"/>
    <mergeCell ref="B9:I9"/>
    <mergeCell ref="F83:F86"/>
    <mergeCell ref="F87:F90"/>
    <mergeCell ref="B10:I10"/>
    <mergeCell ref="B11:I11"/>
    <mergeCell ref="B13:I13"/>
    <mergeCell ref="B16:C16"/>
    <mergeCell ref="B75:B78"/>
    <mergeCell ref="F75:F78"/>
    <mergeCell ref="F79:F82"/>
    <mergeCell ref="B117:E117"/>
    <mergeCell ref="B118:E118"/>
    <mergeCell ref="B127:I127"/>
    <mergeCell ref="B128:I128"/>
    <mergeCell ref="B132:J132"/>
    <mergeCell ref="B140:I140"/>
    <mergeCell ref="B141:I141"/>
    <mergeCell ref="B79:B82"/>
    <mergeCell ref="B83:B86"/>
    <mergeCell ref="B87:B90"/>
    <mergeCell ref="B96:E96"/>
    <mergeCell ref="B97:E97"/>
    <mergeCell ref="B101:F101"/>
    <mergeCell ref="B112:D112"/>
  </mergeCells>
  <printOptions horizontalCentered="1"/>
  <pageMargins bottom="0.75" footer="0.0" header="0.0" left="0.7" right="0.7" top="0.75"/>
  <pageSetup fitToHeight="0" paperSize="9" cellComments="atEnd" orientation="landscape" pageOrder="overThenDown"/>
  <headerFooter>
    <oddFooter>&amp;LAYD 2&amp;CFase 2&amp;RPágina &amp;P de 5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3.25"/>
    <col customWidth="1" min="3" max="3" width="7.63"/>
    <col customWidth="1" min="4" max="4" width="0.38"/>
    <col customWidth="1" min="7" max="7" width="23.13"/>
  </cols>
  <sheetData>
    <row r="2">
      <c r="B2" s="72" t="s">
        <v>117</v>
      </c>
      <c r="E2" s="72" t="s">
        <v>118</v>
      </c>
    </row>
    <row r="3">
      <c r="B3" s="73" t="s">
        <v>119</v>
      </c>
      <c r="E3" s="73" t="s">
        <v>120</v>
      </c>
    </row>
  </sheetData>
  <mergeCells count="4">
    <mergeCell ref="B2:D2"/>
    <mergeCell ref="E2:G2"/>
    <mergeCell ref="B3:D20"/>
    <mergeCell ref="E3:G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2.75"/>
    <col customWidth="1" min="3" max="3" width="18.5"/>
    <col customWidth="1" min="4" max="4" width="18.88"/>
    <col customWidth="1" min="5" max="5" width="16.5"/>
    <col customWidth="1" min="6" max="6" width="15.5"/>
  </cols>
  <sheetData>
    <row r="1" ht="15.75" customHeight="1">
      <c r="A1" s="74"/>
      <c r="B1" s="1" t="s">
        <v>0</v>
      </c>
      <c r="E1" s="2"/>
      <c r="F1" s="2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74"/>
      <c r="B2" s="1" t="s">
        <v>1</v>
      </c>
      <c r="F2" s="2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74"/>
      <c r="B3" s="1" t="s">
        <v>2</v>
      </c>
      <c r="F3" s="2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74"/>
      <c r="B4" s="1" t="s">
        <v>99</v>
      </c>
      <c r="F4" s="2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74"/>
      <c r="B5" s="1" t="s">
        <v>4</v>
      </c>
      <c r="F5" s="2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75"/>
      <c r="B6" s="4"/>
      <c r="C6" s="4"/>
      <c r="D6" s="4"/>
      <c r="E6" s="4"/>
      <c r="F6" s="2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75"/>
      <c r="B7" s="4"/>
      <c r="C7" s="4"/>
      <c r="D7" s="4"/>
      <c r="E7" s="4"/>
      <c r="F7" s="2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75"/>
      <c r="B8" s="4"/>
      <c r="F8" s="2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33.0" customHeight="1">
      <c r="A9" s="75"/>
      <c r="B9" s="5" t="s">
        <v>5</v>
      </c>
      <c r="F9" s="2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9.25" customHeight="1">
      <c r="A10" s="75"/>
      <c r="B10" s="5" t="s">
        <v>6</v>
      </c>
      <c r="F10" s="2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66"/>
      <c r="B11" s="2"/>
      <c r="C11" s="2"/>
      <c r="D11" s="2"/>
      <c r="E11" s="2"/>
      <c r="F11" s="2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66"/>
      <c r="B12" s="2"/>
      <c r="F12" s="2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5.5" customHeight="1">
      <c r="A13" s="76"/>
      <c r="B13" s="6" t="s">
        <v>7</v>
      </c>
      <c r="D13" s="2"/>
      <c r="E13" s="2"/>
      <c r="F13" s="2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76"/>
      <c r="B14" s="8" t="s">
        <v>8</v>
      </c>
      <c r="C14" s="77" t="s">
        <v>9</v>
      </c>
      <c r="D14" s="10" t="s">
        <v>10</v>
      </c>
      <c r="E14" s="15" t="s">
        <v>121</v>
      </c>
      <c r="F14" s="2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66"/>
      <c r="B15" s="13"/>
      <c r="C15" s="13"/>
      <c r="D15" s="10" t="s">
        <v>11</v>
      </c>
      <c r="E15" s="4"/>
      <c r="F15" s="2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66"/>
      <c r="B16" s="14"/>
      <c r="C16" s="14"/>
      <c r="D16" s="10" t="s">
        <v>12</v>
      </c>
      <c r="E16" s="4"/>
      <c r="F16" s="2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66"/>
      <c r="B17" s="17"/>
      <c r="C17" s="17"/>
      <c r="D17" s="10" t="s">
        <v>13</v>
      </c>
      <c r="E17" s="15" t="s">
        <v>14</v>
      </c>
      <c r="F17" s="2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66"/>
      <c r="B18" s="14"/>
      <c r="C18" s="14"/>
      <c r="D18" s="2"/>
      <c r="E18" s="2"/>
      <c r="F18" s="2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66"/>
      <c r="B19" s="17"/>
      <c r="C19" s="17"/>
      <c r="D19" s="2"/>
      <c r="E19" s="2"/>
      <c r="F19" s="2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76"/>
      <c r="B20" s="4"/>
      <c r="C20" s="4"/>
      <c r="D20" s="2"/>
      <c r="E20" s="2"/>
      <c r="F20" s="2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76"/>
      <c r="B21" s="4"/>
      <c r="C21" s="4"/>
      <c r="D21" s="2"/>
      <c r="E21" s="2"/>
      <c r="F21" s="2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76"/>
      <c r="B22" s="4"/>
      <c r="C22" s="4"/>
      <c r="D22" s="2"/>
      <c r="E22" s="2"/>
      <c r="F22" s="2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78"/>
      <c r="B23" s="79" t="s">
        <v>122</v>
      </c>
      <c r="C23" s="80" t="s">
        <v>123</v>
      </c>
      <c r="D23" s="80" t="s">
        <v>124</v>
      </c>
      <c r="E23" s="81" t="s">
        <v>86</v>
      </c>
      <c r="F23" s="2"/>
      <c r="G23" s="66"/>
      <c r="H23" s="18"/>
      <c r="I23" s="18" t="s">
        <v>125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82"/>
      <c r="B24" s="83" t="s">
        <v>126</v>
      </c>
      <c r="C24" s="84"/>
      <c r="D24" s="84"/>
      <c r="E24" s="85"/>
      <c r="F24" s="2"/>
      <c r="G24" s="66"/>
      <c r="H24" s="21">
        <v>0.0</v>
      </c>
      <c r="I24" s="18" t="s">
        <v>127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86"/>
      <c r="B25" s="87" t="s">
        <v>33</v>
      </c>
      <c r="C25" s="88">
        <v>1.0</v>
      </c>
      <c r="D25" s="89"/>
      <c r="E25" s="90"/>
      <c r="F25" s="2"/>
      <c r="G25" s="66"/>
      <c r="H25" s="21">
        <v>0.25</v>
      </c>
      <c r="I25" s="18" t="s">
        <v>128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86"/>
      <c r="B26" s="87" t="s">
        <v>129</v>
      </c>
      <c r="C26" s="88">
        <v>1.0</v>
      </c>
      <c r="D26" s="89"/>
      <c r="E26" s="90"/>
      <c r="F26" s="2"/>
      <c r="G26" s="66"/>
      <c r="H26" s="21">
        <v>0.5</v>
      </c>
      <c r="I26" s="18" t="s">
        <v>130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86"/>
      <c r="B27" s="87" t="s">
        <v>131</v>
      </c>
      <c r="C27" s="88">
        <v>2.0</v>
      </c>
      <c r="D27" s="89"/>
      <c r="E27" s="90"/>
      <c r="F27" s="2"/>
      <c r="G27" s="66"/>
      <c r="H27" s="21">
        <v>0.75</v>
      </c>
      <c r="I27" s="18" t="s">
        <v>132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86"/>
      <c r="B28" s="87" t="s">
        <v>133</v>
      </c>
      <c r="C28" s="88">
        <v>1.0</v>
      </c>
      <c r="D28" s="89"/>
      <c r="E28" s="90"/>
      <c r="F28" s="2"/>
      <c r="G28" s="66"/>
      <c r="H28" s="21">
        <v>1.0</v>
      </c>
      <c r="I28" s="18" t="s">
        <v>134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86"/>
      <c r="B29" s="87" t="s">
        <v>135</v>
      </c>
      <c r="C29" s="88">
        <v>1.0</v>
      </c>
      <c r="D29" s="89"/>
      <c r="E29" s="90"/>
      <c r="F29" s="2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82"/>
      <c r="B30" s="87" t="s">
        <v>136</v>
      </c>
      <c r="C30" s="88">
        <v>1.0</v>
      </c>
      <c r="D30" s="89"/>
      <c r="E30" s="90"/>
      <c r="F30" s="2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86"/>
      <c r="B31" s="87" t="s">
        <v>137</v>
      </c>
      <c r="C31" s="88">
        <v>2.0</v>
      </c>
      <c r="D31" s="89"/>
      <c r="E31" s="90"/>
      <c r="F31" s="2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91"/>
      <c r="B32" s="83" t="s">
        <v>138</v>
      </c>
      <c r="C32" s="84"/>
      <c r="D32" s="84"/>
      <c r="E32" s="85"/>
      <c r="F32" s="2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87" t="s">
        <v>139</v>
      </c>
      <c r="C33" s="88">
        <v>3.0</v>
      </c>
      <c r="D33" s="89"/>
      <c r="E33" s="90"/>
      <c r="F33" s="2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87" t="s">
        <v>140</v>
      </c>
      <c r="C34" s="88">
        <v>1.0</v>
      </c>
      <c r="D34" s="89"/>
      <c r="E34" s="90"/>
      <c r="F34" s="2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87" t="s">
        <v>141</v>
      </c>
      <c r="C35" s="88">
        <v>2.0</v>
      </c>
      <c r="D35" s="89"/>
      <c r="E35" s="90"/>
      <c r="F35" s="2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87" t="s">
        <v>142</v>
      </c>
      <c r="C36" s="88">
        <v>3.0</v>
      </c>
      <c r="D36" s="89"/>
      <c r="E36" s="90"/>
      <c r="F36" s="2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83" t="s">
        <v>143</v>
      </c>
      <c r="C37" s="84"/>
      <c r="D37" s="84"/>
      <c r="E37" s="85"/>
      <c r="F37" s="2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87" t="s">
        <v>144</v>
      </c>
      <c r="C38" s="88">
        <v>1.0</v>
      </c>
      <c r="D38" s="89"/>
      <c r="E38" s="90"/>
      <c r="F38" s="2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30.0" customHeight="1">
      <c r="A39" s="66"/>
      <c r="B39" s="87" t="s">
        <v>145</v>
      </c>
      <c r="C39" s="88">
        <v>1.0</v>
      </c>
      <c r="D39" s="89"/>
      <c r="E39" s="90"/>
      <c r="F39" s="2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87" t="s">
        <v>146</v>
      </c>
      <c r="C40" s="88">
        <v>1.0</v>
      </c>
      <c r="D40" s="89"/>
      <c r="E40" s="90"/>
      <c r="F40" s="2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87" t="s">
        <v>147</v>
      </c>
      <c r="C41" s="88">
        <v>2.0</v>
      </c>
      <c r="D41" s="89"/>
      <c r="E41" s="90"/>
      <c r="F41" s="2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87" t="s">
        <v>148</v>
      </c>
      <c r="C42" s="88">
        <v>2.0</v>
      </c>
      <c r="D42" s="89"/>
      <c r="E42" s="90"/>
      <c r="F42" s="2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87" t="s">
        <v>149</v>
      </c>
      <c r="C43" s="88">
        <v>3.0</v>
      </c>
      <c r="D43" s="89"/>
      <c r="E43" s="90"/>
      <c r="F43" s="2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87" t="s">
        <v>150</v>
      </c>
      <c r="C44" s="88">
        <v>2.0</v>
      </c>
      <c r="D44" s="89"/>
      <c r="E44" s="90"/>
      <c r="F44" s="2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87" t="s">
        <v>151</v>
      </c>
      <c r="C45" s="88">
        <v>2.0</v>
      </c>
      <c r="D45" s="89"/>
      <c r="E45" s="90"/>
      <c r="F45" s="2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87" t="s">
        <v>152</v>
      </c>
      <c r="C46" s="88">
        <v>2.0</v>
      </c>
      <c r="D46" s="89"/>
      <c r="E46" s="90"/>
      <c r="F46" s="2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87" t="s">
        <v>153</v>
      </c>
      <c r="C47" s="88">
        <v>1.0</v>
      </c>
      <c r="D47" s="89"/>
      <c r="E47" s="90"/>
      <c r="F47" s="2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83" t="s">
        <v>154</v>
      </c>
      <c r="C48" s="84"/>
      <c r="D48" s="84"/>
      <c r="E48" s="85"/>
      <c r="F48" s="2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87" t="s">
        <v>155</v>
      </c>
      <c r="C49" s="88">
        <v>1.0</v>
      </c>
      <c r="D49" s="89"/>
      <c r="E49" s="90"/>
      <c r="F49" s="2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30.75" customHeight="1">
      <c r="A50" s="66"/>
      <c r="B50" s="87" t="s">
        <v>156</v>
      </c>
      <c r="C50" s="88">
        <v>2.0</v>
      </c>
      <c r="D50" s="89"/>
      <c r="E50" s="90"/>
      <c r="F50" s="2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30.0" customHeight="1">
      <c r="A51" s="66"/>
      <c r="B51" s="87" t="s">
        <v>157</v>
      </c>
      <c r="C51" s="88">
        <v>3.0</v>
      </c>
      <c r="D51" s="89"/>
      <c r="E51" s="90"/>
      <c r="F51" s="2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87" t="s">
        <v>158</v>
      </c>
      <c r="C52" s="88">
        <v>2.0</v>
      </c>
      <c r="D52" s="89"/>
      <c r="E52" s="90"/>
      <c r="F52" s="2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87" t="s">
        <v>159</v>
      </c>
      <c r="C53" s="88">
        <v>1.0</v>
      </c>
      <c r="D53" s="89"/>
      <c r="E53" s="90"/>
      <c r="F53" s="2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54.75" customHeight="1">
      <c r="A54" s="66"/>
      <c r="B54" s="87" t="s">
        <v>160</v>
      </c>
      <c r="C54" s="88">
        <v>3.0</v>
      </c>
      <c r="D54" s="89"/>
      <c r="E54" s="90"/>
      <c r="F54" s="2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87" t="s">
        <v>43</v>
      </c>
      <c r="C55" s="88">
        <v>2.0</v>
      </c>
      <c r="D55" s="89"/>
      <c r="E55" s="90"/>
      <c r="F55" s="2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83" t="s">
        <v>161</v>
      </c>
      <c r="C56" s="84"/>
      <c r="D56" s="84"/>
      <c r="E56" s="85"/>
      <c r="F56" s="2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30.75" customHeight="1">
      <c r="A57" s="66"/>
      <c r="B57" s="87" t="s">
        <v>162</v>
      </c>
      <c r="C57" s="88">
        <v>2.0</v>
      </c>
      <c r="D57" s="89"/>
      <c r="E57" s="90"/>
      <c r="F57" s="2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5.5" customHeight="1">
      <c r="A58" s="66"/>
      <c r="B58" s="87" t="s">
        <v>163</v>
      </c>
      <c r="C58" s="88">
        <v>1.0</v>
      </c>
      <c r="D58" s="89"/>
      <c r="E58" s="90"/>
      <c r="F58" s="2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87" t="s">
        <v>164</v>
      </c>
      <c r="C59" s="88">
        <v>1.0</v>
      </c>
      <c r="D59" s="89"/>
      <c r="E59" s="90"/>
      <c r="F59" s="2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87" t="s">
        <v>165</v>
      </c>
      <c r="C60" s="88">
        <v>2.0</v>
      </c>
      <c r="D60" s="89"/>
      <c r="E60" s="90"/>
      <c r="F60" s="2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83" t="s">
        <v>166</v>
      </c>
      <c r="C61" s="84"/>
      <c r="D61" s="84"/>
      <c r="E61" s="85"/>
      <c r="F61" s="2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87" t="s">
        <v>167</v>
      </c>
      <c r="C62" s="88">
        <v>1.0</v>
      </c>
      <c r="D62" s="89"/>
      <c r="E62" s="90"/>
      <c r="F62" s="2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87" t="s">
        <v>168</v>
      </c>
      <c r="C63" s="88">
        <v>2.0</v>
      </c>
      <c r="D63" s="89"/>
      <c r="E63" s="90"/>
      <c r="F63" s="2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31.5" customHeight="1">
      <c r="A64" s="66"/>
      <c r="B64" s="87" t="s">
        <v>169</v>
      </c>
      <c r="C64" s="88">
        <v>2.0</v>
      </c>
      <c r="D64" s="89"/>
      <c r="E64" s="90"/>
      <c r="F64" s="2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9.25" customHeight="1">
      <c r="A65" s="66"/>
      <c r="B65" s="87" t="s">
        <v>170</v>
      </c>
      <c r="C65" s="88">
        <v>2.0</v>
      </c>
      <c r="D65" s="89"/>
      <c r="E65" s="90"/>
      <c r="F65" s="2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31.5" customHeight="1">
      <c r="A66" s="66"/>
      <c r="B66" s="87" t="s">
        <v>171</v>
      </c>
      <c r="C66" s="88">
        <v>2.0</v>
      </c>
      <c r="D66" s="89"/>
      <c r="E66" s="90"/>
      <c r="F66" s="2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83" t="s">
        <v>172</v>
      </c>
      <c r="C67" s="84"/>
      <c r="D67" s="84"/>
      <c r="E67" s="85"/>
      <c r="F67" s="2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30.75" customHeight="1">
      <c r="A68" s="66"/>
      <c r="B68" s="87" t="s">
        <v>173</v>
      </c>
      <c r="C68" s="88">
        <v>3.0</v>
      </c>
      <c r="D68" s="89"/>
      <c r="E68" s="90"/>
      <c r="F68" s="2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30.75" customHeight="1">
      <c r="A69" s="66"/>
      <c r="B69" s="87" t="s">
        <v>59</v>
      </c>
      <c r="C69" s="88">
        <v>4.0</v>
      </c>
      <c r="D69" s="89"/>
      <c r="E69" s="90"/>
      <c r="F69" s="2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33.75" customHeight="1">
      <c r="A70" s="66"/>
      <c r="B70" s="87" t="s">
        <v>174</v>
      </c>
      <c r="C70" s="88">
        <v>4.0</v>
      </c>
      <c r="D70" s="89"/>
      <c r="E70" s="90"/>
      <c r="F70" s="2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32.25" customHeight="1">
      <c r="A71" s="66"/>
      <c r="B71" s="87" t="s">
        <v>175</v>
      </c>
      <c r="C71" s="88">
        <v>5.0</v>
      </c>
      <c r="D71" s="89"/>
      <c r="E71" s="90"/>
      <c r="F71" s="2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87" t="s">
        <v>176</v>
      </c>
      <c r="C72" s="88">
        <v>2.0</v>
      </c>
      <c r="D72" s="89"/>
      <c r="E72" s="90"/>
      <c r="F72" s="2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33.0" customHeight="1">
      <c r="A73" s="66"/>
      <c r="B73" s="87" t="s">
        <v>177</v>
      </c>
      <c r="C73" s="88">
        <v>3.0</v>
      </c>
      <c r="D73" s="89"/>
      <c r="E73" s="90"/>
      <c r="F73" s="2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92" t="s">
        <v>87</v>
      </c>
      <c r="C74" s="93">
        <f>SUM(C24:C73)</f>
        <v>85</v>
      </c>
      <c r="D74" s="94"/>
      <c r="E74" s="85"/>
      <c r="F74" s="2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2"/>
      <c r="C75" s="2"/>
      <c r="D75" s="2"/>
      <c r="E75" s="2"/>
      <c r="F75" s="2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2"/>
      <c r="C76" s="2"/>
      <c r="D76" s="2"/>
      <c r="E76" s="2"/>
      <c r="F76" s="2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2"/>
      <c r="C77" s="2"/>
      <c r="D77" s="2"/>
      <c r="E77" s="2"/>
      <c r="F77" s="2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2"/>
      <c r="C78" s="2"/>
      <c r="D78" s="2"/>
      <c r="E78" s="2"/>
      <c r="F78" s="2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95" t="s">
        <v>64</v>
      </c>
      <c r="C79" s="96" t="s">
        <v>65</v>
      </c>
      <c r="D79" s="97" t="s">
        <v>66</v>
      </c>
      <c r="E79" s="98" t="s">
        <v>67</v>
      </c>
      <c r="F79" s="99" t="s">
        <v>68</v>
      </c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93.75" customHeight="1">
      <c r="A80" s="66"/>
      <c r="B80" s="100" t="s">
        <v>69</v>
      </c>
      <c r="C80" s="101" t="s">
        <v>178</v>
      </c>
      <c r="D80" s="101" t="s">
        <v>179</v>
      </c>
      <c r="E80" s="101" t="s">
        <v>180</v>
      </c>
      <c r="F80" s="101" t="s">
        <v>181</v>
      </c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81.0" customHeight="1">
      <c r="A81" s="66"/>
      <c r="B81" s="100" t="s">
        <v>79</v>
      </c>
      <c r="C81" s="101" t="s">
        <v>182</v>
      </c>
      <c r="D81" s="101" t="s">
        <v>183</v>
      </c>
      <c r="E81" s="101" t="s">
        <v>184</v>
      </c>
      <c r="F81" s="101" t="s">
        <v>185</v>
      </c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83.25" customHeight="1">
      <c r="A82" s="66"/>
      <c r="B82" s="100" t="s">
        <v>186</v>
      </c>
      <c r="C82" s="101" t="s">
        <v>187</v>
      </c>
      <c r="D82" s="101" t="s">
        <v>188</v>
      </c>
      <c r="E82" s="101" t="s">
        <v>189</v>
      </c>
      <c r="F82" s="53" t="s">
        <v>190</v>
      </c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2"/>
      <c r="C83" s="2"/>
      <c r="D83" s="2"/>
      <c r="E83" s="2"/>
      <c r="F83" s="2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2"/>
      <c r="C84" s="2"/>
      <c r="D84" s="2"/>
      <c r="E84" s="2"/>
      <c r="F84" s="2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2"/>
      <c r="C85" s="2"/>
      <c r="D85" s="2"/>
      <c r="E85" s="2"/>
      <c r="F85" s="2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2"/>
      <c r="C87" s="2"/>
      <c r="D87" s="2"/>
      <c r="E87" s="2"/>
      <c r="F87" s="2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2"/>
      <c r="C88" s="2"/>
      <c r="D88" s="2"/>
      <c r="E88" s="2"/>
      <c r="F88" s="2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2"/>
      <c r="C89" s="2"/>
      <c r="D89" s="2"/>
      <c r="E89" s="2"/>
      <c r="F89" s="2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4" t="s">
        <v>88</v>
      </c>
      <c r="C90" s="2"/>
      <c r="D90" s="2"/>
      <c r="E90" s="2"/>
      <c r="F90" s="2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4"/>
      <c r="C91" s="4"/>
      <c r="D91" s="4"/>
      <c r="E91" s="2"/>
      <c r="F91" s="2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4"/>
      <c r="C92" s="4"/>
      <c r="D92" s="4"/>
      <c r="E92" s="2"/>
      <c r="F92" s="2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4"/>
      <c r="C93" s="4"/>
      <c r="D93" s="4"/>
      <c r="E93" s="2"/>
      <c r="F93" s="2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5" t="s">
        <v>114</v>
      </c>
      <c r="F94" s="2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5" t="s">
        <v>90</v>
      </c>
      <c r="F95" s="2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2"/>
      <c r="C96" s="2"/>
      <c r="D96" s="2"/>
      <c r="E96" s="2"/>
      <c r="F96" s="2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4" t="s">
        <v>191</v>
      </c>
      <c r="C97" s="2"/>
      <c r="D97" s="2"/>
      <c r="E97" s="2"/>
      <c r="F97" s="2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4"/>
      <c r="C98" s="4"/>
      <c r="D98" s="4"/>
      <c r="E98" s="4"/>
      <c r="F98" s="4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4" t="s">
        <v>192</v>
      </c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35.25" customHeight="1">
      <c r="A100" s="66"/>
      <c r="B100" s="102" t="s">
        <v>193</v>
      </c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4"/>
      <c r="C101" s="2"/>
      <c r="D101" s="2"/>
      <c r="E101" s="2"/>
      <c r="F101" s="2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4"/>
      <c r="C102" s="2"/>
      <c r="D102" s="2"/>
      <c r="E102" s="2"/>
      <c r="F102" s="2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7" t="s">
        <v>93</v>
      </c>
      <c r="C103" s="4" t="s">
        <v>94</v>
      </c>
      <c r="D103" s="2"/>
      <c r="E103" s="2"/>
      <c r="F103" s="2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4"/>
      <c r="C104" s="2"/>
      <c r="D104" s="2"/>
      <c r="E104" s="2"/>
      <c r="F104" s="2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7" t="s">
        <v>95</v>
      </c>
      <c r="C105" s="4" t="s">
        <v>94</v>
      </c>
      <c r="D105" s="2"/>
      <c r="E105" s="2"/>
      <c r="F105" s="2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4"/>
      <c r="C106" s="2"/>
      <c r="D106" s="2"/>
      <c r="E106" s="2"/>
      <c r="F106" s="2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7" t="s">
        <v>96</v>
      </c>
      <c r="C107" s="4" t="s">
        <v>94</v>
      </c>
      <c r="D107" s="2"/>
      <c r="E107" s="2"/>
      <c r="F107" s="2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2"/>
      <c r="E108" s="2"/>
      <c r="F108" s="2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4"/>
      <c r="C109" s="4"/>
      <c r="D109" s="4"/>
      <c r="E109" s="4"/>
      <c r="F109" s="2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4"/>
      <c r="C110" s="4"/>
      <c r="D110" s="4"/>
      <c r="E110" s="4"/>
      <c r="F110" s="2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4"/>
      <c r="C111" s="4"/>
      <c r="D111" s="4"/>
      <c r="E111" s="4"/>
      <c r="F111" s="2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4"/>
      <c r="C112" s="4"/>
      <c r="D112" s="4"/>
      <c r="E112" s="4"/>
      <c r="F112" s="2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5" t="s">
        <v>97</v>
      </c>
      <c r="F113" s="2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8" t="s">
        <v>98</v>
      </c>
      <c r="F114" s="2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2"/>
      <c r="C115" s="2"/>
      <c r="D115" s="2"/>
      <c r="E115" s="2"/>
      <c r="F115" s="2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2"/>
      <c r="C116" s="2"/>
      <c r="D116" s="2"/>
      <c r="E116" s="2"/>
      <c r="F116" s="2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18"/>
      <c r="C124" s="18" t="s">
        <v>125</v>
      </c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21">
        <v>0.0</v>
      </c>
      <c r="C125" s="18" t="s">
        <v>127</v>
      </c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21">
        <v>0.25</v>
      </c>
      <c r="C126" s="18" t="s">
        <v>128</v>
      </c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21">
        <v>0.5</v>
      </c>
      <c r="C127" s="18" t="s">
        <v>130</v>
      </c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21">
        <v>0.75</v>
      </c>
      <c r="C128" s="18" t="s">
        <v>132</v>
      </c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21">
        <v>1.0</v>
      </c>
      <c r="C129" s="18" t="s">
        <v>134</v>
      </c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 ht="15.75" customHeight="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  <row r="1002" ht="15.75" customHeight="1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</row>
    <row r="1003" ht="15.75" customHeight="1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</row>
    <row r="1004" ht="15.75" customHeight="1">
      <c r="A1004" s="66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</row>
    <row r="1005" ht="15.75" customHeight="1">
      <c r="A1005" s="66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</row>
    <row r="1006" ht="15.75" customHeight="1">
      <c r="A1006" s="66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</row>
    <row r="1007" ht="15.75" customHeight="1">
      <c r="A1007" s="66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</row>
    <row r="1008" ht="15.75" customHeight="1">
      <c r="A1008" s="66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</row>
    <row r="1009" ht="15.75" customHeight="1">
      <c r="A1009" s="66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</row>
    <row r="1010" ht="15.75" customHeight="1">
      <c r="A1010" s="66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</row>
    <row r="1011" ht="15.75" customHeight="1">
      <c r="A1011" s="66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</row>
    <row r="1012" ht="15.75" customHeight="1">
      <c r="A1012" s="66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</row>
    <row r="1013" ht="15.75" customHeight="1">
      <c r="A1013" s="66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</row>
    <row r="1014" ht="15.75" customHeight="1">
      <c r="A1014" s="66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</row>
    <row r="1015" ht="15.75" customHeight="1">
      <c r="A1015" s="66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</row>
    <row r="1016" ht="15.75" customHeight="1">
      <c r="A1016" s="66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</row>
    <row r="1017" ht="15.75" customHeight="1">
      <c r="A1017" s="66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</row>
    <row r="1018" ht="15.75" customHeight="1">
      <c r="A1018" s="66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</row>
    <row r="1019" ht="15.75" customHeight="1">
      <c r="A1019" s="66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</row>
    <row r="1020" ht="15.75" customHeight="1">
      <c r="A1020" s="66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</row>
    <row r="1021" ht="15.75" customHeight="1">
      <c r="A1021" s="66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</row>
    <row r="1022" ht="15.75" customHeight="1">
      <c r="A1022" s="66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</row>
    <row r="1023" ht="15.75" customHeight="1">
      <c r="A1023" s="66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</row>
    <row r="1024" ht="15.75" customHeight="1">
      <c r="A1024" s="66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</row>
    <row r="1025" ht="15.75" customHeight="1">
      <c r="A1025" s="66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</row>
    <row r="1026" ht="15.75" customHeight="1">
      <c r="A1026" s="66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</row>
    <row r="1027" ht="15.75" customHeight="1">
      <c r="A1027" s="66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</row>
    <row r="1028" ht="15.75" customHeight="1">
      <c r="A1028" s="66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</row>
    <row r="1029" ht="15.75" customHeight="1">
      <c r="A1029" s="66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</row>
    <row r="1030" ht="15.75" customHeight="1">
      <c r="A1030" s="66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</row>
    <row r="1031" ht="15.75" customHeight="1">
      <c r="A1031" s="66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</row>
    <row r="1032" ht="15.75" customHeight="1">
      <c r="A1032" s="66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</row>
    <row r="1033" ht="15.75" customHeight="1">
      <c r="A1033" s="66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</row>
    <row r="1034" ht="15.75" customHeight="1">
      <c r="A1034" s="66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</row>
    <row r="1035" ht="15.75" customHeight="1">
      <c r="A1035" s="66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</row>
    <row r="1036" ht="15.75" customHeight="1">
      <c r="A1036" s="66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</row>
    <row r="1037" ht="15.75" customHeight="1">
      <c r="A1037" s="66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</row>
    <row r="1038" ht="15.75" customHeight="1">
      <c r="A1038" s="66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</row>
    <row r="1039" ht="15.75" customHeight="1">
      <c r="A1039" s="66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</row>
    <row r="1040" ht="15.75" customHeight="1">
      <c r="A1040" s="66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</row>
    <row r="1041" ht="15.75" customHeight="1">
      <c r="A1041" s="66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</row>
    <row r="1042" ht="15.75" customHeight="1">
      <c r="A1042" s="66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</row>
    <row r="1043" ht="15.75" customHeight="1">
      <c r="A1043" s="66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</row>
    <row r="1044" ht="15.75" customHeight="1">
      <c r="A1044" s="66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</row>
    <row r="1045" ht="15.75" customHeight="1">
      <c r="A1045" s="66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</row>
    <row r="1046" ht="15.75" customHeight="1">
      <c r="A1046" s="66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</row>
  </sheetData>
  <mergeCells count="25">
    <mergeCell ref="B1:D1"/>
    <mergeCell ref="E1:E5"/>
    <mergeCell ref="B2:D2"/>
    <mergeCell ref="B3:D3"/>
    <mergeCell ref="B4:D4"/>
    <mergeCell ref="B5:D5"/>
    <mergeCell ref="B8:E8"/>
    <mergeCell ref="B9:E9"/>
    <mergeCell ref="B10:E10"/>
    <mergeCell ref="B12:E12"/>
    <mergeCell ref="B13:C13"/>
    <mergeCell ref="B24:D24"/>
    <mergeCell ref="B32:D32"/>
    <mergeCell ref="B37:D37"/>
    <mergeCell ref="B100:F100"/>
    <mergeCell ref="B108:D108"/>
    <mergeCell ref="B113:E113"/>
    <mergeCell ref="B114:E114"/>
    <mergeCell ref="B48:D48"/>
    <mergeCell ref="B56:D56"/>
    <mergeCell ref="B61:D61"/>
    <mergeCell ref="B67:D67"/>
    <mergeCell ref="B94:E94"/>
    <mergeCell ref="B95:E95"/>
    <mergeCell ref="B99:F9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headerFooter>
    <oddFooter>&amp;LAYD 2&amp;CFase 2&amp;RPágina &amp;P de 3</oddFooter>
  </headerFooter>
  <drawing r:id="rId1"/>
</worksheet>
</file>