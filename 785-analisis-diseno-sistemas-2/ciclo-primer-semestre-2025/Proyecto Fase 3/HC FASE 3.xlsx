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C Fase 3" sheetId="1" r:id="rId4"/>
  </sheets>
  <definedNames/>
  <calcPr/>
  <extLst>
    <ext uri="GoogleSheetsCustomDataVersion2">
      <go:sheetsCustomData xmlns:go="http://customooxmlschemas.google.com/" r:id="rId5" roundtripDataChecksum="4vZNg/Il95JacpSPw1tIxdq0QB9+Kx2Ygp7vbRYgc+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6">
      <text>
        <t xml:space="preserve">======
ID#AAABsgarndI
Claudia Rojas    (2025-10-15 21:53:17)
Despliegue arquitectóónico (debe revisarse)</t>
      </text>
    </comment>
    <comment authorId="0" ref="K28">
      <text>
        <t xml:space="preserve">======
ID#AAABsgarndE
Claudia Rojas    (2025-10-15 21:51:59)
idem</t>
      </text>
    </comment>
    <comment authorId="0" ref="K22">
      <text>
        <t xml:space="preserve">======
ID#AAABsgarndA
Claudia Rojas    (2025-10-15 21:51:46)
Vaariaciones a los requerimientos actuales</t>
      </text>
    </comment>
  </commentList>
  <extLst>
    <ext uri="GoogleSheetsCustomDataVersion2">
      <go:sheetsCustomData xmlns:go="http://customooxmlschemas.google.com/" r:id="rId1" roundtripDataSignature="AMtx7mgr7eW2qv2h1W7VOZISYsmLuMTsBA=="/>
    </ext>
  </extLst>
</comments>
</file>

<file path=xl/sharedStrings.xml><?xml version="1.0" encoding="utf-8"?>
<sst xmlns="http://schemas.openxmlformats.org/spreadsheetml/2006/main" count="126" uniqueCount="120">
  <si>
    <t>Universidad San Carlos de Guatemala</t>
  </si>
  <si>
    <t>Facultad de Ingeniería</t>
  </si>
  <si>
    <t>Escuela de Ciencias y Sistemas</t>
  </si>
  <si>
    <t>Análisis y Diseño de Sistemas 2 Sección B</t>
  </si>
  <si>
    <t>Segundo Semestre, 2025</t>
  </si>
  <si>
    <t>Calificación Proyecto Fase 3</t>
  </si>
  <si>
    <t xml:space="preserve">Grupo No. </t>
  </si>
  <si>
    <t>Integrantes</t>
  </si>
  <si>
    <t>Nombre</t>
  </si>
  <si>
    <t>Carnet</t>
  </si>
  <si>
    <t>Fecha:</t>
  </si>
  <si>
    <t>Inicio:</t>
  </si>
  <si>
    <t>Fin:</t>
  </si>
  <si>
    <t>Modalidad de calificación:</t>
  </si>
  <si>
    <t>Presencial</t>
  </si>
  <si>
    <t>ESPECIFICACIÓN DE ATRIBUTOS DE CALIDAD</t>
  </si>
  <si>
    <t>Categoria</t>
  </si>
  <si>
    <t>Escenario</t>
  </si>
  <si>
    <t>DESCRIPCIÓN DE PONDERACIÓN</t>
  </si>
  <si>
    <t>VALOR</t>
  </si>
  <si>
    <t>OBSERVACIONES</t>
  </si>
  <si>
    <t>PUNTEO</t>
  </si>
  <si>
    <t>Escalabilidad</t>
  </si>
  <si>
    <r>
      <rPr>
        <rFont val="Arial"/>
        <b/>
        <color theme="1"/>
      </rPr>
      <t>Fuente del estímulo:</t>
    </r>
    <r>
      <rPr>
        <rFont val="Arial"/>
        <color theme="1"/>
      </rPr>
      <t xml:space="preserve"> Equipo de trabajo</t>
    </r>
  </si>
  <si>
    <t>ATRIBUTOS DE CALIDAD</t>
  </si>
  <si>
    <r>
      <rPr>
        <rFont val="Arial"/>
        <b/>
        <color theme="1"/>
      </rPr>
      <t xml:space="preserve">Estímulo:  </t>
    </r>
    <r>
      <rPr>
        <rFont val="Arial"/>
        <color theme="1"/>
      </rPr>
      <t>Variaciones en los requerimientos actuales</t>
    </r>
  </si>
  <si>
    <r>
      <rPr>
        <rFont val="Arial"/>
        <b/>
        <color theme="1"/>
      </rPr>
      <t>Artefacto:</t>
    </r>
    <r>
      <rPr>
        <rFont val="Arial"/>
        <color theme="1"/>
      </rPr>
      <t xml:space="preserve"> Componentes del nuevo estilo arquitectónico integrados adecuadamente</t>
    </r>
  </si>
  <si>
    <t>Mantenibilidad</t>
  </si>
  <si>
    <r>
      <rPr>
        <rFont val="Arial"/>
        <b/>
        <color theme="1"/>
      </rPr>
      <t xml:space="preserve">Entorno: </t>
    </r>
    <r>
      <rPr>
        <rFont val="Arial"/>
        <color theme="1"/>
      </rPr>
      <t>Pruebas funcionales</t>
    </r>
  </si>
  <si>
    <t>Seguridad</t>
  </si>
  <si>
    <r>
      <rPr>
        <rFont val="Arial"/>
        <b/>
        <color theme="1"/>
      </rPr>
      <t>Respuesta:</t>
    </r>
    <r>
      <rPr>
        <rFont val="Arial"/>
        <color theme="1"/>
      </rPr>
      <t xml:space="preserve"> Notificaciones emitidas en tiempo real</t>
    </r>
  </si>
  <si>
    <t>NUEVO ESTILO ARQUITECTÓNICO</t>
  </si>
  <si>
    <r>
      <rPr>
        <rFont val="Arial"/>
        <b/>
        <color theme="1"/>
      </rPr>
      <t xml:space="preserve">Medida de la respuesta: </t>
    </r>
    <r>
      <rPr>
        <rFont val="Arial"/>
        <color theme="1"/>
      </rPr>
      <t>Todas las notificaciones emitidas por el sistema llegan a sus destinatarios de manera correcta</t>
    </r>
  </si>
  <si>
    <t>Elección del nuevo estilo arquitectónico</t>
  </si>
  <si>
    <r>
      <rPr>
        <rFont val="Arial"/>
        <b/>
        <color theme="1"/>
      </rPr>
      <t>Fuente del estímulo:</t>
    </r>
    <r>
      <rPr>
        <rFont val="Arial"/>
        <color theme="1"/>
      </rPr>
      <t xml:space="preserve"> Equipo de trabajo</t>
    </r>
  </si>
  <si>
    <t>Diagrama de componentes</t>
  </si>
  <si>
    <r>
      <rPr>
        <rFont val="Arial"/>
        <b/>
        <color theme="1"/>
      </rPr>
      <t>Estímulo:</t>
    </r>
    <r>
      <rPr>
        <rFont val="Arial"/>
        <color theme="1"/>
      </rPr>
      <t xml:space="preserve">  Variaciones en los requerimientos actuales</t>
    </r>
  </si>
  <si>
    <t>Diagrama de despliegue</t>
  </si>
  <si>
    <r>
      <rPr>
        <rFont val="Arial"/>
        <b/>
        <color theme="1"/>
      </rPr>
      <t>Artefacto:</t>
    </r>
    <r>
      <rPr>
        <rFont val="Arial"/>
        <color theme="1"/>
      </rPr>
      <t xml:space="preserve"> Detección del cambio cuando se integra a la rama principal </t>
    </r>
  </si>
  <si>
    <t>Diagrama de distribución</t>
  </si>
  <si>
    <r>
      <rPr>
        <rFont val="Arial"/>
        <b/>
        <color theme="1"/>
      </rPr>
      <t xml:space="preserve">Entorno: </t>
    </r>
    <r>
      <rPr>
        <rFont val="Arial"/>
        <color theme="1"/>
      </rPr>
      <t>Ambiente configurado con las herramientas de CI/CD</t>
    </r>
  </si>
  <si>
    <t>FUNCIONALIDADES</t>
  </si>
  <si>
    <r>
      <rPr>
        <rFont val="Arial"/>
        <b/>
        <color theme="1"/>
      </rPr>
      <t>Respuesta:</t>
    </r>
    <r>
      <rPr>
        <rFont val="Arial"/>
        <color theme="1"/>
      </rPr>
      <t xml:space="preserve"> Reacción al cambio integrado y ejecución del proceso CI/CD</t>
    </r>
  </si>
  <si>
    <t>NOTA: Para optar a la calificación de esta sección se debe haber seleccionado el estilo arquitectónico correcto (EDA)</t>
  </si>
  <si>
    <r>
      <rPr>
        <rFont val="Arial"/>
        <b/>
        <color theme="1"/>
      </rPr>
      <t xml:space="preserve">Medida de la respuesta: </t>
    </r>
    <r>
      <rPr>
        <rFont val="Arial"/>
        <color theme="1"/>
      </rPr>
      <t>Siempre que se integra un cambio a la rama principal se ejecuta el proceso de CI/CD</t>
    </r>
  </si>
  <si>
    <t>Notificación registro de usuario</t>
  </si>
  <si>
    <r>
      <rPr>
        <rFont val="Arial"/>
        <b/>
        <color theme="1"/>
      </rPr>
      <t>Fuente del estímulo:</t>
    </r>
    <r>
      <rPr>
        <rFont val="Arial"/>
        <color theme="1"/>
      </rPr>
      <t xml:space="preserve"> Roles definidos en el sistema (Pasajero, piloto, agente, técnico de mantenimiento, administrador)</t>
    </r>
  </si>
  <si>
    <t>Notificación de reserva</t>
  </si>
  <si>
    <r>
      <rPr>
        <rFont val="Arial"/>
        <b/>
        <color theme="1"/>
      </rPr>
      <t>Estímulo:</t>
    </r>
    <r>
      <rPr>
        <rFont val="Arial"/>
        <color theme="1"/>
      </rPr>
      <t xml:space="preserve">  Ingreso al sistema con credenciales</t>
    </r>
  </si>
  <si>
    <t>Notificación de cancelación de vuelo</t>
  </si>
  <si>
    <r>
      <rPr>
        <rFont val="Arial"/>
        <b/>
        <color theme="1"/>
      </rPr>
      <t xml:space="preserve">Artefacto: </t>
    </r>
    <r>
      <rPr>
        <rFont val="Arial"/>
        <color theme="1"/>
      </rPr>
      <t>Despliegue arquitectónico</t>
    </r>
  </si>
  <si>
    <t>Notificación de límite de horas para mantenimiento de un equipo</t>
  </si>
  <si>
    <r>
      <rPr>
        <rFont val="Arial"/>
        <b/>
        <color theme="1"/>
      </rPr>
      <t xml:space="preserve">Entorno: </t>
    </r>
    <r>
      <rPr>
        <rFont val="Arial"/>
        <color theme="1"/>
      </rPr>
      <t>Ingreso con roles específicos durante la calificación</t>
    </r>
  </si>
  <si>
    <t>Notificación de vuelo aterrizado</t>
  </si>
  <si>
    <r>
      <rPr>
        <rFont val="Arial"/>
        <b/>
        <color theme="1"/>
      </rPr>
      <t>Respuesta:</t>
    </r>
    <r>
      <rPr>
        <rFont val="Arial"/>
        <color theme="1"/>
      </rPr>
      <t xml:space="preserve"> El sistema permite la visualización de pantallas y brinda acceso a las opciones permitidas para el rol autenticado</t>
    </r>
  </si>
  <si>
    <t>PRUEBAS</t>
  </si>
  <si>
    <r>
      <rPr>
        <rFont val="Arial"/>
        <b/>
        <color theme="1"/>
      </rPr>
      <t xml:space="preserve">Medida de la respuesta: </t>
    </r>
    <r>
      <rPr>
        <rFont val="Arial"/>
        <b val="0"/>
        <color theme="1"/>
      </rPr>
      <t xml:space="preserve">En todos los casos, las opciones mostradas al usuario autenticado deben ser únicamente las permitidas para su rol. </t>
    </r>
  </si>
  <si>
    <t>Pruebas unitarias</t>
  </si>
  <si>
    <t xml:space="preserve">Pruebas de integración </t>
  </si>
  <si>
    <t>Pruebas E2E</t>
  </si>
  <si>
    <t>Pruebas de carga (100, 1000, 2000, 5000,10000 usuarios)</t>
  </si>
  <si>
    <t>Pruebas de carga</t>
  </si>
  <si>
    <t>Pruebas de estrés (100,15000, 2000,200000 usuarios)</t>
  </si>
  <si>
    <t>Usuarios virtuales /min</t>
  </si>
  <si>
    <t>CI/CD</t>
  </si>
  <si>
    <t>100 usuarios / 1 min</t>
  </si>
  <si>
    <t>Stages correctos</t>
  </si>
  <si>
    <t>1000 usuarrios / 3 min</t>
  </si>
  <si>
    <t>Despliegue correcto</t>
  </si>
  <si>
    <t>2000 usuarios / 5 min</t>
  </si>
  <si>
    <t>Vídeo publicado</t>
  </si>
  <si>
    <t>5000 usuarios / 1 min</t>
  </si>
  <si>
    <t>Uso de nube</t>
  </si>
  <si>
    <t>10000 usuarios / 5 min</t>
  </si>
  <si>
    <t>METODOLOGÍA</t>
  </si>
  <si>
    <t>Tablero Kanban</t>
  </si>
  <si>
    <t>Pruebas de estres</t>
  </si>
  <si>
    <t>Cantidad correcta de sprints (3 sprints)</t>
  </si>
  <si>
    <t>Sprint planning con documentación (3 reuniones)</t>
  </si>
  <si>
    <t>15000 usuario / 5 min</t>
  </si>
  <si>
    <t>Daily meet con documentación (9 reuniones - 3 por sprint)</t>
  </si>
  <si>
    <t>2000 usuarios / 1 min</t>
  </si>
  <si>
    <t>Sprint retrospective con documentación (3 reuniones)</t>
  </si>
  <si>
    <t>200000 usuarios / 3 min</t>
  </si>
  <si>
    <t>DOCUMENTACIÓN</t>
  </si>
  <si>
    <t>Manual técnico</t>
  </si>
  <si>
    <t>Reporte de pruebas</t>
  </si>
  <si>
    <t>Mejoras a la solución propuesta en la fase 2 debidamente documentadas</t>
  </si>
  <si>
    <t>TOTAL</t>
  </si>
  <si>
    <t>CATEGORÍA</t>
  </si>
  <si>
    <t>EXCELENTE</t>
  </si>
  <si>
    <t>SATISFACTORIO</t>
  </si>
  <si>
    <t>MEJORABLE</t>
  </si>
  <si>
    <t>INSUFICIENTE</t>
  </si>
  <si>
    <t>DISTRIBUCIÓN DE LAS TAREAS</t>
  </si>
  <si>
    <r>
      <rPr>
        <rFont val="Arial"/>
        <color theme="1"/>
        <sz val="9.0"/>
      </rPr>
      <t xml:space="preserve">La distribución de “todas” las tareas asignadas ha sido equitativa en función del resto de los miembros del equipo.
</t>
    </r>
    <r>
      <rPr>
        <rFont val="Arial"/>
        <b/>
        <color theme="1"/>
        <sz val="9.0"/>
      </rPr>
      <t>5/5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</si>
  <si>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La distribución de “la mayor parte de las tareas asignadas” ha sido de forma equitativa entre todos los miembros del equipo.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</si>
  <si>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La distribución del 50% de las tareas asignadas ha sido de forma equitativa entre todos los miembros del equipo.
</t>
    </r>
    <r>
      <rPr>
        <rFont val="Arial"/>
        <b/>
        <color theme="1"/>
        <sz val="9.0"/>
      </rPr>
      <t>2/5</t>
    </r>
  </si>
  <si>
    <r>
      <rPr>
        <rFont val="Arial"/>
        <color theme="1"/>
        <sz val="9.0"/>
      </rPr>
      <t xml:space="preserve">Ha habido un reparto muy desigual de las tareas entre los diferentes miembros del equipo.
</t>
    </r>
    <r>
      <rPr>
        <rFont val="Arial"/>
        <b/>
        <color theme="1"/>
        <sz val="9.0"/>
      </rPr>
      <t>0/5</t>
    </r>
  </si>
  <si>
    <t>SEGUIMIENTO DE TAREAS POR PARTE DEL AUXILIAR</t>
  </si>
  <si>
    <r>
      <rPr>
        <rFont val="Arial"/>
        <color theme="1"/>
        <sz val="9.0"/>
      </rPr>
      <t xml:space="preserve">Durante la realización de todas las tareas y en todos los momentos de revisión, el auxiliar ha podido monitorear su trabajo con el incremento esperado.
</t>
    </r>
    <r>
      <rPr>
        <rFont val="Arial"/>
        <b/>
        <color theme="1"/>
        <sz val="9.0"/>
      </rPr>
      <t xml:space="preserve">5/5
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</si>
  <si>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Durante la realización de la mayor parte las tareas y en la mayor parte de los momentos de revisión, el auxiliar ha podido monitorear su trabajo con el incremento esperado.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</si>
  <si>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Durante la realización de las tareas y en el 50% de los momentos de revisión, el auxiliar ha podido monitorear su trabajo con el incremento esperado.
</t>
    </r>
    <r>
      <rPr>
        <rFont val="Arial"/>
        <b/>
        <color theme="1"/>
        <sz val="9.0"/>
      </rPr>
      <t>2/5</t>
    </r>
  </si>
  <si>
    <r>
      <rPr>
        <rFont val="Arial"/>
        <color theme="1"/>
        <sz val="9.0"/>
      </rPr>
      <t xml:space="preserve">Durante la realización de las tareas y en menos del 50% de los momentos de revisión, el auxiliar ha podido monitorear su trabajo con el incremento esperado.
</t>
    </r>
    <r>
      <rPr>
        <rFont val="Arial"/>
        <b/>
        <color theme="1"/>
        <sz val="9.0"/>
      </rPr>
      <t>0/5</t>
    </r>
  </si>
  <si>
    <t xml:space="preserve">ASUNCIÓN DE FUNCIONES Y RESPONSABILIDADES
</t>
  </si>
  <si>
    <r>
      <rPr>
        <rFont val="Arial"/>
        <color theme="1"/>
        <sz val="9.0"/>
      </rPr>
      <t xml:space="preserve">Ha demostrado en un 100% que realizó sus funciones y ha cumplido a la perfección sus responsabilidades.
</t>
    </r>
    <r>
      <rPr>
        <rFont val="Arial"/>
        <b/>
        <color theme="1"/>
        <sz val="9.0"/>
      </rPr>
      <t>5/5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</si>
  <si>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 xml:space="preserve">Ha ejercido sus funciones y ha cumplido sus responsabilidades en al menos un 75%
</t>
    </r>
    <r>
      <rPr>
        <rFont val="Arial"/>
        <b/>
        <color theme="1"/>
        <sz val="9.0"/>
      </rPr>
      <t>3/5</t>
    </r>
  </si>
  <si>
    <r>
      <rPr>
        <rFont val="Arial"/>
        <color theme="1"/>
        <sz val="9.0"/>
      </rPr>
      <t xml:space="preserve">Ha ejercido sus funciones y ha cumplido sus responsabilidades en al menos un 50%
</t>
    </r>
    <r>
      <rPr>
        <rFont val="Arial"/>
        <b/>
        <color theme="1"/>
        <sz val="9.0"/>
      </rPr>
      <t>2/5</t>
    </r>
  </si>
  <si>
    <r>
      <rPr>
        <rFont val="Arial"/>
        <color theme="1"/>
        <sz val="9.0"/>
      </rPr>
      <t xml:space="preserve">Ha ejercido sus funciones y ha cumplido sus responsabilidades en menos de un 50%
</t>
    </r>
    <r>
      <rPr>
        <rFont val="Arial"/>
        <b/>
        <color theme="1"/>
        <sz val="9.0"/>
      </rPr>
      <t>0/5</t>
    </r>
  </si>
  <si>
    <t>Calificado por:</t>
  </si>
  <si>
    <t>Melyza Alejandra Rodríguez Contreras</t>
  </si>
  <si>
    <t>Tutor académico</t>
  </si>
  <si>
    <r>
      <rPr>
        <rFont val="Arial"/>
        <b/>
        <color theme="1"/>
      </rPr>
      <t xml:space="preserve">Grupo No. </t>
    </r>
    <r>
      <rPr>
        <rFont val="Arial"/>
        <color theme="1"/>
      </rPr>
      <t>____, estamos de acuerdo con la nota obtenida, la cual se detalla a continuación, bajo las siguientes consideraciones:</t>
    </r>
  </si>
  <si>
    <r>
      <rPr>
        <rFont val="Arial"/>
        <color theme="1"/>
      </rPr>
      <t xml:space="preserve">1) Esta nota </t>
    </r>
    <r>
      <rPr>
        <rFont val="Arial"/>
        <b/>
        <color theme="1"/>
      </rPr>
      <t>puede cambiar en cualquier momento, previo a su publicación en DTT</t>
    </r>
    <r>
      <rPr>
        <rFont val="Arial"/>
        <color theme="1"/>
      </rPr>
      <t>, según criterio del catedrático del curso.</t>
    </r>
  </si>
  <si>
    <t>Habilidades técnicas y documentación:</t>
  </si>
  <si>
    <t>_____ pts</t>
  </si>
  <si>
    <t>Habilidades blandas:</t>
  </si>
  <si>
    <t>Total:</t>
  </si>
  <si>
    <t>Representante de Grupo</t>
  </si>
  <si>
    <t>Nombre, carnet y 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</si>
</sst>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20.0"/>
      <color theme="1"/>
      <name val="Arial"/>
    </font>
    <font>
      <b/>
      <color rgb="FFFFFFFF"/>
      <name val="Arial"/>
    </font>
    <font>
      <b/>
      <sz val="8.0"/>
      <color theme="1"/>
      <name val="Arial"/>
    </font>
    <font>
      <b/>
      <color theme="1"/>
      <name val="Arial"/>
      <scheme val="minor"/>
    </font>
    <font>
      <b/>
      <sz val="11.0"/>
      <color rgb="FFFFFFFF"/>
      <name val="Calibri"/>
    </font>
    <font>
      <b/>
      <sz val="11.0"/>
      <color rgb="FF000000"/>
      <name val="Calibri"/>
    </font>
    <font>
      <b/>
      <color rgb="FF000000"/>
      <name val="Arial"/>
    </font>
    <font/>
    <font>
      <color rgb="FF000000"/>
      <name val="Arial"/>
    </font>
    <font>
      <sz val="11.0"/>
      <color rgb="FF000000"/>
      <name val="Calibri"/>
    </font>
    <font>
      <color rgb="FFFF0000"/>
      <name val="Arial"/>
    </font>
    <font>
      <color theme="1"/>
      <name val="Arial"/>
      <scheme val="minor"/>
    </font>
    <font>
      <b/>
      <sz val="11.0"/>
      <color rgb="FFFFFFFF"/>
      <name val="Arial"/>
    </font>
    <font>
      <sz val="9.0"/>
      <color theme="1"/>
      <name val="Arial"/>
    </font>
    <font>
      <sz val="7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5F6F8"/>
        <bgColor rgb="FFF5F6F8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F1C232"/>
        <bgColor rgb="FFF1C232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center"/>
    </xf>
    <xf borderId="0" fillId="0" fontId="5" numFmtId="0" xfId="0" applyAlignment="1" applyFont="1">
      <alignment horizontal="right"/>
    </xf>
    <xf borderId="0" fillId="0" fontId="1" numFmtId="164" xfId="0" applyAlignment="1" applyFont="1" applyNumberFormat="1">
      <alignment horizontal="center"/>
    </xf>
    <xf borderId="3" fillId="3" fontId="1" numFmtId="0" xfId="0" applyBorder="1" applyFill="1" applyFont="1"/>
    <xf borderId="4" fillId="0" fontId="1" numFmtId="0" xfId="0" applyBorder="1" applyFont="1"/>
    <xf borderId="4" fillId="3" fontId="1" numFmtId="0" xfId="0" applyBorder="1" applyFont="1"/>
    <xf borderId="0" fillId="0" fontId="6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0" fillId="0" fontId="1" numFmtId="0" xfId="0" applyFont="1"/>
    <xf borderId="0" fillId="0" fontId="7" numFmtId="0" xfId="0" applyAlignment="1" applyFont="1">
      <alignment horizontal="center" shrinkToFit="0" wrapText="1"/>
    </xf>
    <xf borderId="1" fillId="4" fontId="7" numFmtId="0" xfId="0" applyAlignment="1" applyBorder="1" applyFill="1" applyFont="1">
      <alignment horizontal="center" shrinkToFit="0" wrapText="1"/>
    </xf>
    <xf borderId="6" fillId="4" fontId="7" numFmtId="0" xfId="0" applyAlignment="1" applyBorder="1" applyFont="1">
      <alignment horizontal="center" shrinkToFit="0" wrapText="1"/>
    </xf>
    <xf borderId="2" fillId="4" fontId="7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/>
    </xf>
    <xf borderId="0" fillId="0" fontId="8" numFmtId="0" xfId="0" applyAlignment="1" applyFont="1">
      <alignment horizontal="center" shrinkToFit="0" wrapText="1"/>
    </xf>
    <xf borderId="1" fillId="5" fontId="9" numFmtId="0" xfId="0" applyAlignment="1" applyBorder="1" applyFill="1" applyFont="1">
      <alignment readingOrder="0" shrinkToFit="0" wrapText="1"/>
    </xf>
    <xf borderId="6" fillId="5" fontId="9" numFmtId="0" xfId="0" applyAlignment="1" applyBorder="1" applyFont="1">
      <alignment shrinkToFit="0" wrapText="1"/>
    </xf>
    <xf borderId="2" fillId="5" fontId="9" numFmtId="0" xfId="0" applyAlignment="1" applyBorder="1" applyFont="1">
      <alignment shrinkToFit="0" wrapText="1"/>
    </xf>
    <xf borderId="9" fillId="0" fontId="10" numFmtId="0" xfId="0" applyBorder="1" applyFont="1"/>
    <xf borderId="4" fillId="0" fontId="11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10" fillId="0" fontId="9" numFmtId="0" xfId="0" applyAlignment="1" applyBorder="1" applyFont="1">
      <alignment horizontal="right" shrinkToFit="0" wrapText="1"/>
    </xf>
    <xf borderId="11" fillId="5" fontId="9" numFmtId="0" xfId="0" applyAlignment="1" applyBorder="1" applyFont="1">
      <alignment readingOrder="0" shrinkToFit="0" wrapText="1"/>
    </xf>
    <xf borderId="12" fillId="5" fontId="9" numFmtId="0" xfId="0" applyAlignment="1" applyBorder="1" applyFont="1">
      <alignment shrinkToFit="0" wrapText="1"/>
    </xf>
    <xf borderId="10" fillId="5" fontId="9" numFmtId="0" xfId="0" applyAlignment="1" applyBorder="1" applyFont="1">
      <alignment horizontal="right" shrinkToFit="0" wrapText="1"/>
    </xf>
    <xf borderId="13" fillId="0" fontId="10" numFmtId="0" xfId="0" applyBorder="1" applyFont="1"/>
    <xf borderId="14" fillId="0" fontId="1" numFmtId="0" xfId="0" applyAlignment="1" applyBorder="1" applyFont="1">
      <alignment readingOrder="0"/>
    </xf>
    <xf borderId="0" fillId="0" fontId="12" numFmtId="0" xfId="0" applyAlignment="1" applyFont="1">
      <alignment horizontal="left" shrinkToFit="0" wrapText="1"/>
    </xf>
    <xf borderId="4" fillId="0" fontId="11" numFmtId="0" xfId="0" applyAlignment="1" applyBorder="1" applyFont="1">
      <alignment shrinkToFit="0" wrapText="1"/>
    </xf>
    <xf borderId="4" fillId="0" fontId="13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horizontal="right" shrinkToFit="0" wrapText="1"/>
    </xf>
    <xf borderId="11" fillId="5" fontId="9" numFmtId="0" xfId="0" applyAlignment="1" applyBorder="1" applyFont="1">
      <alignment shrinkToFit="0" wrapText="1"/>
    </xf>
    <xf borderId="12" fillId="0" fontId="10" numFmtId="0" xfId="0" applyBorder="1" applyFont="1"/>
    <xf borderId="10" fillId="0" fontId="10" numFmtId="0" xfId="0" applyBorder="1" applyFont="1"/>
    <xf borderId="11" fillId="0" fontId="11" numFmtId="0" xfId="0" applyAlignment="1" applyBorder="1" applyFont="1">
      <alignment shrinkToFit="0" wrapText="1"/>
    </xf>
    <xf borderId="11" fillId="0" fontId="11" numFmtId="0" xfId="0" applyAlignment="1" applyBorder="1" applyFont="1">
      <alignment readingOrder="0" shrinkToFit="0" vertical="top" wrapText="1"/>
    </xf>
    <xf borderId="4" fillId="0" fontId="11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14" fillId="0" fontId="10" numFmtId="0" xfId="0" applyBorder="1" applyFont="1"/>
    <xf borderId="4" fillId="0" fontId="14" numFmtId="0" xfId="0" applyAlignment="1" applyBorder="1" applyFont="1">
      <alignment readingOrder="0"/>
    </xf>
    <xf borderId="4" fillId="0" fontId="11" numFmtId="0" xfId="0" applyAlignment="1" applyBorder="1" applyFont="1">
      <alignment shrinkToFit="0" vertical="top" wrapText="1"/>
    </xf>
    <xf borderId="4" fillId="0" fontId="11" numFmtId="0" xfId="0" applyAlignment="1" applyBorder="1" applyFont="1">
      <alignment shrinkToFit="0" vertical="center" wrapText="1"/>
    </xf>
    <xf borderId="11" fillId="5" fontId="9" numFmtId="0" xfId="0" applyAlignment="1" applyBorder="1" applyFont="1">
      <alignment horizontal="right" shrinkToFit="0" wrapText="1"/>
    </xf>
    <xf borderId="12" fillId="5" fontId="9" numFmtId="0" xfId="0" applyAlignment="1" applyBorder="1" applyFont="1">
      <alignment horizontal="right" shrinkToFit="0" wrapText="1"/>
    </xf>
    <xf borderId="12" fillId="5" fontId="9" numFmtId="0" xfId="0" applyAlignment="1" applyBorder="1" applyFont="1">
      <alignment horizontal="center" shrinkToFit="0" wrapText="1"/>
    </xf>
    <xf borderId="4" fillId="4" fontId="15" numFmtId="0" xfId="0" applyAlignment="1" applyBorder="1" applyFont="1">
      <alignment horizontal="center" shrinkToFit="0" vertical="bottom" wrapText="1"/>
    </xf>
    <xf borderId="4" fillId="6" fontId="15" numFmtId="0" xfId="0" applyAlignment="1" applyBorder="1" applyFill="1" applyFont="1">
      <alignment horizontal="center" shrinkToFit="0" vertical="bottom" wrapText="1"/>
    </xf>
    <xf borderId="4" fillId="7" fontId="15" numFmtId="0" xfId="0" applyAlignment="1" applyBorder="1" applyFill="1" applyFont="1">
      <alignment horizontal="center" shrinkToFit="0" vertical="bottom" wrapText="1"/>
    </xf>
    <xf borderId="4" fillId="8" fontId="15" numFmtId="0" xfId="0" applyAlignment="1" applyBorder="1" applyFill="1" applyFont="1">
      <alignment horizontal="center" shrinkToFit="0" vertical="bottom" wrapText="1"/>
    </xf>
    <xf borderId="4" fillId="9" fontId="15" numFmtId="0" xfId="0" applyAlignment="1" applyBorder="1" applyFill="1" applyFont="1">
      <alignment horizontal="center" shrinkToFit="0" vertical="bottom" wrapText="1"/>
    </xf>
    <xf borderId="4" fillId="0" fontId="2" numFmtId="0" xfId="0" applyAlignment="1" applyBorder="1" applyFont="1">
      <alignment shrinkToFit="0" vertical="top" wrapText="1"/>
    </xf>
    <xf borderId="4" fillId="0" fontId="16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0</xdr:row>
      <xdr:rowOff>28575</xdr:rowOff>
    </xdr:from>
    <xdr:ext cx="1200150" cy="1200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32.75"/>
    <col customWidth="1" min="3" max="3" width="18.5"/>
    <col customWidth="1" min="4" max="4" width="18.88"/>
    <col customWidth="1" min="5" max="5" width="24.25"/>
    <col customWidth="1" min="6" max="6" width="15.5"/>
    <col customWidth="1" min="10" max="10" width="17.63"/>
    <col customWidth="1" min="11" max="11" width="94.13"/>
  </cols>
  <sheetData>
    <row r="1" ht="15.75" customHeight="1">
      <c r="A1" s="1"/>
      <c r="B1" s="2" t="s">
        <v>0</v>
      </c>
    </row>
    <row r="2" ht="15.75" customHeight="1">
      <c r="A2" s="1"/>
      <c r="B2" s="2" t="s">
        <v>1</v>
      </c>
    </row>
    <row r="3" ht="15.75" customHeight="1">
      <c r="A3" s="1"/>
      <c r="B3" s="2" t="s">
        <v>2</v>
      </c>
    </row>
    <row r="4" ht="15.75" customHeight="1">
      <c r="A4" s="1"/>
      <c r="B4" s="2" t="s">
        <v>3</v>
      </c>
    </row>
    <row r="5" ht="15.75" customHeight="1">
      <c r="A5" s="1"/>
      <c r="B5" s="2" t="s">
        <v>4</v>
      </c>
    </row>
    <row r="6" ht="15.75" customHeight="1">
      <c r="A6" s="3"/>
      <c r="B6" s="3"/>
      <c r="C6" s="3"/>
      <c r="D6" s="3"/>
      <c r="E6" s="3"/>
    </row>
    <row r="7" ht="15.75" customHeight="1">
      <c r="A7" s="3"/>
      <c r="B7" s="3"/>
      <c r="C7" s="3"/>
      <c r="D7" s="3"/>
      <c r="E7" s="3"/>
    </row>
    <row r="8" ht="15.75" customHeight="1">
      <c r="A8" s="3"/>
      <c r="B8" s="3"/>
    </row>
    <row r="9" ht="45.0" customHeight="1">
      <c r="A9" s="3"/>
      <c r="B9" s="4" t="s">
        <v>5</v>
      </c>
    </row>
    <row r="10" ht="39.75" customHeight="1">
      <c r="A10" s="3"/>
      <c r="B10" s="4" t="s">
        <v>6</v>
      </c>
    </row>
    <row r="11" ht="15.75" customHeight="1"/>
    <row r="12" ht="15.75" customHeight="1"/>
    <row r="13" ht="25.5" customHeight="1">
      <c r="A13" s="5"/>
      <c r="B13" s="6" t="s">
        <v>7</v>
      </c>
    </row>
    <row r="14" ht="15.75" customHeight="1">
      <c r="A14" s="5"/>
      <c r="B14" s="7" t="s">
        <v>8</v>
      </c>
      <c r="C14" s="8" t="s">
        <v>9</v>
      </c>
      <c r="D14" s="9" t="s">
        <v>10</v>
      </c>
      <c r="E14" s="10">
        <v>45948.0</v>
      </c>
    </row>
    <row r="15" ht="15.75" customHeight="1">
      <c r="B15" s="11"/>
      <c r="C15" s="11"/>
      <c r="D15" s="9" t="s">
        <v>11</v>
      </c>
      <c r="E15" s="3"/>
    </row>
    <row r="16" ht="15.75" customHeight="1">
      <c r="B16" s="12"/>
      <c r="C16" s="12"/>
      <c r="D16" s="9" t="s">
        <v>12</v>
      </c>
      <c r="E16" s="3"/>
    </row>
    <row r="17" ht="15.75" customHeight="1">
      <c r="B17" s="13"/>
      <c r="C17" s="13"/>
      <c r="D17" s="9" t="s">
        <v>13</v>
      </c>
      <c r="E17" s="3" t="s">
        <v>14</v>
      </c>
    </row>
    <row r="18" ht="15.75" customHeight="1">
      <c r="B18" s="12"/>
      <c r="C18" s="12"/>
    </row>
    <row r="19" ht="15.75" customHeight="1">
      <c r="B19" s="13"/>
      <c r="C19" s="13"/>
      <c r="J19" s="14" t="s">
        <v>15</v>
      </c>
    </row>
    <row r="20" ht="15.75" customHeight="1">
      <c r="A20" s="5"/>
      <c r="B20" s="5"/>
      <c r="C20" s="5"/>
    </row>
    <row r="21" ht="15.75" customHeight="1">
      <c r="A21" s="5"/>
      <c r="B21" s="5"/>
      <c r="C21" s="5"/>
      <c r="J21" s="15" t="s">
        <v>16</v>
      </c>
      <c r="K21" s="15" t="s">
        <v>17</v>
      </c>
      <c r="L21" s="16"/>
      <c r="M21" s="16"/>
      <c r="N21" s="16"/>
      <c r="O21" s="16"/>
      <c r="P21" s="16"/>
      <c r="Q21" s="16"/>
      <c r="R21" s="16"/>
    </row>
    <row r="22" ht="15.75" customHeight="1">
      <c r="A22" s="17"/>
      <c r="B22" s="18" t="s">
        <v>18</v>
      </c>
      <c r="C22" s="19" t="s">
        <v>19</v>
      </c>
      <c r="D22" s="19" t="s">
        <v>20</v>
      </c>
      <c r="E22" s="20" t="s">
        <v>21</v>
      </c>
      <c r="J22" s="21" t="s">
        <v>22</v>
      </c>
      <c r="K22" s="22" t="s">
        <v>23</v>
      </c>
      <c r="L22" s="16"/>
      <c r="M22" s="16"/>
      <c r="N22" s="16"/>
      <c r="O22" s="16"/>
      <c r="P22" s="16"/>
      <c r="Q22" s="16"/>
      <c r="R22" s="16"/>
    </row>
    <row r="23" ht="15.75" customHeight="1">
      <c r="A23" s="23"/>
      <c r="B23" s="24" t="s">
        <v>24</v>
      </c>
      <c r="C23" s="25">
        <f>SUM(C24:C26)</f>
        <v>20</v>
      </c>
      <c r="D23" s="25"/>
      <c r="E23" s="26"/>
      <c r="J23" s="27"/>
      <c r="K23" s="22" t="s">
        <v>25</v>
      </c>
      <c r="L23" s="16"/>
      <c r="M23" s="16"/>
      <c r="N23" s="16"/>
      <c r="O23" s="16"/>
      <c r="P23" s="16"/>
      <c r="Q23" s="16"/>
      <c r="R23" s="16"/>
    </row>
    <row r="24" ht="15.75" customHeight="1">
      <c r="A24" s="23"/>
      <c r="B24" s="28" t="s">
        <v>22</v>
      </c>
      <c r="C24" s="29">
        <v>8.0</v>
      </c>
      <c r="D24" s="30"/>
      <c r="E24" s="31"/>
      <c r="J24" s="27"/>
      <c r="K24" s="22" t="s">
        <v>26</v>
      </c>
      <c r="L24" s="16"/>
      <c r="M24" s="16"/>
      <c r="N24" s="16"/>
      <c r="O24" s="16"/>
      <c r="P24" s="16"/>
      <c r="Q24" s="16"/>
      <c r="R24" s="16"/>
    </row>
    <row r="25" ht="15.75" customHeight="1">
      <c r="A25" s="23"/>
      <c r="B25" s="28" t="s">
        <v>27</v>
      </c>
      <c r="C25" s="29">
        <v>7.0</v>
      </c>
      <c r="D25" s="30"/>
      <c r="E25" s="31"/>
      <c r="J25" s="27"/>
      <c r="K25" s="22" t="s">
        <v>28</v>
      </c>
      <c r="L25" s="16"/>
      <c r="M25" s="16"/>
      <c r="N25" s="16"/>
      <c r="O25" s="16"/>
      <c r="P25" s="16"/>
      <c r="Q25" s="16"/>
      <c r="R25" s="16"/>
    </row>
    <row r="26" ht="15.75" customHeight="1">
      <c r="A26" s="23"/>
      <c r="B26" s="28" t="s">
        <v>29</v>
      </c>
      <c r="C26" s="29">
        <v>5.0</v>
      </c>
      <c r="D26" s="30"/>
      <c r="E26" s="31"/>
      <c r="J26" s="27"/>
      <c r="K26" s="22" t="s">
        <v>30</v>
      </c>
      <c r="L26" s="16"/>
      <c r="M26" s="16"/>
      <c r="N26" s="16"/>
      <c r="O26" s="16"/>
      <c r="P26" s="16"/>
      <c r="Q26" s="16"/>
      <c r="R26" s="16"/>
    </row>
    <row r="27" ht="15.75" customHeight="1">
      <c r="A27" s="23"/>
      <c r="B27" s="32" t="s">
        <v>31</v>
      </c>
      <c r="C27" s="33">
        <f>SUM(C28:C31)</f>
        <v>10</v>
      </c>
      <c r="D27" s="33"/>
      <c r="E27" s="34"/>
      <c r="J27" s="35"/>
      <c r="K27" s="36" t="s">
        <v>32</v>
      </c>
      <c r="L27" s="16"/>
      <c r="M27" s="16"/>
      <c r="N27" s="16"/>
      <c r="O27" s="16"/>
      <c r="P27" s="16"/>
      <c r="Q27" s="16"/>
      <c r="R27" s="16"/>
    </row>
    <row r="28" ht="15.75" customHeight="1">
      <c r="A28" s="37"/>
      <c r="B28" s="38" t="s">
        <v>33</v>
      </c>
      <c r="C28" s="29">
        <v>2.0</v>
      </c>
      <c r="D28" s="30"/>
      <c r="E28" s="31"/>
      <c r="J28" s="21" t="s">
        <v>27</v>
      </c>
      <c r="K28" s="22" t="s">
        <v>34</v>
      </c>
      <c r="L28" s="16"/>
      <c r="M28" s="16"/>
      <c r="N28" s="16"/>
      <c r="O28" s="16"/>
      <c r="P28" s="16"/>
      <c r="Q28" s="16"/>
      <c r="R28" s="16"/>
    </row>
    <row r="29" ht="15.75" customHeight="1">
      <c r="A29" s="37"/>
      <c r="B29" s="38" t="s">
        <v>35</v>
      </c>
      <c r="C29" s="29">
        <v>2.0</v>
      </c>
      <c r="D29" s="30"/>
      <c r="E29" s="31"/>
      <c r="J29" s="27"/>
      <c r="K29" s="22" t="s">
        <v>36</v>
      </c>
      <c r="L29" s="16"/>
      <c r="M29" s="16"/>
      <c r="N29" s="16"/>
      <c r="O29" s="16"/>
      <c r="P29" s="16"/>
      <c r="Q29" s="16"/>
      <c r="R29" s="16"/>
    </row>
    <row r="30" ht="15.75" customHeight="1">
      <c r="A30" s="37"/>
      <c r="B30" s="38" t="s">
        <v>37</v>
      </c>
      <c r="C30" s="29">
        <v>4.0</v>
      </c>
      <c r="D30" s="39"/>
      <c r="E30" s="31"/>
      <c r="J30" s="27"/>
      <c r="K30" s="22" t="s">
        <v>38</v>
      </c>
      <c r="L30" s="16"/>
      <c r="M30" s="16"/>
      <c r="N30" s="16"/>
      <c r="O30" s="16"/>
      <c r="P30" s="16"/>
      <c r="Q30" s="16"/>
      <c r="R30" s="16"/>
    </row>
    <row r="31" ht="15.75" customHeight="1">
      <c r="A31" s="37"/>
      <c r="B31" s="38" t="s">
        <v>39</v>
      </c>
      <c r="C31" s="29">
        <v>2.0</v>
      </c>
      <c r="D31" s="30"/>
      <c r="E31" s="31"/>
      <c r="J31" s="27"/>
      <c r="K31" s="22" t="s">
        <v>40</v>
      </c>
      <c r="L31" s="16"/>
      <c r="M31" s="16"/>
      <c r="N31" s="16"/>
      <c r="O31" s="16"/>
      <c r="P31" s="16"/>
      <c r="Q31" s="16"/>
      <c r="R31" s="16"/>
    </row>
    <row r="32" ht="15.75" customHeight="1">
      <c r="A32" s="40"/>
      <c r="B32" s="32" t="s">
        <v>41</v>
      </c>
      <c r="C32" s="33">
        <f>SUM(C34:C38)</f>
        <v>15</v>
      </c>
      <c r="D32" s="33"/>
      <c r="E32" s="34"/>
      <c r="J32" s="27"/>
      <c r="K32" s="22" t="s">
        <v>42</v>
      </c>
      <c r="L32" s="16"/>
      <c r="M32" s="16"/>
      <c r="N32" s="16"/>
      <c r="O32" s="16"/>
      <c r="P32" s="16"/>
      <c r="Q32" s="16"/>
      <c r="R32" s="16"/>
    </row>
    <row r="33" ht="15.75" customHeight="1">
      <c r="B33" s="41" t="s">
        <v>43</v>
      </c>
      <c r="C33" s="42"/>
      <c r="D33" s="42"/>
      <c r="E33" s="43"/>
      <c r="J33" s="35"/>
      <c r="K33" s="36" t="s">
        <v>44</v>
      </c>
      <c r="L33" s="16"/>
      <c r="M33" s="16"/>
      <c r="N33" s="16"/>
      <c r="O33" s="16"/>
      <c r="P33" s="16"/>
      <c r="Q33" s="16"/>
      <c r="R33" s="16"/>
    </row>
    <row r="34" ht="15.75" customHeight="1">
      <c r="B34" s="44" t="s">
        <v>45</v>
      </c>
      <c r="C34" s="45">
        <v>3.0</v>
      </c>
      <c r="D34" s="30"/>
      <c r="E34" s="31"/>
      <c r="J34" s="21" t="s">
        <v>29</v>
      </c>
      <c r="K34" s="22" t="s">
        <v>46</v>
      </c>
      <c r="L34" s="16"/>
      <c r="M34" s="16"/>
      <c r="N34" s="16"/>
      <c r="O34" s="16"/>
      <c r="P34" s="16"/>
      <c r="Q34" s="16"/>
      <c r="R34" s="16"/>
    </row>
    <row r="35" ht="15.75" customHeight="1">
      <c r="B35" s="44" t="s">
        <v>47</v>
      </c>
      <c r="C35" s="45">
        <v>3.0</v>
      </c>
      <c r="D35" s="30"/>
      <c r="E35" s="31"/>
      <c r="J35" s="27"/>
      <c r="K35" s="22" t="s">
        <v>48</v>
      </c>
      <c r="L35" s="16"/>
      <c r="M35" s="16"/>
      <c r="N35" s="16"/>
      <c r="O35" s="16"/>
      <c r="P35" s="16"/>
      <c r="Q35" s="16"/>
      <c r="R35" s="16"/>
    </row>
    <row r="36" ht="15.75" customHeight="1">
      <c r="B36" s="44" t="s">
        <v>49</v>
      </c>
      <c r="C36" s="45">
        <v>3.0</v>
      </c>
      <c r="D36" s="30"/>
      <c r="E36" s="31"/>
      <c r="J36" s="27"/>
      <c r="K36" s="22" t="s">
        <v>50</v>
      </c>
      <c r="L36" s="16"/>
      <c r="M36" s="16"/>
      <c r="N36" s="16"/>
      <c r="O36" s="16"/>
      <c r="P36" s="16"/>
      <c r="Q36" s="16"/>
      <c r="R36" s="16"/>
    </row>
    <row r="37" ht="26.25" customHeight="1">
      <c r="B37" s="38" t="s">
        <v>51</v>
      </c>
      <c r="C37" s="46">
        <v>3.0</v>
      </c>
      <c r="D37" s="30"/>
      <c r="E37" s="31"/>
      <c r="J37" s="27"/>
      <c r="K37" s="22" t="s">
        <v>52</v>
      </c>
      <c r="L37" s="16"/>
      <c r="M37" s="16"/>
      <c r="N37" s="16"/>
      <c r="O37" s="16"/>
      <c r="P37" s="16"/>
      <c r="Q37" s="16"/>
      <c r="R37" s="16"/>
    </row>
    <row r="38" ht="15.0" customHeight="1">
      <c r="B38" s="38" t="s">
        <v>53</v>
      </c>
      <c r="C38" s="29">
        <v>3.0</v>
      </c>
      <c r="D38" s="30"/>
      <c r="E38" s="31"/>
      <c r="J38" s="27"/>
      <c r="K38" s="22" t="s">
        <v>54</v>
      </c>
      <c r="L38" s="16"/>
      <c r="M38" s="16"/>
      <c r="N38" s="16"/>
      <c r="O38" s="16"/>
      <c r="P38" s="16"/>
      <c r="Q38" s="16"/>
      <c r="R38" s="16"/>
    </row>
    <row r="39" ht="15.75" customHeight="1">
      <c r="B39" s="41" t="s">
        <v>55</v>
      </c>
      <c r="C39" s="33">
        <f>SUM(C40:C44)</f>
        <v>13</v>
      </c>
      <c r="D39" s="33"/>
      <c r="E39" s="34"/>
      <c r="J39" s="27"/>
      <c r="K39" s="47" t="s">
        <v>56</v>
      </c>
    </row>
    <row r="40" ht="15.75" customHeight="1">
      <c r="B40" s="28" t="s">
        <v>57</v>
      </c>
      <c r="C40" s="29">
        <v>2.0</v>
      </c>
      <c r="D40" s="39"/>
      <c r="E40" s="31"/>
      <c r="J40" s="35"/>
      <c r="K40" s="48"/>
    </row>
    <row r="41" ht="15.75" customHeight="1">
      <c r="B41" s="28" t="s">
        <v>58</v>
      </c>
      <c r="C41" s="29">
        <v>2.0</v>
      </c>
      <c r="D41" s="39"/>
      <c r="E41" s="31"/>
    </row>
    <row r="42" ht="15.75" customHeight="1">
      <c r="B42" s="28" t="s">
        <v>59</v>
      </c>
      <c r="C42" s="29">
        <v>3.0</v>
      </c>
      <c r="D42" s="30"/>
      <c r="E42" s="31"/>
    </row>
    <row r="43" ht="28.5" customHeight="1">
      <c r="B43" s="46" t="s">
        <v>60</v>
      </c>
      <c r="C43" s="46">
        <v>3.0</v>
      </c>
      <c r="D43" s="30"/>
      <c r="E43" s="31"/>
      <c r="J43" s="49" t="s">
        <v>61</v>
      </c>
    </row>
    <row r="44" ht="27.75" customHeight="1">
      <c r="B44" s="28" t="s">
        <v>62</v>
      </c>
      <c r="C44" s="46">
        <v>3.0</v>
      </c>
      <c r="D44" s="30"/>
      <c r="E44" s="31"/>
      <c r="J44" s="49" t="s">
        <v>63</v>
      </c>
    </row>
    <row r="45" ht="15.75" customHeight="1">
      <c r="B45" s="41" t="s">
        <v>64</v>
      </c>
      <c r="C45" s="33">
        <f>SUM(C46:C49)</f>
        <v>10</v>
      </c>
      <c r="D45" s="33"/>
      <c r="E45" s="34"/>
      <c r="J45" s="49" t="s">
        <v>65</v>
      </c>
    </row>
    <row r="46" ht="15.75" customHeight="1">
      <c r="B46" s="38" t="s">
        <v>66</v>
      </c>
      <c r="C46" s="50">
        <v>2.0</v>
      </c>
      <c r="D46" s="30"/>
      <c r="E46" s="31"/>
      <c r="J46" s="49" t="s">
        <v>67</v>
      </c>
    </row>
    <row r="47" ht="15.75" customHeight="1">
      <c r="B47" s="38" t="s">
        <v>68</v>
      </c>
      <c r="C47" s="29">
        <v>4.0</v>
      </c>
      <c r="D47" s="30"/>
      <c r="E47" s="31"/>
      <c r="J47" s="49" t="s">
        <v>69</v>
      </c>
    </row>
    <row r="48" ht="15.75" customHeight="1">
      <c r="B48" s="28" t="s">
        <v>70</v>
      </c>
      <c r="C48" s="29">
        <v>2.0</v>
      </c>
      <c r="D48" s="30"/>
      <c r="E48" s="31"/>
      <c r="J48" s="49" t="s">
        <v>71</v>
      </c>
    </row>
    <row r="49" ht="15.75" customHeight="1">
      <c r="B49" s="38" t="s">
        <v>72</v>
      </c>
      <c r="C49" s="29">
        <v>2.0</v>
      </c>
      <c r="D49" s="30"/>
      <c r="E49" s="31"/>
      <c r="J49" s="49" t="s">
        <v>73</v>
      </c>
    </row>
    <row r="50" ht="15.75" customHeight="1">
      <c r="B50" s="41" t="s">
        <v>74</v>
      </c>
      <c r="C50" s="33">
        <f>SUM(C51:C55)</f>
        <v>5</v>
      </c>
      <c r="D50" s="33"/>
      <c r="E50" s="34"/>
    </row>
    <row r="51" ht="15.75" customHeight="1">
      <c r="B51" s="38" t="s">
        <v>75</v>
      </c>
      <c r="C51" s="50">
        <v>1.0</v>
      </c>
      <c r="D51" s="30"/>
      <c r="E51" s="31"/>
      <c r="J51" s="49" t="s">
        <v>76</v>
      </c>
    </row>
    <row r="52" ht="15.75" customHeight="1">
      <c r="B52" s="38" t="s">
        <v>77</v>
      </c>
      <c r="C52" s="50">
        <v>1.0</v>
      </c>
      <c r="D52" s="30"/>
      <c r="E52" s="31"/>
      <c r="J52" s="49" t="s">
        <v>65</v>
      </c>
    </row>
    <row r="53" ht="28.5" customHeight="1">
      <c r="B53" s="38" t="s">
        <v>78</v>
      </c>
      <c r="C53" s="51">
        <v>1.0</v>
      </c>
      <c r="D53" s="30"/>
      <c r="E53" s="31"/>
      <c r="J53" s="49" t="s">
        <v>79</v>
      </c>
    </row>
    <row r="54" ht="29.25" customHeight="1">
      <c r="B54" s="38" t="s">
        <v>80</v>
      </c>
      <c r="C54" s="46">
        <v>1.0</v>
      </c>
      <c r="D54" s="30"/>
      <c r="E54" s="31"/>
      <c r="J54" s="49" t="s">
        <v>81</v>
      </c>
    </row>
    <row r="55" ht="30.75" customHeight="1">
      <c r="B55" s="38" t="s">
        <v>82</v>
      </c>
      <c r="C55" s="51">
        <v>1.0</v>
      </c>
      <c r="D55" s="30"/>
      <c r="E55" s="31"/>
      <c r="J55" s="49" t="s">
        <v>83</v>
      </c>
    </row>
    <row r="56" ht="15.75" customHeight="1">
      <c r="B56" s="41" t="s">
        <v>84</v>
      </c>
      <c r="C56" s="33">
        <f>SUM(C57:C59)</f>
        <v>12</v>
      </c>
      <c r="D56" s="33"/>
      <c r="E56" s="34"/>
    </row>
    <row r="57" ht="15.75" customHeight="1">
      <c r="B57" s="38" t="s">
        <v>85</v>
      </c>
      <c r="C57" s="50">
        <v>2.0</v>
      </c>
      <c r="D57" s="30"/>
      <c r="E57" s="31"/>
    </row>
    <row r="58" ht="15.75" customHeight="1">
      <c r="B58" s="38" t="s">
        <v>86</v>
      </c>
      <c r="C58" s="50">
        <v>5.0</v>
      </c>
      <c r="D58" s="30"/>
      <c r="E58" s="31"/>
    </row>
    <row r="59" ht="24.75" customHeight="1">
      <c r="B59" s="38" t="s">
        <v>87</v>
      </c>
      <c r="C59" s="46">
        <v>5.0</v>
      </c>
      <c r="D59" s="30"/>
      <c r="E59" s="31"/>
    </row>
    <row r="60" ht="15.75" customHeight="1">
      <c r="B60" s="52" t="s">
        <v>88</v>
      </c>
      <c r="C60" s="53">
        <f>C56+C50+C45+C39+C32+C27+C23</f>
        <v>85</v>
      </c>
      <c r="D60" s="54"/>
      <c r="E60" s="34"/>
    </row>
    <row r="61" ht="15.75" customHeight="1"/>
    <row r="62" ht="15.75" customHeight="1"/>
    <row r="63" ht="15.75" customHeight="1"/>
    <row r="64" ht="15.75" customHeight="1"/>
    <row r="65" ht="15.75" customHeight="1">
      <c r="B65" s="55" t="s">
        <v>89</v>
      </c>
      <c r="C65" s="56" t="s">
        <v>90</v>
      </c>
      <c r="D65" s="57" t="s">
        <v>91</v>
      </c>
      <c r="E65" s="58" t="s">
        <v>92</v>
      </c>
      <c r="F65" s="59" t="s">
        <v>93</v>
      </c>
    </row>
    <row r="66" ht="80.25" customHeight="1">
      <c r="B66" s="60" t="s">
        <v>94</v>
      </c>
      <c r="C66" s="61" t="s">
        <v>95</v>
      </c>
      <c r="D66" s="61" t="s">
        <v>96</v>
      </c>
      <c r="E66" s="61" t="s">
        <v>97</v>
      </c>
      <c r="F66" s="61" t="s">
        <v>98</v>
      </c>
    </row>
    <row r="67" ht="99.0" customHeight="1">
      <c r="B67" s="60" t="s">
        <v>99</v>
      </c>
      <c r="C67" s="61" t="s">
        <v>100</v>
      </c>
      <c r="D67" s="61" t="s">
        <v>101</v>
      </c>
      <c r="E67" s="61" t="s">
        <v>102</v>
      </c>
      <c r="F67" s="61" t="s">
        <v>103</v>
      </c>
    </row>
    <row r="68" ht="83.25" customHeight="1">
      <c r="B68" s="60" t="s">
        <v>104</v>
      </c>
      <c r="C68" s="61" t="s">
        <v>105</v>
      </c>
      <c r="D68" s="61" t="s">
        <v>106</v>
      </c>
      <c r="E68" s="61" t="s">
        <v>107</v>
      </c>
      <c r="F68" s="61" t="s">
        <v>108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>
      <c r="B76" s="5" t="s">
        <v>109</v>
      </c>
    </row>
    <row r="77" ht="15.75" customHeight="1">
      <c r="B77" s="3"/>
      <c r="C77" s="3"/>
      <c r="D77" s="3"/>
    </row>
    <row r="78" ht="15.75" customHeight="1">
      <c r="B78" s="3"/>
      <c r="C78" s="3"/>
      <c r="D78" s="3"/>
    </row>
    <row r="79" ht="15.75" customHeight="1">
      <c r="B79" s="3"/>
      <c r="C79" s="3"/>
      <c r="D79" s="3"/>
    </row>
    <row r="80" ht="15.75" customHeight="1">
      <c r="B80" s="62" t="s">
        <v>110</v>
      </c>
    </row>
    <row r="81" ht="15.75" customHeight="1">
      <c r="B81" s="62" t="s">
        <v>111</v>
      </c>
    </row>
    <row r="82" ht="15.75" customHeight="1"/>
    <row r="83" ht="15.75" customHeight="1">
      <c r="B83" s="5" t="s">
        <v>112</v>
      </c>
    </row>
    <row r="84" ht="15.75" customHeight="1">
      <c r="B84" s="5"/>
      <c r="C84" s="63"/>
      <c r="D84" s="63"/>
      <c r="E84" s="63"/>
      <c r="F84" s="63"/>
    </row>
    <row r="85" ht="32.25" customHeight="1">
      <c r="B85" s="1" t="s">
        <v>113</v>
      </c>
    </row>
    <row r="86" ht="15.75" customHeight="1">
      <c r="B86" s="1"/>
    </row>
    <row r="87" ht="15.75" customHeight="1">
      <c r="B87" s="64"/>
    </row>
    <row r="88" ht="15.75" customHeight="1">
      <c r="B88" s="65" t="s">
        <v>114</v>
      </c>
      <c r="C88" s="5" t="s">
        <v>115</v>
      </c>
    </row>
    <row r="89" ht="15.75" customHeight="1">
      <c r="B89" s="64"/>
    </row>
    <row r="90" ht="15.75" customHeight="1">
      <c r="B90" s="65" t="s">
        <v>116</v>
      </c>
      <c r="C90" s="5" t="s">
        <v>115</v>
      </c>
    </row>
    <row r="91" ht="15.75" customHeight="1">
      <c r="B91" s="5"/>
    </row>
    <row r="92" ht="15.75" customHeight="1">
      <c r="B92" s="65" t="s">
        <v>117</v>
      </c>
      <c r="C92" s="5" t="s">
        <v>115</v>
      </c>
    </row>
    <row r="93" ht="15.75" customHeight="1"/>
    <row r="94" ht="15.75" customHeight="1">
      <c r="B94" s="62"/>
      <c r="C94" s="62"/>
      <c r="D94" s="62"/>
      <c r="E94" s="62"/>
    </row>
    <row r="95" ht="15.75" customHeight="1">
      <c r="B95" s="62"/>
      <c r="C95" s="62"/>
      <c r="D95" s="62"/>
      <c r="E95" s="62"/>
    </row>
    <row r="96" ht="15.75" customHeight="1">
      <c r="B96" s="62"/>
      <c r="C96" s="62"/>
      <c r="D96" s="62"/>
      <c r="E96" s="62"/>
    </row>
    <row r="97" ht="15.75" customHeight="1">
      <c r="B97" s="62"/>
      <c r="C97" s="62"/>
      <c r="D97" s="62"/>
      <c r="E97" s="62"/>
    </row>
    <row r="98" ht="15.75" customHeight="1">
      <c r="B98" s="62" t="s">
        <v>118</v>
      </c>
    </row>
    <row r="99" ht="15.75" customHeight="1">
      <c r="B99" s="66" t="s">
        <v>119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23">
    <mergeCell ref="J28:J33"/>
    <mergeCell ref="J34:J40"/>
    <mergeCell ref="K39:K40"/>
    <mergeCell ref="B9:E9"/>
    <mergeCell ref="B10:E10"/>
    <mergeCell ref="B12:E12"/>
    <mergeCell ref="B13:C13"/>
    <mergeCell ref="J19:K19"/>
    <mergeCell ref="J22:J27"/>
    <mergeCell ref="B33:E33"/>
    <mergeCell ref="B80:E80"/>
    <mergeCell ref="B81:E81"/>
    <mergeCell ref="B85:F85"/>
    <mergeCell ref="B93:D93"/>
    <mergeCell ref="B98:E98"/>
    <mergeCell ref="B99:E99"/>
    <mergeCell ref="B1:D1"/>
    <mergeCell ref="E1:E5"/>
    <mergeCell ref="B2:D2"/>
    <mergeCell ref="B3:D3"/>
    <mergeCell ref="B4:D4"/>
    <mergeCell ref="B5:D5"/>
    <mergeCell ref="B8:E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headerFooter>
    <oddFooter>&amp;LAYD 2&amp;CFase 3&amp;RPágina &amp;P de 2</oddFooter>
  </headerFooter>
  <drawing r:id="rId2"/>
  <legacyDrawing r:id="rId3"/>
</worksheet>
</file>