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/G8zALk9H+RL+vNmBnyA4N004zRBYqpIH6NUXz5W57k="/>
    </ext>
  </extLst>
</workbook>
</file>

<file path=xl/sharedStrings.xml><?xml version="1.0" encoding="utf-8"?>
<sst xmlns="http://schemas.openxmlformats.org/spreadsheetml/2006/main" count="788" uniqueCount="283">
  <si>
    <t>Competencias actuales del laboratorio</t>
  </si>
  <si>
    <t>Nombre del Curso</t>
  </si>
  <si>
    <t>Análisis y Diseño de Sistemas 2</t>
  </si>
  <si>
    <t>Código del Curso</t>
  </si>
  <si>
    <t>Semestre</t>
  </si>
  <si>
    <t>Área de Conocimiento</t>
  </si>
  <si>
    <t>Desarrollo de 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</si>
  <si>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</si>
  <si>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</si>
  <si>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</si>
  <si>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</si>
  <si>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</si>
  <si>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</si>
  <si>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</si>
  <si>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</si>
  <si>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</si>
  <si>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</si>
  <si>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</si>
  <si>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</si>
  <si>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</si>
  <si>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Especifica</t>
  </si>
  <si>
    <t xml:space="preserve">Identifica y describe conceptos de frameworks aplicando casos de uso y características comunes para seleccionar adecuadamente un framework de acuerdo al proyecto. </t>
  </si>
  <si>
    <t>Comprender</t>
  </si>
  <si>
    <t xml:space="preserve">Diseña y aplica patrones de diseño de software utilizando principios de diseño y catálogos de estilos garantizando la calidad estructural y de comportamiento del sistema. </t>
  </si>
  <si>
    <t>Aplicar y crear</t>
  </si>
  <si>
    <t xml:space="preserve">Implementa y evalúa pruebas funcionales y no funcionales empleando técnicas de pruebas unitarias, de carga y de seguridad asegurando el correcto funcionamiento y desempeño del software. </t>
  </si>
  <si>
    <t>Evaluar y aplicar</t>
  </si>
  <si>
    <t xml:space="preserve">Aplica y adapta modelos de despliegue en la nube mediante arquitecturas por capas, microservicios y plataformas como Docker y Terraform optimizando la disponibilidad y escalabilidad de los sistemas. </t>
  </si>
  <si>
    <t>Aplicar</t>
  </si>
  <si>
    <t xml:space="preserve">Integra y automatiza procesos DevOps utilizando herramientas de integración y entrega continua para mejorar el ciclo de vida de las aplicaciones. </t>
  </si>
  <si>
    <t>Aplicar y analizar</t>
  </si>
  <si>
    <t>General</t>
  </si>
  <si>
    <t xml:space="preserve">Diseña, implementa y evalúa arquitecturas de software aplicando frameworks, patrones de diseño, metodologías de pruebas y despliegue en la nube utilizando herramientas colaborativas y de automatización bajo estándares de calidad, seguridad y buenas prácticas de desarrollo de software </t>
  </si>
  <si>
    <t>Aplicar y Analiza</t>
  </si>
  <si>
    <t>Análisis y Diseño de Sistemas 1</t>
  </si>
  <si>
    <t>Semestre que aplica</t>
  </si>
  <si>
    <t>Primer Semestre 2026</t>
  </si>
  <si>
    <t>No</t>
  </si>
  <si>
    <t>Unidad</t>
  </si>
  <si>
    <t>Tema</t>
  </si>
  <si>
    <t>Subtema</t>
  </si>
  <si>
    <t xml:space="preserve">Genera soluciones de software aplicando buenas prácticas de análisis, control de versiones y metodologías ágiles para garantizar proyectos eficientes y colaborativos en entornos virtuales de trabajo </t>
  </si>
  <si>
    <t>1. Control de Versiones</t>
  </si>
  <si>
    <t>Introducción a los Sistemas de Control de Versiones</t>
  </si>
  <si>
    <t>Introduccion</t>
  </si>
  <si>
    <t>Sistema de control de versiones local</t>
  </si>
  <si>
    <t>Sistema de control de versiones centralizado</t>
  </si>
  <si>
    <t>Sistema de control de versiones distribuido</t>
  </si>
  <si>
    <t>Repositorios publicos</t>
  </si>
  <si>
    <t>Repositorios privados</t>
  </si>
  <si>
    <t>Herramientas</t>
  </si>
  <si>
    <t xml:space="preserve">Coordina el desarrollo de soluciones grupales empleando metodologias agiles y plataformas colaborativas para organizar y ejecutar reuniones que favorezcan la toma de decisiones y el cumplimiento de objetivos en entornos de trabajo en equipo. </t>
  </si>
  <si>
    <t>Git</t>
  </si>
  <si>
    <t>Introducción</t>
  </si>
  <si>
    <t>Fases de Git</t>
  </si>
  <si>
    <t>Buenas Prácticas en Git</t>
  </si>
  <si>
    <t>Estructura de commits</t>
  </si>
  <si>
    <t>Comandos</t>
  </si>
  <si>
    <t>Ramas</t>
  </si>
  <si>
    <t>GitFlow y Versionamiento Semántico</t>
  </si>
  <si>
    <t>Ramas principales</t>
  </si>
  <si>
    <t>Ramas desarrollo</t>
  </si>
  <si>
    <t>Flujo de trabajo</t>
  </si>
  <si>
    <t>Versionamiento semántico</t>
  </si>
  <si>
    <t>Releases</t>
  </si>
  <si>
    <t xml:space="preserve">Aprende a elegir metodologias de desarrollo comparando los requerimientos que exige el proyecto para entregar software que satisfagan las necesidades solicitadas. </t>
  </si>
  <si>
    <t>2. Metodologias de Desarrollo</t>
  </si>
  <si>
    <t>Introducción a las Metodologías de Desarrollo</t>
  </si>
  <si>
    <t>Historia</t>
  </si>
  <si>
    <t>Metodologias robustas</t>
  </si>
  <si>
    <t>Metodologias Agiles</t>
  </si>
  <si>
    <t>Factores para la Selección de una Metodología</t>
  </si>
  <si>
    <t>Tendencias Actuales y Futuras</t>
  </si>
  <si>
    <t xml:space="preserve">Utiliza metodologias agiles  como scrum y tableros Kanban para entregar software funcional en cortos periodos de tiempo </t>
  </si>
  <si>
    <t>Scrum</t>
  </si>
  <si>
    <t>Roles</t>
  </si>
  <si>
    <t>Artefactos</t>
  </si>
  <si>
    <t>Eventos</t>
  </si>
  <si>
    <t>Pilares</t>
  </si>
  <si>
    <t>Técnicas de Estimación</t>
  </si>
  <si>
    <t xml:space="preserve">Integra herramientas de gestión de requerimientos, pruebas y despliegue continuo utilizando estándares de calidad de software y herramientas como Jira, Git y CI/CD con el fin de asegurar la trazabilidad, confiabilidad y funcionalidad del sistema </t>
  </si>
  <si>
    <t>Herramientas de Gestion Agil</t>
  </si>
  <si>
    <t>Jira</t>
  </si>
  <si>
    <t>Trello</t>
  </si>
  <si>
    <t>Seleccion de herramientas adecuadas</t>
  </si>
  <si>
    <t>3. Diseño y Desarrollo de Sistemas</t>
  </si>
  <si>
    <t>Modelado y Construcción de Sistemas</t>
  </si>
  <si>
    <t>Ciclo de vida del software</t>
  </si>
  <si>
    <t>Ingenieria de requerimientos</t>
  </si>
  <si>
    <t xml:space="preserve">Valida la calidad del software mediante pruebas unitarias, pruebas E2E y herramientas de cobertura de código para detectar errores tempranos y mejorar la confiabilidad del sistema </t>
  </si>
  <si>
    <t>Requerimientos funcionales y no funcionales</t>
  </si>
  <si>
    <t>Historias de usuarios</t>
  </si>
  <si>
    <t>Casos de uso</t>
  </si>
  <si>
    <t>Modelado de sistemas con UML</t>
  </si>
  <si>
    <t>Garantía de Calidad del Software</t>
  </si>
  <si>
    <t>Pruebas funcionales y no funcionales</t>
  </si>
  <si>
    <t>Piramide de pruebas</t>
  </si>
  <si>
    <t xml:space="preserve">Identifica requerimientos funcionales y no funcionales mediante análisis de procesos actuales, revisión de documentación y elaboración de casos de uso para asegurar que el sistema cumpla con las necesidades del usuario </t>
  </si>
  <si>
    <t>Principios SOLID</t>
  </si>
  <si>
    <t>Pruebas unitarias</t>
  </si>
  <si>
    <t>Mocks, stubs y fakes</t>
  </si>
  <si>
    <t>Cobertura de código y métricas</t>
  </si>
  <si>
    <t>Aseguramiento Integral del Software</t>
  </si>
  <si>
    <t>Pruebas No Funcionales</t>
  </si>
  <si>
    <t>Tipos de Pruebas</t>
  </si>
  <si>
    <t>Pruebas End to End</t>
  </si>
  <si>
    <t>Cypress</t>
  </si>
  <si>
    <t>4. Automatizacion de ciclos de vida del software</t>
  </si>
  <si>
    <t xml:space="preserve">Docker </t>
  </si>
  <si>
    <t>Introducción a docker</t>
  </si>
  <si>
    <t xml:space="preserve">Creación y gestión de imágenes </t>
  </si>
  <si>
    <t xml:space="preserve">Creación y gestión de contenedores </t>
  </si>
  <si>
    <t>Docker compose</t>
  </si>
  <si>
    <t>Container Registry</t>
  </si>
  <si>
    <t>DevOps</t>
  </si>
  <si>
    <t>Componentes de CI/CD</t>
  </si>
  <si>
    <t>Principios de integracion continua</t>
  </si>
  <si>
    <t>Beneficios de entrega continua</t>
  </si>
  <si>
    <t>Herramientas de integracion continua</t>
  </si>
  <si>
    <t>Configuracion de pipelines CI</t>
  </si>
  <si>
    <t>Ejecucion de pruebas automatizadas</t>
  </si>
  <si>
    <t>1. Frameworks</t>
  </si>
  <si>
    <t>Frameworks</t>
  </si>
  <si>
    <t>Qué es un framework</t>
  </si>
  <si>
    <t>Tipos de framework</t>
  </si>
  <si>
    <t>Beneficios del uso de frameworks</t>
  </si>
  <si>
    <t>Caracteristicas comunes de los frameworks</t>
  </si>
  <si>
    <t>Casos de uso especificos</t>
  </si>
  <si>
    <t>Diferencias entre framework y herramientas</t>
  </si>
  <si>
    <t>2. Patrones de Diseño</t>
  </si>
  <si>
    <t>Elementos de diseño</t>
  </si>
  <si>
    <t>Patrones de diseño</t>
  </si>
  <si>
    <t>Definición de patrones de diseño</t>
  </si>
  <si>
    <t>Importancia y Aplicabilidad de Patrones de diseño</t>
  </si>
  <si>
    <t>Notaciones de patrones de diseño</t>
  </si>
  <si>
    <t>Contexto de diseño</t>
  </si>
  <si>
    <t>Principios de diseño de software</t>
  </si>
  <si>
    <t>Creacional</t>
  </si>
  <si>
    <t>Factory Method</t>
  </si>
  <si>
    <t>Abstact Factory</t>
  </si>
  <si>
    <t>Singleton</t>
  </si>
  <si>
    <t>Builder</t>
  </si>
  <si>
    <t>Prototype</t>
  </si>
  <si>
    <t>Estrucutales</t>
  </si>
  <si>
    <t>Adapter</t>
  </si>
  <si>
    <t>Proxy</t>
  </si>
  <si>
    <t>Patrones de comportamiento</t>
  </si>
  <si>
    <t>Observer</t>
  </si>
  <si>
    <t>Strategy</t>
  </si>
  <si>
    <t>Command</t>
  </si>
  <si>
    <t>3. Elementos de Diseño</t>
  </si>
  <si>
    <t>Estrategias en Diseño de Interfaces y Arquitectura de la Información</t>
  </si>
  <si>
    <t>Catálogode estilos</t>
  </si>
  <si>
    <t>Arquitectura de la información</t>
  </si>
  <si>
    <t>Experiencia de usuario (UX)</t>
  </si>
  <si>
    <t>Diseñode interfaces de usuario (UI)</t>
  </si>
  <si>
    <t>Patrones de arquitectura</t>
  </si>
  <si>
    <t>Centrada en Datos</t>
  </si>
  <si>
    <t>Centrada en el flujo de datos</t>
  </si>
  <si>
    <t>Arquitectura orientada a eventos</t>
  </si>
  <si>
    <t>Patrones de arquitectura empresarial</t>
  </si>
  <si>
    <t>SOA (Service-Oriented Architecture)</t>
  </si>
  <si>
    <t>EDA (Event-Driven Architecture)</t>
  </si>
  <si>
    <t>Arquitecturas híbridas</t>
  </si>
  <si>
    <t>4. Pruebas de Software</t>
  </si>
  <si>
    <t>Pruebas funcionales</t>
  </si>
  <si>
    <t>¿Qué son las pruebas funcionales?</t>
  </si>
  <si>
    <t>Conceptos y principios de las pruebas funcionales</t>
  </si>
  <si>
    <t>Importancia y aplicabilidad dentro de una arquitectura de software</t>
  </si>
  <si>
    <t>¿Qué son las pruebas unitarias?</t>
  </si>
  <si>
    <t>¿Qué son pruebas de aceptación?</t>
  </si>
  <si>
    <t>¿Qué son las pruebas de integración?</t>
  </si>
  <si>
    <t>¿Qué son las pruebas de regresión?</t>
  </si>
  <si>
    <t>Pruebas no funcionales</t>
  </si>
  <si>
    <t>¿Qué son las pruebas no funcionales?</t>
  </si>
  <si>
    <t>Conceptos y principios de las pruebas no funcionales</t>
  </si>
  <si>
    <t>¿Qué son las pruebas de carga?</t>
  </si>
  <si>
    <t>¿Qué son las pruebas de estres?</t>
  </si>
  <si>
    <t>¿Qué son las pruebas de escalabilidad?</t>
  </si>
  <si>
    <t>¿Qué son las pruebas de portabilidad?</t>
  </si>
  <si>
    <t>Introducción a la seguridad de sistemas</t>
  </si>
  <si>
    <t>5. Seguridad</t>
  </si>
  <si>
    <t>Modelado de Amenazas</t>
  </si>
  <si>
    <t>Diseño seguro de Software</t>
  </si>
  <si>
    <t>Criptografía y Protección de Datos</t>
  </si>
  <si>
    <t>Monitorización y Respuesta a Incidentes de Seguridad</t>
  </si>
  <si>
    <t>Pruebas de seguridad</t>
  </si>
  <si>
    <t>Cumplimiento y Normativas de Seguridad</t>
  </si>
  <si>
    <t>6 Despliegue en la nube (Cloud)</t>
  </si>
  <si>
    <t>Despligue en la nube (cloud)</t>
  </si>
  <si>
    <t>Introducción a la nube</t>
  </si>
  <si>
    <t>Modelos de servicio: IaaS, PaaS, SaaS</t>
  </si>
  <si>
    <t>Contenedores y Docker</t>
  </si>
  <si>
    <t>CDN (Content Delivery Network)</t>
  </si>
  <si>
    <t>Análisis de Costos en Nube (Cost Management)</t>
  </si>
  <si>
    <t>Módulos y Reutilización de Código en Terraform</t>
  </si>
  <si>
    <t>Ansible Playbooks y Roles para Automatización Compleja</t>
  </si>
  <si>
    <t>Software Avanzado</t>
  </si>
  <si>
    <t xml:space="preserve"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t>
  </si>
  <si>
    <t>Introducción a herramientas de frontend y backend</t>
  </si>
  <si>
    <t>Frontend: HTML, CSS, JavaScript</t>
  </si>
  <si>
    <t>Frameworks de frontend</t>
  </si>
  <si>
    <t>Backend: Node.js</t>
  </si>
  <si>
    <t xml:space="preserve"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t>
  </si>
  <si>
    <t>Bases de datos</t>
  </si>
  <si>
    <t>APIs REST</t>
  </si>
  <si>
    <t>Autenticación y autorización (OAuth, JWT)</t>
  </si>
  <si>
    <t>Session-based Auth y SAML</t>
  </si>
  <si>
    <t>Metodología Ágil</t>
  </si>
  <si>
    <t>Principios de la metodología ágil</t>
  </si>
  <si>
    <t>Scrum vs. Kanban</t>
  </si>
  <si>
    <t>Roles en Scrum (Product Owner, Scrum Master, Development Team)</t>
  </si>
  <si>
    <t>Ceremonias de Scrum (Sprint Planning, Daily Standup, Sprint Review, Retrospective)</t>
  </si>
  <si>
    <t>Artefactos (Product Backlog, Sprint Backlog, Burndown charts)</t>
  </si>
  <si>
    <t>Historias de usuario y estimación ágil (Story Points)</t>
  </si>
  <si>
    <t xml:space="preserve">Otras metodologias Agiles </t>
  </si>
  <si>
    <t xml:space="preserve"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t>
  </si>
  <si>
    <t>Nubes (AWS, GCE, Azure)</t>
  </si>
  <si>
    <t>Computación en la nube: Modelos de servicio (IaaS, PaaS, SaaS)</t>
  </si>
  <si>
    <t xml:space="preserve">Integra componentes, servicios y tecnologías de software mediante  el uso de APIs, servicios web y herramientas de integración continua, asegurando la interoperabilidad, cohesión funcional y eficiencia en la entrega de soluciones informáticas. </t>
  </si>
  <si>
    <t>Introducción a AWS (EC2, S3, RDS, Lambda)</t>
  </si>
  <si>
    <t>Introducción a GCP (Compute Engine, Cloud Storage, Cloud Functions)</t>
  </si>
  <si>
    <t>Introducción a Azure (Virtual Machines, Blob Storage, App Services)</t>
  </si>
  <si>
    <t>Costos y escalabilidad en la nube</t>
  </si>
  <si>
    <t>Configuración de entornos de desarrollo en la nube</t>
  </si>
  <si>
    <t>Despliegue de aplicaciones en la nube</t>
  </si>
  <si>
    <t>Docker</t>
  </si>
  <si>
    <t>Conceptos básicos de contenedores</t>
  </si>
  <si>
    <t>Instalación de Docker</t>
  </si>
  <si>
    <t>Imágenes y contenedores</t>
  </si>
  <si>
    <t>Dockerfile y construcción de imágenes personalizadas</t>
  </si>
  <si>
    <t>Volúmenes y redes en Docker</t>
  </si>
  <si>
    <t>Docker Compose para gestión de múltiples contenedores</t>
  </si>
  <si>
    <t>Registro de imágenes (DockerHub, ECR, GCR)</t>
  </si>
  <si>
    <t xml:space="preserve"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t>
  </si>
  <si>
    <t>Microservicios</t>
  </si>
  <si>
    <t>Introducción a la arquitectura de microservicios</t>
  </si>
  <si>
    <t>Comparación entre monolitos y microservicios</t>
  </si>
  <si>
    <t>Diseño de microservicios (Principios SOLID)</t>
  </si>
  <si>
    <t>Comunicación entre microservicios (HTTP, gRPC, eventos)</t>
  </si>
  <si>
    <t>Patrones de diseño en microservicios (Saga, Circuit Breaker)</t>
  </si>
  <si>
    <t>Implementación de APIs RESTful con microservicios</t>
  </si>
  <si>
    <t>Despliegue de microservicios con Docker</t>
  </si>
  <si>
    <t>Kubernetes</t>
  </si>
  <si>
    <t>Conceptos básicos de Kubernetes</t>
  </si>
  <si>
    <t>Instalación de Kubernetes (Minikube, K3s, Kubernetes en la nube)</t>
  </si>
  <si>
    <t>Pods, Servicios y Deployments</t>
  </si>
  <si>
    <t>ConfigMaps y Secrets</t>
  </si>
  <si>
    <t>Gestión de almacenamiento en Kubernetes (Persistent Volumes)</t>
  </si>
  <si>
    <t xml:space="preserve"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t>
  </si>
  <si>
    <t>Introducción a DevOps</t>
  </si>
  <si>
    <t>Qué es DevOps y por qué es importante</t>
  </si>
  <si>
    <t>Cultura DevOps (colaboración y automatización)</t>
  </si>
  <si>
    <t>Ciclo de vida de DevOps</t>
  </si>
  <si>
    <t>Principales herramientas DevOps</t>
  </si>
  <si>
    <t>DevOps vs. otros enfoques de desarrollo (Agile, Waterfall)</t>
  </si>
  <si>
    <t>DevOps: Planificación y Codificación</t>
  </si>
  <si>
    <t>Gestión de versiones con Git y GitFlow</t>
  </si>
  <si>
    <t>Backlog de producto y planificación ágil</t>
  </si>
  <si>
    <t>Pipeline de desarrollo: Continuous Integration (CI)</t>
  </si>
  <si>
    <t>Automatización de builds con Jenkins/Travis/GitLab CI</t>
  </si>
  <si>
    <t>Automatización de dependencias (npm, pip, Maven)</t>
  </si>
  <si>
    <t>DevOps: Building &amp; Testing</t>
  </si>
  <si>
    <t>Conceptos de CI/CD</t>
  </si>
  <si>
    <t>Pipelines CI/CD y Automatización de despliegues</t>
  </si>
  <si>
    <t>Gestión de versiones, release tagging y Principales herramientas CI/CD (Jenkins, CircleCI, GitLab CI)</t>
  </si>
  <si>
    <t>Compilación automatizada de aplicaciones</t>
  </si>
  <si>
    <t>Creación de artefactos de compilación (paquetes, binarios, imágenes) y Almacenamiento de artefactos (Artefactory, Nexus)</t>
  </si>
  <si>
    <t>Tipos de pruebas en DevOps (unitarias, integración, end-to-end), Pruebas de carga y rendimiento (JMeter, Gatling)</t>
  </si>
  <si>
    <t>Automatización de pruebas con frameworks (JUnit, Mocha, Jest) e Integración de pruebas unitarias en el pipeline de construcción</t>
  </si>
  <si>
    <t>DevOps: Release &amp; Deploy</t>
  </si>
  <si>
    <t>Automatización de despliegues</t>
  </si>
  <si>
    <t>Estrategias de despliegue (Blue-Green, Canary, Rolling Updates)</t>
  </si>
  <si>
    <t>Despliegues seguros y reversión</t>
  </si>
  <si>
    <t>Despliegue en entornos de producción (AWS, Azure, GCP)</t>
  </si>
  <si>
    <t>Infraestructura como código (Terraform, Ansible)</t>
  </si>
  <si>
    <t>DevOps: Operate &amp; Monitor</t>
  </si>
  <si>
    <t>Principales herramientas de monitoreo (Prometheus, Grafana, ELK Stack)</t>
  </si>
  <si>
    <t>Alertas y métricas (Alertmanager, Grafana)</t>
  </si>
  <si>
    <t>Centralización de logs</t>
  </si>
  <si>
    <t>Monitoreo de aplicaciones en la nube</t>
  </si>
  <si>
    <t>Tracing distribuido (Jaeger, OpenTelemetry)</t>
  </si>
  <si>
    <t>Logging en contenedores y microservicios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</si>
</sst>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vertical="bottom"/>
    </xf>
    <xf borderId="4" fillId="0" fontId="1" numFmtId="0" xfId="0" applyBorder="1" applyFont="1"/>
    <xf borderId="4" fillId="0" fontId="1" numFmtId="0" xfId="0" applyAlignment="1" applyBorder="1" applyFont="1">
      <alignment horizontal="right"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6.5"/>
    <col customWidth="1" min="8" max="8" width="38.38"/>
    <col customWidth="1" min="12" max="12" width="32.13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785.0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9.0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7.0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>
        <v>283.0</v>
      </c>
      <c r="D15" s="20" t="str">
        <f>IFERROR(__xludf.DUMMYFUNCTION("IF(C15="""","""",VLOOKUP(C15,IMPORTRANGE(""1j2lHEvOoZ_EPY086Qt7f7AFaZGVfiYKJxXlsnNfWCA0"", ""Listado Cursos!A:B""),2,FALSE))"),"Análisis y Diseño de Sistemas 1")</f>
        <v>Análisis y Diseño de Sistemas 1</v>
      </c>
      <c r="E15" s="3"/>
      <c r="F15" s="20">
        <v>1.0</v>
      </c>
      <c r="G15" s="22">
        <v>729.0</v>
      </c>
      <c r="H15" s="23" t="str">
        <f>IFERROR(__xludf.DUMMYFUNCTION("IF(G15="""","""",VLOOKUP(G15,IMPORTRANGE(""1j2lHEvOoZ_EPY086Qt7f7AFaZGVfiYKJxXlsnNfWCA0"", ""Listado Cursos!A:B""),2,FALSE))"),"Modelación y Simulación 1")</f>
        <v>Modelación y Simulación 1</v>
      </c>
      <c r="I15" s="3"/>
      <c r="J15" s="24">
        <v>1.0</v>
      </c>
      <c r="K15" s="25">
        <v>780.0</v>
      </c>
      <c r="L15" s="26" t="str">
        <f>IFERROR(__xludf.DUMMYFUNCTION("IF(K15="""","""",VLOOKUP(K15,IMPORTRANGE(""1j2lHEvOoZ_EPY086Qt7f7AFaZGVfiYKJxXlsnNfWCA0"", ""Listado Cursos!A:B""),2,FALSE))"),"Software Avanzado")</f>
        <v>Software Avanzado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3"/>
      <c r="F16" s="20">
        <v>2.0</v>
      </c>
      <c r="G16" s="28">
        <v>786.0</v>
      </c>
      <c r="H16" s="23" t="str">
        <f>IFERROR(__xludf.DUMMYFUNCTION("IF(G16="""","""",VLOOKUP(G16,IMPORTRANGE(""1j2lHEvOoZ_EPY086Qt7f7AFaZGVfiYKJxXlsnNfWCA0"", ""Listado Cursos!A:B""),2,FALSE))"),"Sistemas Organizacionales y Gerenciales 1")</f>
        <v>Sistemas Organizacionales y Gerenciales 1</v>
      </c>
      <c r="I16" s="3"/>
      <c r="J16" s="24">
        <v>2.0</v>
      </c>
      <c r="K16" s="29">
        <v>789.0</v>
      </c>
      <c r="L16" s="26" t="str">
        <f>IFERROR(__xludf.DUMMYFUNCTION("IF(K16="""","""",VLOOKUP(K16,IMPORTRANGE(""1j2lHEvOoZ_EPY086Qt7f7AFaZGVfiYKJxXlsnNfWCA0"", ""Listado Cursos!A:B""),2,FALSE))"),"Sistemas Aplicados 2")</f>
        <v>Sistemas Aplicados 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8">
        <v>972.0</v>
      </c>
      <c r="H17" s="23" t="str">
        <f>IFERROR(__xludf.DUMMYFUNCTION("IF(G17="""","""",VLOOKUP(G17,IMPORTRANGE(""1j2lHEvOoZ_EPY086Qt7f7AFaZGVfiYKJxXlsnNfWCA0"", ""Listado Cursos!A:B""),2,FALSE))"),"Inteligencia Artificial 1")</f>
        <v>Inteligencia Artificial 1</v>
      </c>
      <c r="I17" s="3"/>
      <c r="J17" s="24">
        <v>3.0</v>
      </c>
      <c r="K17" s="29">
        <v>735.0</v>
      </c>
      <c r="L17" s="26" t="str">
        <f>IFERROR(__xludf.DUMMYFUNCTION("IF(K17="""","""",VLOOKUP(K17,IMPORTRANGE(""1j2lHEvOoZ_EPY086Qt7f7AFaZGVfiYKJxXlsnNfWCA0"", ""Listado Cursos!A:B""),2,FALSE))"),"Auditoría de Proyectos de Software")</f>
        <v>Auditoría de Proyectos de Software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8">
        <v>966.0</v>
      </c>
      <c r="H18" s="23" t="str">
        <f>IFERROR(__xludf.DUMMYFUNCTION("IF(G18="""","""",VLOOKUP(G18,IMPORTRANGE(""1j2lHEvOoZ_EPY086Qt7f7AFaZGVfiYKJxXlsnNfWCA0"", ""Listado Cursos!A:B""),2,FALSE))"),"Seguridad y Auditoría de Redes de Computadoras")</f>
        <v>Seguridad y Auditoría de Redes de Computadoras</v>
      </c>
      <c r="I18" s="3"/>
      <c r="J18" s="24">
        <v>4.0</v>
      </c>
      <c r="K18" s="29">
        <v>7999.0</v>
      </c>
      <c r="L18" s="26" t="str">
        <f>IFERROR(__xludf.DUMMYFUNCTION("IF(K18="""","""",VLOOKUP(K18,IMPORTRANGE(""1j2lHEvOoZ_EPY086Qt7f7AFaZGVfiYKJxXlsnNfWCA0"", ""Listado Cursos!A:B""),2,FALSE))"),"Seminario de Investigación EPS Sistemas")</f>
        <v>Seminario de Investigación EPS Sistemas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8">
        <v>785.0</v>
      </c>
      <c r="H19" s="23" t="str">
        <f>IFERROR(__xludf.DUMMYFUNCTION("IF(G19="""","""",VLOOKUP(G19,IMPORTRANGE(""1j2lHEvOoZ_EPY086Qt7f7AFaZGVfiYKJxXlsnNfWCA0"", ""Listado Cursos!A:B""),2,FALSE))"),"Análisis y Diseño de Sistemas 2")</f>
        <v>Análisis y Diseño de Sistemas 2</v>
      </c>
      <c r="I19" s="3"/>
      <c r="J19" s="24">
        <v>5.0</v>
      </c>
      <c r="K19" s="29">
        <v>799.0</v>
      </c>
      <c r="L19" s="26" t="str">
        <f>IFERROR(__xludf.DUMMYFUNCTION("IF(K19="""","""",VLOOKUP(K19,IMPORTRANGE(""1j2lHEvOoZ_EPY086Qt7f7AFaZGVfiYKJxXlsnNfWCA0"", ""Listado Cursos!A:B""),2,FALSE))"),"Seminario de Investigación")</f>
        <v>Seminario de Investigación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8">
        <v>798.0</v>
      </c>
      <c r="H20" s="23" t="str">
        <f>IFERROR(__xludf.DUMMYFUNCTION("IF(G20="""","""",VLOOKUP(G20,IMPORTRANGE(""1j2lHEvOoZ_EPY086Qt7f7AFaZGVfiYKJxXlsnNfWCA0"", ""Listado Cursos!A:B""),2,FALSE))"),"Seminario de Sistemas 2")</f>
        <v>Seminario de Sistemas 2</v>
      </c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8">
        <v>788.0</v>
      </c>
      <c r="H21" s="23" t="str">
        <f>IFERROR(__xludf.DUMMYFUNCTION("IF(G21="""","""",VLOOKUP(G21,IMPORTRANGE(""1j2lHEvOoZ_EPY086Qt7f7AFaZGVfiYKJxXlsnNfWCA0"", ""Listado Cursos!A:B""),2,FALSE))"),"Sistemas Aplicados 1")</f>
        <v>Sistemas Aplicados 1</v>
      </c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8">
        <v>776.0</v>
      </c>
      <c r="H22" s="23" t="str">
        <f>IFERROR(__xludf.DUMMYFUNCTION("IF(G22="""","""",VLOOKUP(G22,IMPORTRANGE(""1j2lHEvOoZ_EPY086Qt7f7AFaZGVfiYKJxXlsnNfWCA0"", ""Listado Cursos!A:B""),2,FALSE))"),"Bases de Datos Avanzadas")</f>
        <v>Bases de Datos Avanzadas</v>
      </c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0">
        <v>2009.0</v>
      </c>
      <c r="H23" s="23" t="str">
        <f>IFERROR(__xludf.DUMMYFUNCTION("IF(G23="""","""",VLOOKUP(G23,IMPORTRANGE(""1j2lHEvOoZ_EPY086Qt7f7AFaZGVfiYKJxXlsnNfWCA0"", ""Listado Cursos!A:B""),2,FALSE))"),"Prácticas Finales Ingeniería Ciencias y Sistemas")</f>
        <v>Prácticas Finales Ingeniería Ciencias y Sistemas</v>
      </c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7"/>
      <c r="H24" s="27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7"/>
      <c r="H25" s="27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7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7"/>
      <c r="H26" s="27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7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7"/>
      <c r="H27" s="27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7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7"/>
      <c r="H28" s="27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1" t="s">
        <v>13</v>
      </c>
      <c r="C33" s="32" t="s">
        <v>17</v>
      </c>
      <c r="D33" s="33" t="s">
        <v>18</v>
      </c>
      <c r="E33" s="8"/>
      <c r="F33" s="8"/>
      <c r="G33" s="8"/>
      <c r="H33" s="8"/>
      <c r="I33" s="8"/>
      <c r="J33" s="8"/>
      <c r="K33" s="6"/>
      <c r="L33" s="31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4">
        <v>1.0</v>
      </c>
      <c r="C34" s="34" t="s">
        <v>20</v>
      </c>
      <c r="D34" s="35" t="s">
        <v>21</v>
      </c>
      <c r="E34" s="8"/>
      <c r="F34" s="8"/>
      <c r="G34" s="8"/>
      <c r="H34" s="8"/>
      <c r="I34" s="8"/>
      <c r="J34" s="8"/>
      <c r="K34" s="6"/>
      <c r="L34" s="34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4">
        <v>2.0</v>
      </c>
      <c r="C35" s="34" t="s">
        <v>20</v>
      </c>
      <c r="D35" s="35" t="s">
        <v>23</v>
      </c>
      <c r="E35" s="8"/>
      <c r="F35" s="8"/>
      <c r="G35" s="8"/>
      <c r="H35" s="8"/>
      <c r="I35" s="8"/>
      <c r="J35" s="8"/>
      <c r="K35" s="6"/>
      <c r="L35" s="34" t="s">
        <v>24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4">
        <v>3.0</v>
      </c>
      <c r="C36" s="34" t="s">
        <v>20</v>
      </c>
      <c r="D36" s="35" t="s">
        <v>25</v>
      </c>
      <c r="E36" s="8"/>
      <c r="F36" s="8"/>
      <c r="G36" s="8"/>
      <c r="H36" s="8"/>
      <c r="I36" s="8"/>
      <c r="J36" s="8"/>
      <c r="K36" s="6"/>
      <c r="L36" s="34" t="s">
        <v>26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4">
        <v>4.0</v>
      </c>
      <c r="C37" s="34" t="s">
        <v>20</v>
      </c>
      <c r="D37" s="35" t="s">
        <v>27</v>
      </c>
      <c r="E37" s="8"/>
      <c r="F37" s="8"/>
      <c r="G37" s="8"/>
      <c r="H37" s="8"/>
      <c r="I37" s="8"/>
      <c r="J37" s="8"/>
      <c r="K37" s="6"/>
      <c r="L37" s="34" t="s">
        <v>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4">
        <v>5.0</v>
      </c>
      <c r="C38" s="34" t="s">
        <v>20</v>
      </c>
      <c r="D38" s="35" t="s">
        <v>29</v>
      </c>
      <c r="E38" s="8"/>
      <c r="F38" s="8"/>
      <c r="G38" s="8"/>
      <c r="H38" s="8"/>
      <c r="I38" s="8"/>
      <c r="J38" s="8"/>
      <c r="K38" s="6"/>
      <c r="L38" s="34" t="s">
        <v>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4">
        <v>6.0</v>
      </c>
      <c r="C39" s="34" t="s">
        <v>31</v>
      </c>
      <c r="D39" s="35" t="s">
        <v>32</v>
      </c>
      <c r="E39" s="8"/>
      <c r="F39" s="8"/>
      <c r="G39" s="8"/>
      <c r="H39" s="8"/>
      <c r="I39" s="8"/>
      <c r="J39" s="8"/>
      <c r="K39" s="6"/>
      <c r="L39" s="34" t="s">
        <v>33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5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6.25"/>
    <col customWidth="1" min="4" max="4" width="25.88"/>
    <col customWidth="1" min="5" max="5" width="24.38"/>
    <col customWidth="1" min="6" max="6" width="19.25"/>
  </cols>
  <sheetData>
    <row r="2">
      <c r="B2" s="36" t="s">
        <v>1</v>
      </c>
      <c r="C2" s="37" t="s">
        <v>34</v>
      </c>
      <c r="D2" s="8"/>
      <c r="E2" s="8"/>
      <c r="F2" s="6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41">
        <v>1.0</v>
      </c>
      <c r="C6" s="41" t="s">
        <v>41</v>
      </c>
      <c r="D6" s="41" t="s">
        <v>42</v>
      </c>
      <c r="E6" s="41" t="s">
        <v>43</v>
      </c>
      <c r="F6" s="41" t="s">
        <v>44</v>
      </c>
    </row>
    <row r="7">
      <c r="B7" s="41">
        <v>2.0</v>
      </c>
      <c r="C7" s="41" t="s">
        <v>41</v>
      </c>
      <c r="D7" s="41" t="s">
        <v>42</v>
      </c>
      <c r="E7" s="41" t="s">
        <v>43</v>
      </c>
      <c r="F7" s="41" t="s">
        <v>45</v>
      </c>
    </row>
    <row r="8">
      <c r="B8" s="41">
        <v>3.0</v>
      </c>
      <c r="C8" s="41" t="s">
        <v>41</v>
      </c>
      <c r="D8" s="41" t="s">
        <v>42</v>
      </c>
      <c r="E8" s="41" t="s">
        <v>43</v>
      </c>
      <c r="F8" s="41" t="s">
        <v>46</v>
      </c>
    </row>
    <row r="9">
      <c r="B9" s="41">
        <v>4.0</v>
      </c>
      <c r="C9" s="41" t="s">
        <v>41</v>
      </c>
      <c r="D9" s="41" t="s">
        <v>42</v>
      </c>
      <c r="E9" s="41" t="s">
        <v>43</v>
      </c>
      <c r="F9" s="41" t="s">
        <v>47</v>
      </c>
    </row>
    <row r="10">
      <c r="B10" s="41">
        <v>5.0</v>
      </c>
      <c r="C10" s="41" t="s">
        <v>41</v>
      </c>
      <c r="D10" s="41" t="s">
        <v>42</v>
      </c>
      <c r="E10" s="41" t="s">
        <v>43</v>
      </c>
      <c r="F10" s="41" t="s">
        <v>48</v>
      </c>
    </row>
    <row r="11">
      <c r="B11" s="41">
        <v>6.0</v>
      </c>
      <c r="C11" s="41" t="s">
        <v>41</v>
      </c>
      <c r="D11" s="41" t="s">
        <v>42</v>
      </c>
      <c r="E11" s="41" t="s">
        <v>43</v>
      </c>
      <c r="F11" s="41" t="s">
        <v>49</v>
      </c>
    </row>
    <row r="12">
      <c r="B12" s="41">
        <v>7.0</v>
      </c>
      <c r="C12" s="41" t="s">
        <v>41</v>
      </c>
      <c r="D12" s="41" t="s">
        <v>42</v>
      </c>
      <c r="E12" s="41" t="s">
        <v>43</v>
      </c>
      <c r="F12" s="41" t="s">
        <v>50</v>
      </c>
    </row>
    <row r="13">
      <c r="B13" s="41">
        <v>8.0</v>
      </c>
      <c r="C13" s="41" t="s">
        <v>51</v>
      </c>
      <c r="D13" s="41" t="s">
        <v>42</v>
      </c>
      <c r="E13" s="41" t="s">
        <v>52</v>
      </c>
      <c r="F13" s="41" t="s">
        <v>53</v>
      </c>
    </row>
    <row r="14">
      <c r="B14" s="41">
        <v>9.0</v>
      </c>
      <c r="C14" s="41" t="s">
        <v>51</v>
      </c>
      <c r="D14" s="41" t="s">
        <v>42</v>
      </c>
      <c r="E14" s="41" t="s">
        <v>52</v>
      </c>
      <c r="F14" s="41" t="s">
        <v>54</v>
      </c>
    </row>
    <row r="15">
      <c r="B15" s="41">
        <v>10.0</v>
      </c>
      <c r="C15" s="41" t="s">
        <v>51</v>
      </c>
      <c r="D15" s="41" t="s">
        <v>42</v>
      </c>
      <c r="E15" s="41" t="s">
        <v>52</v>
      </c>
      <c r="F15" s="41" t="s">
        <v>55</v>
      </c>
    </row>
    <row r="16">
      <c r="B16" s="41">
        <v>11.0</v>
      </c>
      <c r="C16" s="41" t="s">
        <v>51</v>
      </c>
      <c r="D16" s="41" t="s">
        <v>42</v>
      </c>
      <c r="E16" s="41" t="s">
        <v>52</v>
      </c>
      <c r="F16" s="41" t="s">
        <v>56</v>
      </c>
    </row>
    <row r="17">
      <c r="B17" s="41">
        <v>12.0</v>
      </c>
      <c r="C17" s="41" t="s">
        <v>51</v>
      </c>
      <c r="D17" s="41" t="s">
        <v>42</v>
      </c>
      <c r="E17" s="41" t="s">
        <v>52</v>
      </c>
      <c r="F17" s="41" t="s">
        <v>57</v>
      </c>
    </row>
    <row r="18">
      <c r="B18" s="41">
        <v>13.0</v>
      </c>
      <c r="C18" s="41" t="s">
        <v>51</v>
      </c>
      <c r="D18" s="41" t="s">
        <v>42</v>
      </c>
      <c r="E18" s="41" t="s">
        <v>52</v>
      </c>
      <c r="F18" s="41" t="s">
        <v>58</v>
      </c>
    </row>
    <row r="19">
      <c r="B19" s="41">
        <v>14.0</v>
      </c>
      <c r="C19" s="41" t="s">
        <v>51</v>
      </c>
      <c r="D19" s="41" t="s">
        <v>42</v>
      </c>
      <c r="E19" s="41" t="s">
        <v>59</v>
      </c>
      <c r="F19" s="41" t="s">
        <v>53</v>
      </c>
    </row>
    <row r="20">
      <c r="B20" s="41">
        <v>15.0</v>
      </c>
      <c r="C20" s="41" t="s">
        <v>51</v>
      </c>
      <c r="D20" s="41" t="s">
        <v>42</v>
      </c>
      <c r="E20" s="41" t="s">
        <v>59</v>
      </c>
      <c r="F20" s="41" t="s">
        <v>60</v>
      </c>
    </row>
    <row r="21">
      <c r="B21" s="41">
        <v>16.0</v>
      </c>
      <c r="C21" s="41" t="s">
        <v>51</v>
      </c>
      <c r="D21" s="41" t="s">
        <v>42</v>
      </c>
      <c r="E21" s="41" t="s">
        <v>59</v>
      </c>
      <c r="F21" s="41" t="s">
        <v>61</v>
      </c>
    </row>
    <row r="22">
      <c r="B22" s="41">
        <v>17.0</v>
      </c>
      <c r="C22" s="41" t="s">
        <v>51</v>
      </c>
      <c r="D22" s="41" t="s">
        <v>42</v>
      </c>
      <c r="E22" s="41" t="s">
        <v>59</v>
      </c>
      <c r="F22" s="41" t="s">
        <v>62</v>
      </c>
    </row>
    <row r="23">
      <c r="B23" s="41">
        <v>18.0</v>
      </c>
      <c r="C23" s="41" t="s">
        <v>51</v>
      </c>
      <c r="D23" s="41" t="s">
        <v>42</v>
      </c>
      <c r="E23" s="41" t="s">
        <v>59</v>
      </c>
      <c r="F23" s="41" t="s">
        <v>63</v>
      </c>
    </row>
    <row r="24">
      <c r="B24" s="41">
        <v>19.0</v>
      </c>
      <c r="C24" s="41" t="s">
        <v>51</v>
      </c>
      <c r="D24" s="41" t="s">
        <v>42</v>
      </c>
      <c r="E24" s="41" t="s">
        <v>59</v>
      </c>
      <c r="F24" s="41" t="s">
        <v>64</v>
      </c>
    </row>
    <row r="25">
      <c r="B25" s="41">
        <v>20.0</v>
      </c>
      <c r="C25" s="41" t="s">
        <v>65</v>
      </c>
      <c r="D25" s="41" t="s">
        <v>66</v>
      </c>
      <c r="E25" s="41" t="s">
        <v>67</v>
      </c>
      <c r="F25" s="41" t="s">
        <v>53</v>
      </c>
    </row>
    <row r="26">
      <c r="B26" s="41">
        <v>21.0</v>
      </c>
      <c r="C26" s="41" t="s">
        <v>65</v>
      </c>
      <c r="D26" s="41" t="s">
        <v>66</v>
      </c>
      <c r="E26" s="41" t="s">
        <v>67</v>
      </c>
      <c r="F26" s="41" t="s">
        <v>68</v>
      </c>
    </row>
    <row r="27">
      <c r="B27" s="41">
        <v>22.0</v>
      </c>
      <c r="C27" s="41" t="s">
        <v>65</v>
      </c>
      <c r="D27" s="41" t="s">
        <v>66</v>
      </c>
      <c r="E27" s="41" t="s">
        <v>67</v>
      </c>
      <c r="F27" s="41" t="s">
        <v>69</v>
      </c>
    </row>
    <row r="28">
      <c r="B28" s="41">
        <v>23.0</v>
      </c>
      <c r="C28" s="41" t="s">
        <v>65</v>
      </c>
      <c r="D28" s="41" t="s">
        <v>66</v>
      </c>
      <c r="E28" s="41" t="s">
        <v>67</v>
      </c>
      <c r="F28" s="41" t="s">
        <v>70</v>
      </c>
    </row>
    <row r="29">
      <c r="B29" s="41">
        <v>24.0</v>
      </c>
      <c r="C29" s="41" t="s">
        <v>65</v>
      </c>
      <c r="D29" s="41" t="s">
        <v>66</v>
      </c>
      <c r="E29" s="41" t="s">
        <v>67</v>
      </c>
      <c r="F29" s="41" t="s">
        <v>71</v>
      </c>
    </row>
    <row r="30">
      <c r="B30" s="41">
        <v>25.0</v>
      </c>
      <c r="C30" s="41" t="s">
        <v>65</v>
      </c>
      <c r="D30" s="41" t="s">
        <v>66</v>
      </c>
      <c r="E30" s="41" t="s">
        <v>67</v>
      </c>
      <c r="F30" s="41" t="s">
        <v>72</v>
      </c>
    </row>
    <row r="31">
      <c r="B31" s="41">
        <v>26.0</v>
      </c>
      <c r="C31" s="41" t="s">
        <v>73</v>
      </c>
      <c r="D31" s="41" t="s">
        <v>66</v>
      </c>
      <c r="E31" s="41" t="s">
        <v>74</v>
      </c>
      <c r="F31" s="41" t="s">
        <v>53</v>
      </c>
    </row>
    <row r="32">
      <c r="B32" s="41">
        <v>27.0</v>
      </c>
      <c r="C32" s="41" t="s">
        <v>73</v>
      </c>
      <c r="D32" s="41" t="s">
        <v>66</v>
      </c>
      <c r="E32" s="41" t="s">
        <v>74</v>
      </c>
      <c r="F32" s="41" t="s">
        <v>75</v>
      </c>
    </row>
    <row r="33">
      <c r="B33" s="41">
        <v>28.0</v>
      </c>
      <c r="C33" s="41" t="s">
        <v>73</v>
      </c>
      <c r="D33" s="41" t="s">
        <v>66</v>
      </c>
      <c r="E33" s="41" t="s">
        <v>74</v>
      </c>
      <c r="F33" s="41" t="s">
        <v>76</v>
      </c>
    </row>
    <row r="34">
      <c r="B34" s="41">
        <v>29.0</v>
      </c>
      <c r="C34" s="41" t="s">
        <v>73</v>
      </c>
      <c r="D34" s="41" t="s">
        <v>66</v>
      </c>
      <c r="E34" s="41" t="s">
        <v>74</v>
      </c>
      <c r="F34" s="41" t="s">
        <v>77</v>
      </c>
    </row>
    <row r="35">
      <c r="B35" s="41">
        <v>30.0</v>
      </c>
      <c r="C35" s="41" t="s">
        <v>73</v>
      </c>
      <c r="D35" s="41" t="s">
        <v>66</v>
      </c>
      <c r="E35" s="41" t="s">
        <v>74</v>
      </c>
      <c r="F35" s="41" t="s">
        <v>78</v>
      </c>
    </row>
    <row r="36">
      <c r="B36" s="41">
        <v>31.0</v>
      </c>
      <c r="C36" s="41" t="s">
        <v>73</v>
      </c>
      <c r="D36" s="41" t="s">
        <v>66</v>
      </c>
      <c r="E36" s="41" t="s">
        <v>74</v>
      </c>
      <c r="F36" s="41" t="s">
        <v>79</v>
      </c>
    </row>
    <row r="37">
      <c r="B37" s="41">
        <v>32.0</v>
      </c>
      <c r="C37" s="41" t="s">
        <v>80</v>
      </c>
      <c r="D37" s="41" t="s">
        <v>66</v>
      </c>
      <c r="E37" s="41" t="s">
        <v>81</v>
      </c>
      <c r="F37" s="41" t="s">
        <v>44</v>
      </c>
    </row>
    <row r="38">
      <c r="B38" s="41">
        <v>33.0</v>
      </c>
      <c r="C38" s="41" t="s">
        <v>80</v>
      </c>
      <c r="D38" s="41" t="s">
        <v>66</v>
      </c>
      <c r="E38" s="41" t="s">
        <v>81</v>
      </c>
      <c r="F38" s="41" t="s">
        <v>82</v>
      </c>
    </row>
    <row r="39">
      <c r="B39" s="41">
        <v>34.0</v>
      </c>
      <c r="C39" s="41" t="s">
        <v>80</v>
      </c>
      <c r="D39" s="41" t="s">
        <v>66</v>
      </c>
      <c r="E39" s="41" t="s">
        <v>81</v>
      </c>
      <c r="F39" s="41" t="s">
        <v>83</v>
      </c>
    </row>
    <row r="40">
      <c r="B40" s="41">
        <v>35.0</v>
      </c>
      <c r="C40" s="41" t="s">
        <v>80</v>
      </c>
      <c r="D40" s="41" t="s">
        <v>66</v>
      </c>
      <c r="E40" s="41" t="s">
        <v>81</v>
      </c>
      <c r="F40" s="41" t="s">
        <v>84</v>
      </c>
    </row>
    <row r="41">
      <c r="B41" s="41">
        <v>36.0</v>
      </c>
      <c r="C41" s="41" t="s">
        <v>65</v>
      </c>
      <c r="D41" s="41" t="s">
        <v>85</v>
      </c>
      <c r="E41" s="41" t="s">
        <v>86</v>
      </c>
      <c r="F41" s="41" t="s">
        <v>87</v>
      </c>
    </row>
    <row r="42">
      <c r="B42" s="41">
        <v>37.0</v>
      </c>
      <c r="C42" s="41" t="s">
        <v>65</v>
      </c>
      <c r="D42" s="41" t="s">
        <v>85</v>
      </c>
      <c r="E42" s="41" t="s">
        <v>86</v>
      </c>
      <c r="F42" s="41" t="s">
        <v>88</v>
      </c>
    </row>
    <row r="43">
      <c r="B43" s="41">
        <v>38.0</v>
      </c>
      <c r="C43" s="41" t="s">
        <v>89</v>
      </c>
      <c r="D43" s="41" t="s">
        <v>85</v>
      </c>
      <c r="E43" s="41" t="s">
        <v>86</v>
      </c>
      <c r="F43" s="41" t="s">
        <v>90</v>
      </c>
    </row>
    <row r="44">
      <c r="B44" s="41">
        <v>39.0</v>
      </c>
      <c r="C44" s="41" t="s">
        <v>65</v>
      </c>
      <c r="D44" s="41" t="s">
        <v>85</v>
      </c>
      <c r="E44" s="41" t="s">
        <v>86</v>
      </c>
      <c r="F44" s="41" t="s">
        <v>91</v>
      </c>
    </row>
    <row r="45">
      <c r="B45" s="41">
        <v>40.0</v>
      </c>
      <c r="C45" s="41" t="s">
        <v>65</v>
      </c>
      <c r="D45" s="41" t="s">
        <v>85</v>
      </c>
      <c r="E45" s="41" t="s">
        <v>86</v>
      </c>
      <c r="F45" s="41" t="s">
        <v>92</v>
      </c>
    </row>
    <row r="46">
      <c r="B46" s="41">
        <v>41.0</v>
      </c>
      <c r="C46" s="41" t="s">
        <v>65</v>
      </c>
      <c r="D46" s="41" t="s">
        <v>85</v>
      </c>
      <c r="E46" s="41" t="s">
        <v>86</v>
      </c>
      <c r="F46" s="41" t="s">
        <v>93</v>
      </c>
    </row>
    <row r="47">
      <c r="B47" s="41">
        <v>42.0</v>
      </c>
      <c r="C47" s="41" t="s">
        <v>89</v>
      </c>
      <c r="D47" s="41" t="s">
        <v>85</v>
      </c>
      <c r="E47" s="41" t="s">
        <v>94</v>
      </c>
      <c r="F47" s="41" t="s">
        <v>95</v>
      </c>
    </row>
    <row r="48">
      <c r="B48" s="41">
        <v>43.0</v>
      </c>
      <c r="C48" s="41" t="s">
        <v>89</v>
      </c>
      <c r="D48" s="41" t="s">
        <v>85</v>
      </c>
      <c r="E48" s="41" t="s">
        <v>94</v>
      </c>
      <c r="F48" s="41" t="s">
        <v>96</v>
      </c>
    </row>
    <row r="49">
      <c r="B49" s="41">
        <v>44.0</v>
      </c>
      <c r="C49" s="41" t="s">
        <v>97</v>
      </c>
      <c r="D49" s="41" t="s">
        <v>85</v>
      </c>
      <c r="E49" s="41" t="s">
        <v>94</v>
      </c>
      <c r="F49" s="41" t="s">
        <v>98</v>
      </c>
    </row>
    <row r="50">
      <c r="B50" s="41">
        <v>45.0</v>
      </c>
      <c r="C50" s="41" t="s">
        <v>89</v>
      </c>
      <c r="D50" s="41" t="s">
        <v>85</v>
      </c>
      <c r="E50" s="41" t="s">
        <v>94</v>
      </c>
      <c r="F50" s="41" t="s">
        <v>99</v>
      </c>
    </row>
    <row r="51">
      <c r="B51" s="41">
        <v>46.0</v>
      </c>
      <c r="C51" s="41" t="s">
        <v>89</v>
      </c>
      <c r="D51" s="41" t="s">
        <v>85</v>
      </c>
      <c r="E51" s="41" t="s">
        <v>94</v>
      </c>
      <c r="F51" s="41" t="s">
        <v>100</v>
      </c>
    </row>
    <row r="52">
      <c r="B52" s="41">
        <v>47.0</v>
      </c>
      <c r="C52" s="41" t="s">
        <v>89</v>
      </c>
      <c r="D52" s="41" t="s">
        <v>85</v>
      </c>
      <c r="E52" s="41" t="s">
        <v>94</v>
      </c>
      <c r="F52" s="41" t="s">
        <v>101</v>
      </c>
    </row>
    <row r="53">
      <c r="B53" s="41">
        <v>48.0</v>
      </c>
      <c r="C53" s="41" t="s">
        <v>89</v>
      </c>
      <c r="D53" s="41" t="s">
        <v>85</v>
      </c>
      <c r="E53" s="41" t="s">
        <v>102</v>
      </c>
      <c r="F53" s="41" t="s">
        <v>103</v>
      </c>
    </row>
    <row r="54">
      <c r="B54" s="41">
        <v>49.0</v>
      </c>
      <c r="C54" s="41" t="s">
        <v>89</v>
      </c>
      <c r="D54" s="41" t="s">
        <v>85</v>
      </c>
      <c r="E54" s="41" t="s">
        <v>102</v>
      </c>
      <c r="F54" s="41" t="s">
        <v>104</v>
      </c>
    </row>
    <row r="55">
      <c r="B55" s="41">
        <v>50.0</v>
      </c>
      <c r="C55" s="41" t="s">
        <v>89</v>
      </c>
      <c r="D55" s="41" t="s">
        <v>85</v>
      </c>
      <c r="E55" s="41" t="s">
        <v>102</v>
      </c>
      <c r="F55" s="41" t="s">
        <v>105</v>
      </c>
    </row>
    <row r="56">
      <c r="B56" s="41">
        <v>51.0</v>
      </c>
      <c r="C56" s="41" t="s">
        <v>89</v>
      </c>
      <c r="D56" s="41" t="s">
        <v>85</v>
      </c>
      <c r="E56" s="41" t="s">
        <v>102</v>
      </c>
      <c r="F56" s="41" t="s">
        <v>106</v>
      </c>
    </row>
    <row r="57">
      <c r="B57" s="41">
        <v>52.0</v>
      </c>
      <c r="C57" s="41" t="s">
        <v>89</v>
      </c>
      <c r="D57" s="41" t="s">
        <v>107</v>
      </c>
      <c r="E57" s="41" t="s">
        <v>108</v>
      </c>
      <c r="F57" s="41" t="s">
        <v>109</v>
      </c>
    </row>
    <row r="58">
      <c r="B58" s="41">
        <v>53.0</v>
      </c>
      <c r="C58" s="41" t="s">
        <v>80</v>
      </c>
      <c r="D58" s="41" t="s">
        <v>107</v>
      </c>
      <c r="E58" s="41" t="s">
        <v>108</v>
      </c>
      <c r="F58" s="41" t="s">
        <v>110</v>
      </c>
    </row>
    <row r="59">
      <c r="B59" s="41">
        <v>54.0</v>
      </c>
      <c r="C59" s="41" t="s">
        <v>80</v>
      </c>
      <c r="D59" s="41" t="s">
        <v>107</v>
      </c>
      <c r="E59" s="41" t="s">
        <v>108</v>
      </c>
      <c r="F59" s="41" t="s">
        <v>111</v>
      </c>
    </row>
    <row r="60">
      <c r="B60" s="41">
        <v>55.0</v>
      </c>
      <c r="C60" s="41" t="s">
        <v>80</v>
      </c>
      <c r="D60" s="41" t="s">
        <v>107</v>
      </c>
      <c r="E60" s="41" t="s">
        <v>108</v>
      </c>
      <c r="F60" s="41" t="s">
        <v>112</v>
      </c>
    </row>
    <row r="61">
      <c r="B61" s="41">
        <v>56.0</v>
      </c>
      <c r="C61" s="41" t="s">
        <v>80</v>
      </c>
      <c r="D61" s="41" t="s">
        <v>107</v>
      </c>
      <c r="E61" s="41" t="s">
        <v>108</v>
      </c>
      <c r="F61" s="41" t="s">
        <v>113</v>
      </c>
    </row>
    <row r="62">
      <c r="B62" s="41">
        <v>57.0</v>
      </c>
      <c r="C62" s="41" t="s">
        <v>80</v>
      </c>
      <c r="D62" s="41" t="s">
        <v>107</v>
      </c>
      <c r="E62" s="41" t="s">
        <v>114</v>
      </c>
      <c r="F62" s="41" t="s">
        <v>53</v>
      </c>
    </row>
    <row r="63">
      <c r="B63" s="41">
        <v>58.0</v>
      </c>
      <c r="C63" s="41" t="s">
        <v>80</v>
      </c>
      <c r="D63" s="41" t="s">
        <v>107</v>
      </c>
      <c r="E63" s="41" t="s">
        <v>114</v>
      </c>
      <c r="F63" s="41" t="s">
        <v>115</v>
      </c>
    </row>
    <row r="64">
      <c r="B64" s="41">
        <v>59.0</v>
      </c>
      <c r="C64" s="41" t="s">
        <v>80</v>
      </c>
      <c r="D64" s="41" t="s">
        <v>107</v>
      </c>
      <c r="E64" s="41" t="s">
        <v>114</v>
      </c>
      <c r="F64" s="41" t="s">
        <v>116</v>
      </c>
    </row>
    <row r="65">
      <c r="B65" s="41">
        <v>60.0</v>
      </c>
      <c r="C65" s="41" t="s">
        <v>80</v>
      </c>
      <c r="D65" s="41" t="s">
        <v>107</v>
      </c>
      <c r="E65" s="41" t="s">
        <v>114</v>
      </c>
      <c r="F65" s="41" t="s">
        <v>117</v>
      </c>
    </row>
    <row r="66">
      <c r="B66" s="41">
        <v>61.0</v>
      </c>
      <c r="C66" s="41" t="s">
        <v>80</v>
      </c>
      <c r="D66" s="41" t="s">
        <v>107</v>
      </c>
      <c r="E66" s="41" t="s">
        <v>114</v>
      </c>
      <c r="F66" s="41" t="s">
        <v>118</v>
      </c>
    </row>
    <row r="67">
      <c r="B67" s="41">
        <v>62.0</v>
      </c>
      <c r="C67" s="41" t="s">
        <v>80</v>
      </c>
      <c r="D67" s="41" t="s">
        <v>107</v>
      </c>
      <c r="E67" s="41" t="s">
        <v>114</v>
      </c>
      <c r="F67" s="41" t="s">
        <v>119</v>
      </c>
    </row>
    <row r="68">
      <c r="B68" s="41">
        <v>63.0</v>
      </c>
      <c r="C68" s="41" t="s">
        <v>80</v>
      </c>
      <c r="D68" s="41" t="s">
        <v>107</v>
      </c>
      <c r="E68" s="41" t="s">
        <v>114</v>
      </c>
      <c r="F68" s="41" t="s">
        <v>120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53.75"/>
    <col customWidth="1" min="4" max="4" width="22.75"/>
    <col customWidth="1" min="5" max="5" width="28.75"/>
    <col customWidth="1" min="6" max="6" width="27.25"/>
  </cols>
  <sheetData>
    <row r="1">
      <c r="B1" s="39"/>
    </row>
    <row r="2">
      <c r="B2" s="36" t="s">
        <v>1</v>
      </c>
      <c r="C2" s="37" t="s">
        <v>2</v>
      </c>
      <c r="D2" s="8"/>
      <c r="E2" s="8"/>
      <c r="F2" s="6"/>
      <c r="G2" s="42"/>
      <c r="H2" s="42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39">
        <v>1.0</v>
      </c>
      <c r="C6" s="41" t="s">
        <v>21</v>
      </c>
      <c r="D6" s="41" t="s">
        <v>121</v>
      </c>
      <c r="E6" s="41" t="s">
        <v>122</v>
      </c>
      <c r="F6" s="41" t="s">
        <v>123</v>
      </c>
    </row>
    <row r="7">
      <c r="B7" s="39">
        <v>2.0</v>
      </c>
      <c r="C7" s="41" t="s">
        <v>21</v>
      </c>
      <c r="D7" s="41" t="s">
        <v>121</v>
      </c>
      <c r="E7" s="41" t="s">
        <v>122</v>
      </c>
      <c r="F7" s="41" t="s">
        <v>124</v>
      </c>
    </row>
    <row r="8">
      <c r="B8" s="39">
        <v>3.0</v>
      </c>
      <c r="C8" s="41" t="s">
        <v>21</v>
      </c>
      <c r="D8" s="41" t="s">
        <v>121</v>
      </c>
      <c r="E8" s="41" t="s">
        <v>122</v>
      </c>
      <c r="F8" s="41" t="s">
        <v>125</v>
      </c>
    </row>
    <row r="9">
      <c r="B9" s="39">
        <v>4.0</v>
      </c>
      <c r="C9" s="41" t="s">
        <v>21</v>
      </c>
      <c r="D9" s="41" t="s">
        <v>121</v>
      </c>
      <c r="E9" s="41" t="s">
        <v>122</v>
      </c>
      <c r="F9" s="41" t="s">
        <v>126</v>
      </c>
    </row>
    <row r="10">
      <c r="B10" s="39">
        <v>5.0</v>
      </c>
      <c r="C10" s="41" t="s">
        <v>21</v>
      </c>
      <c r="D10" s="41" t="s">
        <v>121</v>
      </c>
      <c r="E10" s="41" t="s">
        <v>122</v>
      </c>
      <c r="F10" s="41" t="s">
        <v>127</v>
      </c>
    </row>
    <row r="11">
      <c r="B11" s="39">
        <v>6.0</v>
      </c>
      <c r="C11" s="41" t="s">
        <v>21</v>
      </c>
      <c r="D11" s="41" t="s">
        <v>121</v>
      </c>
      <c r="E11" s="41" t="s">
        <v>122</v>
      </c>
      <c r="F11" s="41" t="s">
        <v>128</v>
      </c>
    </row>
    <row r="12">
      <c r="B12" s="39">
        <v>8.0</v>
      </c>
      <c r="C12" s="41" t="s">
        <v>21</v>
      </c>
      <c r="D12" s="41" t="s">
        <v>129</v>
      </c>
      <c r="E12" s="41" t="s">
        <v>130</v>
      </c>
      <c r="F12" s="41" t="s">
        <v>131</v>
      </c>
    </row>
    <row r="13">
      <c r="B13" s="39">
        <v>9.0</v>
      </c>
      <c r="C13" s="41" t="s">
        <v>23</v>
      </c>
      <c r="D13" s="41" t="s">
        <v>129</v>
      </c>
      <c r="E13" s="41" t="s">
        <v>130</v>
      </c>
      <c r="F13" s="41" t="s">
        <v>132</v>
      </c>
    </row>
    <row r="14">
      <c r="B14" s="39">
        <v>10.0</v>
      </c>
      <c r="C14" s="41" t="s">
        <v>25</v>
      </c>
      <c r="D14" s="41" t="s">
        <v>129</v>
      </c>
      <c r="E14" s="41" t="s">
        <v>130</v>
      </c>
      <c r="F14" s="41" t="s">
        <v>133</v>
      </c>
    </row>
    <row r="15">
      <c r="B15" s="39">
        <v>11.0</v>
      </c>
      <c r="C15" s="41" t="s">
        <v>23</v>
      </c>
      <c r="D15" s="41" t="s">
        <v>129</v>
      </c>
      <c r="E15" s="41" t="s">
        <v>130</v>
      </c>
      <c r="F15" s="41" t="s">
        <v>134</v>
      </c>
    </row>
    <row r="16">
      <c r="B16" s="39">
        <v>13.0</v>
      </c>
      <c r="C16" s="41" t="s">
        <v>23</v>
      </c>
      <c r="D16" s="41" t="s">
        <v>129</v>
      </c>
      <c r="E16" s="41" t="s">
        <v>130</v>
      </c>
      <c r="F16" s="41" t="s">
        <v>135</v>
      </c>
    </row>
    <row r="17">
      <c r="B17" s="39">
        <v>14.0</v>
      </c>
      <c r="C17" s="41" t="s">
        <v>23</v>
      </c>
      <c r="D17" s="41" t="s">
        <v>129</v>
      </c>
      <c r="E17" s="41" t="s">
        <v>130</v>
      </c>
      <c r="F17" s="41" t="s">
        <v>136</v>
      </c>
    </row>
    <row r="18">
      <c r="B18" s="39">
        <v>15.0</v>
      </c>
      <c r="C18" s="41" t="s">
        <v>23</v>
      </c>
      <c r="D18" s="41" t="s">
        <v>129</v>
      </c>
      <c r="E18" s="41" t="s">
        <v>130</v>
      </c>
      <c r="F18" s="41" t="s">
        <v>137</v>
      </c>
    </row>
    <row r="19">
      <c r="B19" s="39">
        <v>16.0</v>
      </c>
      <c r="C19" s="41" t="s">
        <v>23</v>
      </c>
      <c r="D19" s="41" t="s">
        <v>129</v>
      </c>
      <c r="E19" s="41" t="s">
        <v>130</v>
      </c>
      <c r="F19" s="41" t="s">
        <v>138</v>
      </c>
    </row>
    <row r="20">
      <c r="B20" s="39">
        <v>17.0</v>
      </c>
      <c r="C20" s="41" t="s">
        <v>23</v>
      </c>
      <c r="D20" s="41" t="s">
        <v>129</v>
      </c>
      <c r="E20" s="41" t="s">
        <v>130</v>
      </c>
      <c r="F20" s="41" t="s">
        <v>139</v>
      </c>
    </row>
    <row r="21">
      <c r="B21" s="39">
        <v>18.0</v>
      </c>
      <c r="C21" s="41" t="s">
        <v>23</v>
      </c>
      <c r="D21" s="41" t="s">
        <v>129</v>
      </c>
      <c r="E21" s="41" t="s">
        <v>130</v>
      </c>
      <c r="F21" s="41" t="s">
        <v>140</v>
      </c>
    </row>
    <row r="22">
      <c r="B22" s="39">
        <v>19.0</v>
      </c>
      <c r="C22" s="41" t="s">
        <v>23</v>
      </c>
      <c r="D22" s="41" t="s">
        <v>129</v>
      </c>
      <c r="E22" s="41" t="s">
        <v>130</v>
      </c>
      <c r="F22" s="41" t="s">
        <v>137</v>
      </c>
    </row>
    <row r="23">
      <c r="B23" s="39">
        <v>20.0</v>
      </c>
      <c r="C23" s="41" t="s">
        <v>23</v>
      </c>
      <c r="D23" s="41" t="s">
        <v>129</v>
      </c>
      <c r="E23" s="41" t="s">
        <v>130</v>
      </c>
      <c r="F23" s="41" t="s">
        <v>141</v>
      </c>
    </row>
    <row r="24">
      <c r="B24" s="39">
        <v>21.0</v>
      </c>
      <c r="C24" s="41" t="s">
        <v>23</v>
      </c>
      <c r="D24" s="41" t="s">
        <v>129</v>
      </c>
      <c r="E24" s="41" t="s">
        <v>130</v>
      </c>
      <c r="F24" s="41" t="s">
        <v>142</v>
      </c>
    </row>
    <row r="25">
      <c r="B25" s="39">
        <v>22.0</v>
      </c>
      <c r="C25" s="41" t="s">
        <v>23</v>
      </c>
      <c r="D25" s="41" t="s">
        <v>129</v>
      </c>
      <c r="E25" s="41" t="s">
        <v>130</v>
      </c>
      <c r="F25" s="41" t="s">
        <v>143</v>
      </c>
    </row>
    <row r="26">
      <c r="B26" s="39">
        <v>23.0</v>
      </c>
      <c r="C26" s="41" t="s">
        <v>23</v>
      </c>
      <c r="D26" s="41" t="s">
        <v>129</v>
      </c>
      <c r="E26" s="41" t="s">
        <v>130</v>
      </c>
      <c r="F26" s="41" t="s">
        <v>144</v>
      </c>
    </row>
    <row r="27">
      <c r="B27" s="39">
        <v>24.0</v>
      </c>
      <c r="C27" s="41" t="s">
        <v>23</v>
      </c>
      <c r="D27" s="41" t="s">
        <v>129</v>
      </c>
      <c r="E27" s="41" t="s">
        <v>130</v>
      </c>
      <c r="F27" s="41" t="s">
        <v>145</v>
      </c>
    </row>
    <row r="28">
      <c r="B28" s="39">
        <v>25.0</v>
      </c>
      <c r="C28" s="41" t="s">
        <v>23</v>
      </c>
      <c r="D28" s="41" t="s">
        <v>129</v>
      </c>
      <c r="E28" s="41" t="s">
        <v>130</v>
      </c>
      <c r="F28" s="41" t="s">
        <v>146</v>
      </c>
    </row>
    <row r="29">
      <c r="B29" s="39">
        <v>26.0</v>
      </c>
      <c r="C29" s="41" t="s">
        <v>23</v>
      </c>
      <c r="D29" s="41" t="s">
        <v>129</v>
      </c>
      <c r="E29" s="41" t="s">
        <v>130</v>
      </c>
      <c r="F29" s="41" t="s">
        <v>147</v>
      </c>
    </row>
    <row r="30">
      <c r="B30" s="39">
        <v>27.0</v>
      </c>
      <c r="C30" s="41" t="s">
        <v>23</v>
      </c>
      <c r="D30" s="41" t="s">
        <v>129</v>
      </c>
      <c r="E30" s="41" t="s">
        <v>130</v>
      </c>
      <c r="F30" s="41" t="s">
        <v>148</v>
      </c>
    </row>
    <row r="31">
      <c r="B31" s="39">
        <v>28.0</v>
      </c>
      <c r="C31" s="41" t="s">
        <v>23</v>
      </c>
      <c r="D31" s="41" t="s">
        <v>129</v>
      </c>
      <c r="E31" s="41" t="s">
        <v>130</v>
      </c>
      <c r="F31" s="41" t="s">
        <v>149</v>
      </c>
    </row>
    <row r="32">
      <c r="B32" s="39">
        <v>29.0</v>
      </c>
      <c r="C32" s="41" t="s">
        <v>23</v>
      </c>
      <c r="D32" s="41" t="s">
        <v>150</v>
      </c>
      <c r="E32" s="41" t="s">
        <v>151</v>
      </c>
      <c r="F32" s="41" t="s">
        <v>152</v>
      </c>
    </row>
    <row r="33">
      <c r="B33" s="39">
        <v>30.0</v>
      </c>
      <c r="C33" s="41" t="s">
        <v>23</v>
      </c>
      <c r="D33" s="41" t="s">
        <v>150</v>
      </c>
      <c r="E33" s="41" t="s">
        <v>151</v>
      </c>
      <c r="F33" s="41" t="s">
        <v>153</v>
      </c>
    </row>
    <row r="34">
      <c r="B34" s="39">
        <v>31.0</v>
      </c>
      <c r="C34" s="41" t="s">
        <v>23</v>
      </c>
      <c r="D34" s="41" t="s">
        <v>150</v>
      </c>
      <c r="E34" s="41" t="s">
        <v>151</v>
      </c>
      <c r="F34" s="41" t="s">
        <v>154</v>
      </c>
    </row>
    <row r="35">
      <c r="B35" s="39">
        <v>32.0</v>
      </c>
      <c r="C35" s="41" t="s">
        <v>23</v>
      </c>
      <c r="D35" s="41" t="s">
        <v>150</v>
      </c>
      <c r="E35" s="41" t="s">
        <v>151</v>
      </c>
      <c r="F35" s="41" t="s">
        <v>155</v>
      </c>
    </row>
    <row r="36">
      <c r="B36" s="39">
        <v>34.0</v>
      </c>
      <c r="C36" s="41" t="s">
        <v>23</v>
      </c>
      <c r="D36" s="41" t="s">
        <v>150</v>
      </c>
      <c r="E36" s="41" t="s">
        <v>156</v>
      </c>
      <c r="F36" s="41" t="s">
        <v>157</v>
      </c>
    </row>
    <row r="37">
      <c r="B37" s="39">
        <v>36.0</v>
      </c>
      <c r="C37" s="41" t="s">
        <v>23</v>
      </c>
      <c r="D37" s="41" t="s">
        <v>150</v>
      </c>
      <c r="E37" s="41" t="s">
        <v>156</v>
      </c>
      <c r="F37" s="41" t="s">
        <v>158</v>
      </c>
    </row>
    <row r="38">
      <c r="B38" s="39">
        <v>39.0</v>
      </c>
      <c r="C38" s="41" t="s">
        <v>23</v>
      </c>
      <c r="D38" s="41" t="s">
        <v>150</v>
      </c>
      <c r="E38" s="41" t="s">
        <v>156</v>
      </c>
      <c r="F38" s="41" t="s">
        <v>159</v>
      </c>
    </row>
    <row r="39">
      <c r="B39" s="39">
        <v>40.0</v>
      </c>
      <c r="C39" s="41" t="s">
        <v>23</v>
      </c>
      <c r="D39" s="41" t="s">
        <v>150</v>
      </c>
      <c r="E39" s="41" t="s">
        <v>156</v>
      </c>
      <c r="F39" s="41" t="s">
        <v>160</v>
      </c>
    </row>
    <row r="40">
      <c r="B40" s="39">
        <v>41.0</v>
      </c>
      <c r="C40" s="41" t="s">
        <v>23</v>
      </c>
      <c r="D40" s="41" t="s">
        <v>150</v>
      </c>
      <c r="E40" s="41" t="s">
        <v>156</v>
      </c>
      <c r="F40" s="41" t="s">
        <v>161</v>
      </c>
    </row>
    <row r="41">
      <c r="B41" s="39">
        <v>42.0</v>
      </c>
      <c r="C41" s="41" t="s">
        <v>23</v>
      </c>
      <c r="D41" s="41" t="s">
        <v>150</v>
      </c>
      <c r="E41" s="41" t="s">
        <v>156</v>
      </c>
      <c r="F41" s="41" t="s">
        <v>162</v>
      </c>
    </row>
    <row r="42">
      <c r="B42" s="39">
        <v>43.0</v>
      </c>
      <c r="C42" s="41" t="s">
        <v>23</v>
      </c>
      <c r="D42" s="41" t="s">
        <v>150</v>
      </c>
      <c r="E42" s="41" t="s">
        <v>156</v>
      </c>
      <c r="F42" s="41" t="s">
        <v>163</v>
      </c>
    </row>
    <row r="43">
      <c r="B43" s="39">
        <v>47.0</v>
      </c>
      <c r="C43" s="41" t="s">
        <v>25</v>
      </c>
      <c r="D43" s="41" t="s">
        <v>164</v>
      </c>
      <c r="E43" s="41" t="s">
        <v>165</v>
      </c>
      <c r="F43" s="41" t="s">
        <v>166</v>
      </c>
    </row>
    <row r="44">
      <c r="B44" s="39">
        <v>48.0</v>
      </c>
      <c r="C44" s="41" t="s">
        <v>25</v>
      </c>
      <c r="D44" s="41" t="s">
        <v>164</v>
      </c>
      <c r="E44" s="41" t="s">
        <v>165</v>
      </c>
      <c r="F44" s="41" t="s">
        <v>167</v>
      </c>
    </row>
    <row r="45">
      <c r="B45" s="39">
        <v>49.0</v>
      </c>
      <c r="C45" s="41" t="s">
        <v>25</v>
      </c>
      <c r="D45" s="41" t="s">
        <v>164</v>
      </c>
      <c r="E45" s="41" t="s">
        <v>165</v>
      </c>
      <c r="F45" s="41" t="s">
        <v>168</v>
      </c>
    </row>
    <row r="46">
      <c r="B46" s="39">
        <v>50.0</v>
      </c>
      <c r="C46" s="41" t="s">
        <v>25</v>
      </c>
      <c r="D46" s="41" t="s">
        <v>164</v>
      </c>
      <c r="E46" s="41" t="s">
        <v>165</v>
      </c>
      <c r="F46" s="41" t="s">
        <v>169</v>
      </c>
    </row>
    <row r="47">
      <c r="B47" s="39">
        <v>51.0</v>
      </c>
      <c r="C47" s="41" t="s">
        <v>25</v>
      </c>
      <c r="D47" s="41" t="s">
        <v>164</v>
      </c>
      <c r="E47" s="41" t="s">
        <v>165</v>
      </c>
      <c r="F47" s="41" t="s">
        <v>170</v>
      </c>
    </row>
    <row r="48">
      <c r="B48" s="39">
        <v>52.0</v>
      </c>
      <c r="C48" s="41" t="s">
        <v>25</v>
      </c>
      <c r="D48" s="41" t="s">
        <v>164</v>
      </c>
      <c r="E48" s="41" t="s">
        <v>165</v>
      </c>
      <c r="F48" s="41" t="s">
        <v>171</v>
      </c>
    </row>
    <row r="49">
      <c r="B49" s="39">
        <v>53.0</v>
      </c>
      <c r="C49" s="41" t="s">
        <v>25</v>
      </c>
      <c r="D49" s="41" t="s">
        <v>164</v>
      </c>
      <c r="E49" s="41" t="s">
        <v>165</v>
      </c>
      <c r="F49" s="41" t="s">
        <v>172</v>
      </c>
    </row>
    <row r="50">
      <c r="B50" s="39">
        <v>54.0</v>
      </c>
      <c r="C50" s="41" t="s">
        <v>25</v>
      </c>
      <c r="D50" s="41" t="s">
        <v>164</v>
      </c>
      <c r="E50" s="41" t="s">
        <v>173</v>
      </c>
      <c r="F50" s="41" t="s">
        <v>174</v>
      </c>
    </row>
    <row r="51">
      <c r="B51" s="39">
        <v>55.0</v>
      </c>
      <c r="C51" s="41" t="s">
        <v>25</v>
      </c>
      <c r="D51" s="41" t="s">
        <v>164</v>
      </c>
      <c r="E51" s="41" t="s">
        <v>173</v>
      </c>
      <c r="F51" s="41" t="s">
        <v>175</v>
      </c>
    </row>
    <row r="52">
      <c r="B52" s="39">
        <v>56.0</v>
      </c>
      <c r="C52" s="41" t="s">
        <v>25</v>
      </c>
      <c r="D52" s="41" t="s">
        <v>164</v>
      </c>
      <c r="E52" s="41" t="s">
        <v>173</v>
      </c>
      <c r="F52" s="41" t="s">
        <v>168</v>
      </c>
    </row>
    <row r="53">
      <c r="B53" s="39">
        <v>57.0</v>
      </c>
      <c r="C53" s="41" t="s">
        <v>25</v>
      </c>
      <c r="D53" s="41" t="s">
        <v>164</v>
      </c>
      <c r="E53" s="41" t="s">
        <v>173</v>
      </c>
      <c r="F53" s="41" t="s">
        <v>176</v>
      </c>
    </row>
    <row r="54">
      <c r="B54" s="39">
        <v>58.0</v>
      </c>
      <c r="C54" s="41" t="s">
        <v>25</v>
      </c>
      <c r="D54" s="41" t="s">
        <v>164</v>
      </c>
      <c r="E54" s="41" t="s">
        <v>173</v>
      </c>
      <c r="F54" s="41" t="s">
        <v>177</v>
      </c>
    </row>
    <row r="55">
      <c r="B55" s="39">
        <v>59.0</v>
      </c>
      <c r="C55" s="41" t="s">
        <v>25</v>
      </c>
      <c r="D55" s="41" t="s">
        <v>164</v>
      </c>
      <c r="E55" s="41" t="s">
        <v>173</v>
      </c>
      <c r="F55" s="41" t="s">
        <v>178</v>
      </c>
    </row>
    <row r="56">
      <c r="B56" s="39">
        <v>60.0</v>
      </c>
      <c r="C56" s="41" t="s">
        <v>25</v>
      </c>
      <c r="D56" s="41" t="s">
        <v>164</v>
      </c>
      <c r="E56" s="41" t="s">
        <v>173</v>
      </c>
      <c r="F56" s="41" t="s">
        <v>179</v>
      </c>
    </row>
    <row r="57">
      <c r="B57" s="39">
        <v>61.0</v>
      </c>
      <c r="C57" s="41" t="s">
        <v>25</v>
      </c>
      <c r="D57" s="41" t="s">
        <v>164</v>
      </c>
      <c r="E57" s="41" t="s">
        <v>173</v>
      </c>
      <c r="F57" s="41" t="s">
        <v>180</v>
      </c>
    </row>
    <row r="58">
      <c r="B58" s="39">
        <v>62.0</v>
      </c>
      <c r="C58" s="41" t="s">
        <v>25</v>
      </c>
      <c r="D58" s="41" t="s">
        <v>181</v>
      </c>
      <c r="E58" s="41" t="s">
        <v>180</v>
      </c>
      <c r="F58" s="41" t="s">
        <v>182</v>
      </c>
    </row>
    <row r="59">
      <c r="B59" s="39">
        <v>63.0</v>
      </c>
      <c r="C59" s="41" t="s">
        <v>25</v>
      </c>
      <c r="D59" s="41" t="s">
        <v>181</v>
      </c>
      <c r="E59" s="41" t="s">
        <v>180</v>
      </c>
      <c r="F59" s="41" t="s">
        <v>183</v>
      </c>
    </row>
    <row r="60">
      <c r="B60" s="39">
        <v>64.0</v>
      </c>
      <c r="C60" s="41" t="s">
        <v>25</v>
      </c>
      <c r="D60" s="41" t="s">
        <v>181</v>
      </c>
      <c r="E60" s="41" t="s">
        <v>180</v>
      </c>
      <c r="F60" s="41" t="s">
        <v>184</v>
      </c>
    </row>
    <row r="61">
      <c r="B61" s="39">
        <v>65.0</v>
      </c>
      <c r="C61" s="41" t="s">
        <v>25</v>
      </c>
      <c r="D61" s="41" t="s">
        <v>181</v>
      </c>
      <c r="E61" s="41" t="s">
        <v>180</v>
      </c>
      <c r="F61" s="41" t="s">
        <v>185</v>
      </c>
    </row>
    <row r="62">
      <c r="B62" s="39">
        <v>66.0</v>
      </c>
      <c r="C62" s="41" t="s">
        <v>25</v>
      </c>
      <c r="D62" s="41" t="s">
        <v>181</v>
      </c>
      <c r="E62" s="41" t="s">
        <v>180</v>
      </c>
      <c r="F62" s="41" t="s">
        <v>186</v>
      </c>
    </row>
    <row r="63">
      <c r="B63" s="39">
        <v>67.0</v>
      </c>
      <c r="C63" s="41" t="s">
        <v>25</v>
      </c>
      <c r="D63" s="41" t="s">
        <v>181</v>
      </c>
      <c r="E63" s="41" t="s">
        <v>180</v>
      </c>
      <c r="F63" s="41" t="s">
        <v>187</v>
      </c>
    </row>
    <row r="64">
      <c r="B64" s="39">
        <v>68.0</v>
      </c>
      <c r="C64" s="41" t="s">
        <v>27</v>
      </c>
      <c r="D64" s="41" t="s">
        <v>188</v>
      </c>
      <c r="E64" s="41" t="s">
        <v>189</v>
      </c>
      <c r="F64" s="41" t="s">
        <v>190</v>
      </c>
    </row>
    <row r="65">
      <c r="B65" s="39">
        <v>69.0</v>
      </c>
      <c r="C65" s="41" t="s">
        <v>27</v>
      </c>
      <c r="D65" s="41" t="s">
        <v>188</v>
      </c>
      <c r="E65" s="41" t="s">
        <v>189</v>
      </c>
      <c r="F65" s="41" t="s">
        <v>191</v>
      </c>
    </row>
    <row r="66">
      <c r="B66" s="39">
        <v>70.0</v>
      </c>
      <c r="C66" s="41" t="s">
        <v>27</v>
      </c>
      <c r="D66" s="41" t="s">
        <v>188</v>
      </c>
      <c r="E66" s="41" t="s">
        <v>189</v>
      </c>
      <c r="F66" s="41" t="s">
        <v>192</v>
      </c>
    </row>
    <row r="67">
      <c r="B67" s="39">
        <v>71.0</v>
      </c>
      <c r="C67" s="41" t="s">
        <v>27</v>
      </c>
      <c r="D67" s="41" t="s">
        <v>188</v>
      </c>
      <c r="E67" s="41" t="s">
        <v>189</v>
      </c>
      <c r="F67" s="41" t="s">
        <v>193</v>
      </c>
    </row>
    <row r="68">
      <c r="B68" s="39">
        <v>72.0</v>
      </c>
      <c r="C68" s="41" t="s">
        <v>27</v>
      </c>
      <c r="D68" s="41" t="s">
        <v>188</v>
      </c>
      <c r="E68" s="41" t="s">
        <v>189</v>
      </c>
      <c r="F68" s="41" t="s">
        <v>194</v>
      </c>
    </row>
    <row r="69">
      <c r="B69" s="39">
        <v>73.0</v>
      </c>
      <c r="C69" s="41" t="s">
        <v>27</v>
      </c>
      <c r="D69" s="41" t="s">
        <v>188</v>
      </c>
      <c r="E69" s="41" t="s">
        <v>189</v>
      </c>
      <c r="F69" s="41" t="s">
        <v>195</v>
      </c>
    </row>
    <row r="70">
      <c r="B70" s="39">
        <v>74.0</v>
      </c>
      <c r="C70" s="41" t="s">
        <v>27</v>
      </c>
      <c r="D70" s="41" t="s">
        <v>188</v>
      </c>
      <c r="E70" s="41" t="s">
        <v>189</v>
      </c>
      <c r="F70" s="41" t="s">
        <v>196</v>
      </c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65.63"/>
    <col customWidth="1" min="4" max="4" width="23.13"/>
    <col customWidth="1" min="5" max="5" width="28.63"/>
    <col customWidth="1" min="6" max="6" width="38.38"/>
  </cols>
  <sheetData>
    <row r="2">
      <c r="B2" s="36" t="s">
        <v>1</v>
      </c>
      <c r="C2" s="37" t="s">
        <v>197</v>
      </c>
      <c r="D2" s="43"/>
      <c r="E2" s="43"/>
      <c r="F2" s="44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41">
        <v>1.0</v>
      </c>
      <c r="C6" s="41" t="s">
        <v>198</v>
      </c>
      <c r="D6" s="41">
        <v>1.0</v>
      </c>
      <c r="E6" s="41" t="s">
        <v>199</v>
      </c>
      <c r="F6" s="41" t="s">
        <v>200</v>
      </c>
    </row>
    <row r="7">
      <c r="B7" s="41">
        <v>2.0</v>
      </c>
      <c r="C7" s="41" t="s">
        <v>198</v>
      </c>
      <c r="D7" s="41">
        <v>1.0</v>
      </c>
      <c r="E7" s="41" t="s">
        <v>199</v>
      </c>
      <c r="F7" s="41" t="s">
        <v>201</v>
      </c>
    </row>
    <row r="8">
      <c r="B8" s="41">
        <v>3.0</v>
      </c>
      <c r="C8" s="41" t="s">
        <v>198</v>
      </c>
      <c r="D8" s="41">
        <v>1.0</v>
      </c>
      <c r="E8" s="41" t="s">
        <v>199</v>
      </c>
      <c r="F8" s="41" t="s">
        <v>202</v>
      </c>
    </row>
    <row r="9">
      <c r="B9" s="41">
        <v>4.0</v>
      </c>
      <c r="C9" s="41" t="s">
        <v>203</v>
      </c>
      <c r="D9" s="41">
        <v>1.0</v>
      </c>
      <c r="E9" s="41" t="s">
        <v>199</v>
      </c>
      <c r="F9" s="41" t="s">
        <v>204</v>
      </c>
    </row>
    <row r="10">
      <c r="B10" s="41">
        <v>5.0</v>
      </c>
      <c r="C10" s="41" t="s">
        <v>198</v>
      </c>
      <c r="D10" s="41">
        <v>1.0</v>
      </c>
      <c r="E10" s="41" t="s">
        <v>199</v>
      </c>
      <c r="F10" s="41" t="s">
        <v>205</v>
      </c>
    </row>
    <row r="11">
      <c r="B11" s="41">
        <v>6.0</v>
      </c>
      <c r="C11" s="41" t="s">
        <v>198</v>
      </c>
      <c r="D11" s="41">
        <v>1.0</v>
      </c>
      <c r="E11" s="41" t="s">
        <v>199</v>
      </c>
      <c r="F11" s="41" t="s">
        <v>206</v>
      </c>
    </row>
    <row r="12">
      <c r="B12" s="41">
        <v>7.0</v>
      </c>
      <c r="C12" s="41" t="s">
        <v>198</v>
      </c>
      <c r="D12" s="41">
        <v>1.0</v>
      </c>
      <c r="E12" s="41" t="s">
        <v>199</v>
      </c>
      <c r="F12" s="41" t="s">
        <v>207</v>
      </c>
    </row>
    <row r="13">
      <c r="B13" s="41">
        <v>8.0</v>
      </c>
      <c r="C13" s="41" t="s">
        <v>203</v>
      </c>
      <c r="D13" s="41">
        <v>2.0</v>
      </c>
      <c r="E13" s="41" t="s">
        <v>208</v>
      </c>
      <c r="F13" s="41" t="s">
        <v>209</v>
      </c>
    </row>
    <row r="14">
      <c r="B14" s="41">
        <v>9.0</v>
      </c>
      <c r="C14" s="41" t="s">
        <v>203</v>
      </c>
      <c r="D14" s="41">
        <v>2.0</v>
      </c>
      <c r="E14" s="41" t="s">
        <v>208</v>
      </c>
      <c r="F14" s="41" t="s">
        <v>210</v>
      </c>
    </row>
    <row r="15">
      <c r="B15" s="41">
        <v>10.0</v>
      </c>
      <c r="C15" s="41" t="s">
        <v>203</v>
      </c>
      <c r="D15" s="41">
        <v>2.0</v>
      </c>
      <c r="E15" s="41" t="s">
        <v>208</v>
      </c>
      <c r="F15" s="41" t="s">
        <v>211</v>
      </c>
    </row>
    <row r="16">
      <c r="B16" s="41">
        <v>11.0</v>
      </c>
      <c r="C16" s="41" t="s">
        <v>203</v>
      </c>
      <c r="D16" s="41">
        <v>2.0</v>
      </c>
      <c r="E16" s="41" t="s">
        <v>208</v>
      </c>
      <c r="F16" s="41" t="s">
        <v>212</v>
      </c>
    </row>
    <row r="17">
      <c r="B17" s="41">
        <v>12.0</v>
      </c>
      <c r="C17" s="41" t="s">
        <v>203</v>
      </c>
      <c r="D17" s="41">
        <v>2.0</v>
      </c>
      <c r="E17" s="41" t="s">
        <v>208</v>
      </c>
      <c r="F17" s="41" t="s">
        <v>213</v>
      </c>
    </row>
    <row r="18">
      <c r="B18" s="41">
        <v>13.0</v>
      </c>
      <c r="C18" s="41" t="s">
        <v>203</v>
      </c>
      <c r="D18" s="41">
        <v>2.0</v>
      </c>
      <c r="E18" s="41" t="s">
        <v>208</v>
      </c>
      <c r="F18" s="41" t="s">
        <v>214</v>
      </c>
    </row>
    <row r="19">
      <c r="B19" s="41">
        <v>14.0</v>
      </c>
      <c r="C19" s="41" t="s">
        <v>203</v>
      </c>
      <c r="D19" s="41">
        <v>2.0</v>
      </c>
      <c r="E19" s="41" t="s">
        <v>208</v>
      </c>
      <c r="F19" s="41" t="s">
        <v>215</v>
      </c>
    </row>
    <row r="20">
      <c r="B20" s="41">
        <v>15.0</v>
      </c>
      <c r="C20" s="41" t="s">
        <v>216</v>
      </c>
      <c r="D20" s="41">
        <v>3.0</v>
      </c>
      <c r="E20" s="41" t="s">
        <v>217</v>
      </c>
      <c r="F20" s="41" t="s">
        <v>218</v>
      </c>
    </row>
    <row r="21">
      <c r="B21" s="41">
        <v>16.0</v>
      </c>
      <c r="C21" s="41" t="s">
        <v>219</v>
      </c>
      <c r="D21" s="41">
        <v>3.0</v>
      </c>
      <c r="E21" s="41" t="s">
        <v>217</v>
      </c>
      <c r="F21" s="41" t="s">
        <v>220</v>
      </c>
    </row>
    <row r="22">
      <c r="B22" s="41">
        <v>17.0</v>
      </c>
      <c r="C22" s="41" t="s">
        <v>219</v>
      </c>
      <c r="D22" s="41">
        <v>3.0</v>
      </c>
      <c r="E22" s="41" t="s">
        <v>217</v>
      </c>
      <c r="F22" s="41" t="s">
        <v>221</v>
      </c>
    </row>
    <row r="23">
      <c r="B23" s="41">
        <v>18.0</v>
      </c>
      <c r="C23" s="41" t="s">
        <v>219</v>
      </c>
      <c r="D23" s="41">
        <v>3.0</v>
      </c>
      <c r="E23" s="41" t="s">
        <v>217</v>
      </c>
      <c r="F23" s="41" t="s">
        <v>222</v>
      </c>
    </row>
    <row r="24">
      <c r="B24" s="41">
        <v>19.0</v>
      </c>
      <c r="C24" s="41" t="s">
        <v>219</v>
      </c>
      <c r="D24" s="41">
        <v>3.0</v>
      </c>
      <c r="E24" s="41" t="s">
        <v>217</v>
      </c>
      <c r="F24" s="41" t="s">
        <v>223</v>
      </c>
    </row>
    <row r="25">
      <c r="B25" s="41">
        <v>20.0</v>
      </c>
      <c r="C25" s="41" t="s">
        <v>219</v>
      </c>
      <c r="D25" s="41">
        <v>3.0</v>
      </c>
      <c r="E25" s="41" t="s">
        <v>217</v>
      </c>
      <c r="F25" s="41" t="s">
        <v>224</v>
      </c>
    </row>
    <row r="26">
      <c r="B26" s="41">
        <v>21.0</v>
      </c>
      <c r="C26" s="41" t="s">
        <v>219</v>
      </c>
      <c r="D26" s="41">
        <v>3.0</v>
      </c>
      <c r="E26" s="41" t="s">
        <v>217</v>
      </c>
      <c r="F26" s="41" t="s">
        <v>225</v>
      </c>
    </row>
    <row r="27">
      <c r="B27" s="41">
        <v>22.0</v>
      </c>
      <c r="C27" s="41" t="s">
        <v>219</v>
      </c>
      <c r="D27" s="41">
        <v>4.0</v>
      </c>
      <c r="E27" s="41" t="s">
        <v>226</v>
      </c>
      <c r="F27" s="41" t="s">
        <v>227</v>
      </c>
    </row>
    <row r="28">
      <c r="B28" s="41">
        <v>23.0</v>
      </c>
      <c r="C28" s="41" t="s">
        <v>219</v>
      </c>
      <c r="D28" s="41">
        <v>4.0</v>
      </c>
      <c r="E28" s="41" t="s">
        <v>226</v>
      </c>
      <c r="F28" s="41" t="s">
        <v>228</v>
      </c>
    </row>
    <row r="29">
      <c r="B29" s="41">
        <v>24.0</v>
      </c>
      <c r="C29" s="41" t="s">
        <v>219</v>
      </c>
      <c r="D29" s="41">
        <v>4.0</v>
      </c>
      <c r="E29" s="41" t="s">
        <v>226</v>
      </c>
      <c r="F29" s="41" t="s">
        <v>229</v>
      </c>
    </row>
    <row r="30">
      <c r="B30" s="41">
        <v>25.0</v>
      </c>
      <c r="C30" s="41" t="s">
        <v>219</v>
      </c>
      <c r="D30" s="41">
        <v>4.0</v>
      </c>
      <c r="E30" s="41" t="s">
        <v>226</v>
      </c>
      <c r="F30" s="41" t="s">
        <v>230</v>
      </c>
    </row>
    <row r="31">
      <c r="B31" s="41">
        <v>26.0</v>
      </c>
      <c r="C31" s="41" t="s">
        <v>219</v>
      </c>
      <c r="D31" s="41">
        <v>4.0</v>
      </c>
      <c r="E31" s="41" t="s">
        <v>226</v>
      </c>
      <c r="F31" s="41" t="s">
        <v>231</v>
      </c>
    </row>
    <row r="32">
      <c r="B32" s="41">
        <v>27.0</v>
      </c>
      <c r="C32" s="41" t="s">
        <v>219</v>
      </c>
      <c r="D32" s="41">
        <v>4.0</v>
      </c>
      <c r="E32" s="41" t="s">
        <v>226</v>
      </c>
      <c r="F32" s="41" t="s">
        <v>232</v>
      </c>
    </row>
    <row r="33">
      <c r="B33" s="41">
        <v>28.0</v>
      </c>
      <c r="C33" s="41" t="s">
        <v>219</v>
      </c>
      <c r="D33" s="41">
        <v>4.0</v>
      </c>
      <c r="E33" s="41" t="s">
        <v>226</v>
      </c>
      <c r="F33" s="41" t="s">
        <v>233</v>
      </c>
    </row>
    <row r="34">
      <c r="B34" s="41">
        <v>29.0</v>
      </c>
      <c r="C34" s="41" t="s">
        <v>234</v>
      </c>
      <c r="D34" s="41">
        <v>5.0</v>
      </c>
      <c r="E34" s="41" t="s">
        <v>235</v>
      </c>
      <c r="F34" s="41" t="s">
        <v>236</v>
      </c>
    </row>
    <row r="35">
      <c r="B35" s="41">
        <v>30.0</v>
      </c>
      <c r="C35" s="41" t="s">
        <v>234</v>
      </c>
      <c r="D35" s="41">
        <v>5.0</v>
      </c>
      <c r="E35" s="41" t="s">
        <v>235</v>
      </c>
      <c r="F35" s="41" t="s">
        <v>237</v>
      </c>
    </row>
    <row r="36">
      <c r="B36" s="41">
        <v>31.0</v>
      </c>
      <c r="C36" s="41" t="s">
        <v>234</v>
      </c>
      <c r="D36" s="41">
        <v>5.0</v>
      </c>
      <c r="E36" s="41" t="s">
        <v>235</v>
      </c>
      <c r="F36" s="41" t="s">
        <v>238</v>
      </c>
    </row>
    <row r="37">
      <c r="B37" s="41">
        <v>32.0</v>
      </c>
      <c r="C37" s="41" t="s">
        <v>234</v>
      </c>
      <c r="D37" s="41">
        <v>5.0</v>
      </c>
      <c r="E37" s="41" t="s">
        <v>235</v>
      </c>
      <c r="F37" s="41" t="s">
        <v>239</v>
      </c>
    </row>
    <row r="38">
      <c r="B38" s="41">
        <v>33.0</v>
      </c>
      <c r="C38" s="41" t="s">
        <v>234</v>
      </c>
      <c r="D38" s="41">
        <v>5.0</v>
      </c>
      <c r="E38" s="41" t="s">
        <v>235</v>
      </c>
      <c r="F38" s="41" t="s">
        <v>240</v>
      </c>
    </row>
    <row r="39">
      <c r="B39" s="41">
        <v>34.0</v>
      </c>
      <c r="C39" s="41" t="s">
        <v>234</v>
      </c>
      <c r="D39" s="41">
        <v>5.0</v>
      </c>
      <c r="E39" s="41" t="s">
        <v>235</v>
      </c>
      <c r="F39" s="41" t="s">
        <v>241</v>
      </c>
    </row>
    <row r="40">
      <c r="B40" s="41">
        <v>35.0</v>
      </c>
      <c r="C40" s="41" t="s">
        <v>234</v>
      </c>
      <c r="D40" s="41">
        <v>5.0</v>
      </c>
      <c r="E40" s="41" t="s">
        <v>235</v>
      </c>
      <c r="F40" s="41" t="s">
        <v>242</v>
      </c>
    </row>
    <row r="41">
      <c r="B41" s="41">
        <v>36.0</v>
      </c>
      <c r="C41" s="41" t="s">
        <v>216</v>
      </c>
      <c r="D41" s="41">
        <v>6.0</v>
      </c>
      <c r="E41" s="41" t="s">
        <v>243</v>
      </c>
      <c r="F41" s="41" t="s">
        <v>244</v>
      </c>
    </row>
    <row r="42">
      <c r="B42" s="41">
        <v>37.0</v>
      </c>
      <c r="C42" s="41" t="s">
        <v>216</v>
      </c>
      <c r="D42" s="41">
        <v>6.0</v>
      </c>
      <c r="E42" s="41" t="s">
        <v>243</v>
      </c>
      <c r="F42" s="41" t="s">
        <v>245</v>
      </c>
    </row>
    <row r="43">
      <c r="B43" s="41">
        <v>38.0</v>
      </c>
      <c r="C43" s="41" t="s">
        <v>216</v>
      </c>
      <c r="D43" s="41">
        <v>6.0</v>
      </c>
      <c r="E43" s="41" t="s">
        <v>243</v>
      </c>
      <c r="F43" s="41" t="s">
        <v>246</v>
      </c>
    </row>
    <row r="44">
      <c r="B44" s="41">
        <v>39.0</v>
      </c>
      <c r="C44" s="41" t="s">
        <v>216</v>
      </c>
      <c r="D44" s="41">
        <v>6.0</v>
      </c>
      <c r="E44" s="41" t="s">
        <v>243</v>
      </c>
      <c r="F44" s="41" t="s">
        <v>247</v>
      </c>
    </row>
    <row r="45">
      <c r="B45" s="41">
        <v>40.0</v>
      </c>
      <c r="C45" s="41" t="s">
        <v>216</v>
      </c>
      <c r="D45" s="41">
        <v>6.0</v>
      </c>
      <c r="E45" s="41" t="s">
        <v>243</v>
      </c>
      <c r="F45" s="41" t="s">
        <v>248</v>
      </c>
    </row>
    <row r="46">
      <c r="B46" s="41">
        <v>41.0</v>
      </c>
      <c r="C46" s="41" t="s">
        <v>249</v>
      </c>
      <c r="D46" s="41">
        <v>7.0</v>
      </c>
      <c r="E46" s="41" t="s">
        <v>250</v>
      </c>
      <c r="F46" s="41" t="s">
        <v>251</v>
      </c>
    </row>
    <row r="47">
      <c r="B47" s="41">
        <v>42.0</v>
      </c>
      <c r="C47" s="41" t="s">
        <v>249</v>
      </c>
      <c r="D47" s="41">
        <v>7.0</v>
      </c>
      <c r="E47" s="41" t="s">
        <v>250</v>
      </c>
      <c r="F47" s="41" t="s">
        <v>252</v>
      </c>
    </row>
    <row r="48">
      <c r="B48" s="41">
        <v>43.0</v>
      </c>
      <c r="C48" s="41" t="s">
        <v>249</v>
      </c>
      <c r="D48" s="41">
        <v>7.0</v>
      </c>
      <c r="E48" s="41" t="s">
        <v>250</v>
      </c>
      <c r="F48" s="41" t="s">
        <v>253</v>
      </c>
    </row>
    <row r="49">
      <c r="B49" s="41">
        <v>44.0</v>
      </c>
      <c r="C49" s="41" t="s">
        <v>249</v>
      </c>
      <c r="D49" s="41">
        <v>7.0</v>
      </c>
      <c r="E49" s="41" t="s">
        <v>250</v>
      </c>
      <c r="F49" s="41" t="s">
        <v>254</v>
      </c>
    </row>
    <row r="50">
      <c r="B50" s="41">
        <v>45.0</v>
      </c>
      <c r="C50" s="41" t="s">
        <v>249</v>
      </c>
      <c r="D50" s="41">
        <v>7.0</v>
      </c>
      <c r="E50" s="41" t="s">
        <v>250</v>
      </c>
      <c r="F50" s="41" t="s">
        <v>255</v>
      </c>
    </row>
    <row r="51">
      <c r="B51" s="41">
        <v>46.0</v>
      </c>
      <c r="C51" s="41" t="s">
        <v>203</v>
      </c>
      <c r="D51" s="41">
        <v>8.0</v>
      </c>
      <c r="E51" s="41" t="s">
        <v>256</v>
      </c>
      <c r="F51" s="41" t="s">
        <v>257</v>
      </c>
    </row>
    <row r="52">
      <c r="B52" s="41">
        <v>47.0</v>
      </c>
      <c r="C52" s="41" t="s">
        <v>203</v>
      </c>
      <c r="D52" s="41">
        <v>8.0</v>
      </c>
      <c r="E52" s="41" t="s">
        <v>256</v>
      </c>
      <c r="F52" s="41" t="s">
        <v>258</v>
      </c>
    </row>
    <row r="53">
      <c r="B53" s="41">
        <v>48.0</v>
      </c>
      <c r="C53" s="41" t="s">
        <v>203</v>
      </c>
      <c r="D53" s="41">
        <v>8.0</v>
      </c>
      <c r="E53" s="41" t="s">
        <v>256</v>
      </c>
      <c r="F53" s="41" t="s">
        <v>259</v>
      </c>
    </row>
    <row r="54">
      <c r="B54" s="41">
        <v>49.0</v>
      </c>
      <c r="C54" s="41" t="s">
        <v>203</v>
      </c>
      <c r="D54" s="41">
        <v>8.0</v>
      </c>
      <c r="E54" s="41" t="s">
        <v>256</v>
      </c>
      <c r="F54" s="41" t="s">
        <v>260</v>
      </c>
    </row>
    <row r="55">
      <c r="B55" s="41">
        <v>50.0</v>
      </c>
      <c r="C55" s="41" t="s">
        <v>203</v>
      </c>
      <c r="D55" s="41">
        <v>8.0</v>
      </c>
      <c r="E55" s="41" t="s">
        <v>256</v>
      </c>
      <c r="F55" s="41" t="s">
        <v>261</v>
      </c>
    </row>
    <row r="56">
      <c r="B56" s="41">
        <v>51.0</v>
      </c>
      <c r="C56" s="41" t="s">
        <v>203</v>
      </c>
      <c r="D56" s="41">
        <v>9.0</v>
      </c>
      <c r="E56" s="41" t="s">
        <v>262</v>
      </c>
      <c r="F56" s="41" t="s">
        <v>263</v>
      </c>
    </row>
    <row r="57">
      <c r="B57" s="41">
        <v>52.0</v>
      </c>
      <c r="C57" s="41" t="s">
        <v>203</v>
      </c>
      <c r="D57" s="41">
        <v>9.0</v>
      </c>
      <c r="E57" s="41" t="s">
        <v>262</v>
      </c>
      <c r="F57" s="41" t="s">
        <v>264</v>
      </c>
    </row>
    <row r="58">
      <c r="B58" s="41">
        <v>53.0</v>
      </c>
      <c r="C58" s="41" t="s">
        <v>203</v>
      </c>
      <c r="D58" s="41">
        <v>9.0</v>
      </c>
      <c r="E58" s="41" t="s">
        <v>262</v>
      </c>
      <c r="F58" s="41" t="s">
        <v>265</v>
      </c>
    </row>
    <row r="59">
      <c r="B59" s="41">
        <v>54.0</v>
      </c>
      <c r="C59" s="41" t="s">
        <v>203</v>
      </c>
      <c r="D59" s="41">
        <v>9.0</v>
      </c>
      <c r="E59" s="41" t="s">
        <v>262</v>
      </c>
      <c r="F59" s="41" t="s">
        <v>266</v>
      </c>
    </row>
    <row r="60">
      <c r="B60" s="41">
        <v>55.0</v>
      </c>
      <c r="C60" s="41" t="s">
        <v>203</v>
      </c>
      <c r="D60" s="41">
        <v>9.0</v>
      </c>
      <c r="E60" s="41" t="s">
        <v>262</v>
      </c>
      <c r="F60" s="41" t="s">
        <v>267</v>
      </c>
    </row>
    <row r="61">
      <c r="B61" s="41">
        <v>56.0</v>
      </c>
      <c r="C61" s="41" t="s">
        <v>203</v>
      </c>
      <c r="D61" s="41">
        <v>9.0</v>
      </c>
      <c r="E61" s="41" t="s">
        <v>262</v>
      </c>
      <c r="F61" s="41" t="s">
        <v>268</v>
      </c>
    </row>
    <row r="62">
      <c r="B62" s="41">
        <v>57.0</v>
      </c>
      <c r="C62" s="41" t="s">
        <v>203</v>
      </c>
      <c r="D62" s="41">
        <v>9.0</v>
      </c>
      <c r="E62" s="41" t="s">
        <v>262</v>
      </c>
      <c r="F62" s="41" t="s">
        <v>269</v>
      </c>
    </row>
    <row r="63">
      <c r="B63" s="41">
        <v>58.0</v>
      </c>
      <c r="C63" s="41" t="s">
        <v>203</v>
      </c>
      <c r="D63" s="41">
        <v>10.0</v>
      </c>
      <c r="E63" s="41" t="s">
        <v>270</v>
      </c>
      <c r="F63" s="41" t="s">
        <v>271</v>
      </c>
    </row>
    <row r="64">
      <c r="B64" s="41">
        <v>59.0</v>
      </c>
      <c r="C64" s="41" t="s">
        <v>203</v>
      </c>
      <c r="D64" s="41">
        <v>10.0</v>
      </c>
      <c r="E64" s="41" t="s">
        <v>270</v>
      </c>
      <c r="F64" s="41" t="s">
        <v>272</v>
      </c>
    </row>
    <row r="65">
      <c r="B65" s="41">
        <v>60.0</v>
      </c>
      <c r="C65" s="41" t="s">
        <v>203</v>
      </c>
      <c r="D65" s="41">
        <v>10.0</v>
      </c>
      <c r="E65" s="41" t="s">
        <v>270</v>
      </c>
      <c r="F65" s="41" t="s">
        <v>273</v>
      </c>
    </row>
    <row r="66">
      <c r="B66" s="41">
        <v>61.0</v>
      </c>
      <c r="C66" s="41" t="s">
        <v>203</v>
      </c>
      <c r="D66" s="41">
        <v>10.0</v>
      </c>
      <c r="E66" s="41" t="s">
        <v>270</v>
      </c>
      <c r="F66" s="41" t="s">
        <v>274</v>
      </c>
    </row>
    <row r="67">
      <c r="B67" s="41">
        <v>62.0</v>
      </c>
      <c r="C67" s="41" t="s">
        <v>203</v>
      </c>
      <c r="D67" s="41">
        <v>10.0</v>
      </c>
      <c r="E67" s="41" t="s">
        <v>270</v>
      </c>
      <c r="F67" s="41" t="s">
        <v>275</v>
      </c>
    </row>
    <row r="68">
      <c r="B68" s="41">
        <v>63.0</v>
      </c>
      <c r="C68" s="41" t="s">
        <v>203</v>
      </c>
      <c r="D68" s="41">
        <v>11.0</v>
      </c>
      <c r="E68" s="41" t="s">
        <v>276</v>
      </c>
      <c r="F68" s="41" t="s">
        <v>277</v>
      </c>
    </row>
    <row r="69">
      <c r="B69" s="41">
        <v>64.0</v>
      </c>
      <c r="C69" s="41" t="s">
        <v>203</v>
      </c>
      <c r="D69" s="41">
        <v>11.0</v>
      </c>
      <c r="E69" s="41" t="s">
        <v>276</v>
      </c>
      <c r="F69" s="41" t="s">
        <v>278</v>
      </c>
    </row>
    <row r="70">
      <c r="B70" s="41">
        <v>65.0</v>
      </c>
      <c r="C70" s="41" t="s">
        <v>203</v>
      </c>
      <c r="D70" s="41">
        <v>11.0</v>
      </c>
      <c r="E70" s="41" t="s">
        <v>276</v>
      </c>
      <c r="F70" s="41" t="s">
        <v>279</v>
      </c>
    </row>
    <row r="71">
      <c r="B71" s="41">
        <v>66.0</v>
      </c>
      <c r="C71" s="41" t="s">
        <v>203</v>
      </c>
      <c r="D71" s="41">
        <v>11.0</v>
      </c>
      <c r="E71" s="41" t="s">
        <v>276</v>
      </c>
      <c r="F71" s="41" t="s">
        <v>280</v>
      </c>
    </row>
    <row r="72">
      <c r="B72" s="41">
        <v>67.0</v>
      </c>
      <c r="C72" s="41" t="s">
        <v>203</v>
      </c>
      <c r="D72" s="41">
        <v>11.0</v>
      </c>
      <c r="E72" s="41" t="s">
        <v>276</v>
      </c>
      <c r="F72" s="41" t="s">
        <v>281</v>
      </c>
    </row>
    <row r="73">
      <c r="B73" s="41">
        <v>68.0</v>
      </c>
      <c r="C73" s="41" t="s">
        <v>203</v>
      </c>
      <c r="D73" s="41">
        <v>11.0</v>
      </c>
      <c r="E73" s="41" t="s">
        <v>276</v>
      </c>
      <c r="F73" s="41" t="s">
        <v>282</v>
      </c>
    </row>
  </sheetData>
  <mergeCells count="1">
    <mergeCell ref="C3:F3"/>
  </mergeCells>
  <drawing r:id="rId1"/>
</worksheet>
</file>