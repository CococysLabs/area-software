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 sheetId="2" r:id="rId5"/>
    <sheet state="visible" name="Diseño" sheetId="3" r:id="rId6"/>
    <sheet state="visible" name="Semana Diagnostico" sheetId="4" r:id="rId7"/>
    <sheet state="visible" name="S.2" sheetId="5" r:id="rId8"/>
    <sheet state="visible" name="S.3" sheetId="6" r:id="rId9"/>
    <sheet state="visible" name="S.4" sheetId="7" r:id="rId10"/>
    <sheet state="visible" name="S.5" sheetId="8" r:id="rId11"/>
    <sheet state="visible" name="S.6" sheetId="9" r:id="rId12"/>
    <sheet state="visible" name="S.7" sheetId="10" r:id="rId13"/>
    <sheet state="visible" name="S.8" sheetId="11" r:id="rId14"/>
    <sheet state="visible" name="S.9" sheetId="12" r:id="rId15"/>
    <sheet state="visible" name="S.10" sheetId="13" r:id="rId16"/>
    <sheet state="visible" name="S.11" sheetId="14" r:id="rId17"/>
    <sheet state="visible" name="Proyectos" sheetId="15" r:id="rId18"/>
    <sheet state="visible" name="Practicas" sheetId="16" r:id="rId19"/>
    <sheet state="visible" name="Tareas" sheetId="17" r:id="rId20"/>
    <sheet state="visible" name="Metadata" sheetId="18" r:id="rId21"/>
  </sheets>
  <definedNames/>
  <calcPr/>
  <extLst>
    <ext uri="GoogleSheetsCustomDataVersion2">
      <go:sheetsCustomData xmlns:go="http://customooxmlschemas.google.com/" r:id="rId22" roundtripDataChecksum="6fg+mpknqPlHGr0UNunTtULN5RA2EOLpcWPmU7KD2Q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<sst xmlns="http://schemas.openxmlformats.org/spreadsheetml/2006/main" count="1495" uniqueCount="443">
  <si>
    <t xml:space="preserve">Resumen de Ponderacion y Horas </t>
  </si>
  <si>
    <t>Curso</t>
  </si>
  <si>
    <t>785 - Análisis y Diseño de Sistemas 2</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</si>
  <si>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</si>
  <si>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</si>
  <si>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</si>
  <si>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</si>
  <si>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</si>
  <si>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</si>
  <si>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Ponderacion</t>
  </si>
  <si>
    <t>Horas utilizadas</t>
  </si>
  <si>
    <t>Aspectos clave que debe abordar</t>
  </si>
  <si>
    <t>Valor Maximo Recomendado</t>
  </si>
  <si>
    <t>Actividades durante el peridodo de laboratorio</t>
  </si>
  <si>
    <t>Proyectos</t>
  </si>
  <si>
    <t>Prácticas</t>
  </si>
  <si>
    <t>Tareas</t>
  </si>
  <si>
    <t>Total</t>
  </si>
  <si>
    <t>Validacion</t>
  </si>
  <si>
    <t>Competencias que se formaran en el Segundo Semestre 2026</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</si>
  <si>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</si>
  <si>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</si>
  <si>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</si>
  <si>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Aplica estándares de calidad, eficiencia y seguridad en la implementación
 adecuada de soluciones de software, hardware y TIC en general.</t>
  </si>
  <si>
    <t>Toma decisiones profesionales con base en fundamentos teóricos, datos e
 información pertinente, válida y confiable.</t>
  </si>
  <si>
    <t>Construye soluciones integrales trabajando en forma colaborativa y
 propositiva en equipos interdisciplinarios, en forma presencial o utilizando
 plataformas virtuales.</t>
  </si>
  <si>
    <t>Demuestra destreza y habilidad en la selección, uso y adaptación de
 herramientas metodológicas, tecnológicas, equipos especializados y en la
 lectura e interpretación de datos, pertinentes al contexto de su ejercicio
 profesional.</t>
  </si>
  <si>
    <t>Aplica principios básicos de ingeniería, ciencias de computación y sistemas
 de información y comunicación, en la formulación y resolución adecuada de
 problemas complejos.</t>
  </si>
  <si>
    <t>No</t>
  </si>
  <si>
    <t>Tipo</t>
  </si>
  <si>
    <t>Verbo en Presente</t>
  </si>
  <si>
    <t>Objeto de la acción</t>
  </si>
  <si>
    <t>[Palabras conectoreas] Herramientas o metodología</t>
  </si>
  <si>
    <t>[Palabras conectoreas] Condiciones específicas</t>
  </si>
  <si>
    <t>Nivel</t>
  </si>
  <si>
    <t>Especifica</t>
  </si>
  <si>
    <t>Define</t>
  </si>
  <si>
    <t>conceptos de frameworks de desarrollo</t>
  </si>
  <si>
    <t>por medio de especificaciones técnicas</t>
  </si>
  <si>
    <t>para proporcionar un entendimiento preciso de su estructura, componentes y funcionamiento</t>
  </si>
  <si>
    <t>Comprender</t>
  </si>
  <si>
    <t>Define conceptos de frameworks de desarrollo por medio de especificaciones técnicas para proporcionar un entendimiento preciso de su estructura, componentes y funcionamiento.</t>
  </si>
  <si>
    <t>Identifica</t>
  </si>
  <si>
    <t>patrones de diseño</t>
  </si>
  <si>
    <t>por medio del análisis de las diferentes necesidades</t>
  </si>
  <si>
    <t>para resolver un problema específico que se adapta a la solución propuesta por el patrón seleccionado.</t>
  </si>
  <si>
    <t>Integra</t>
  </si>
  <si>
    <t>catalogos de estilo</t>
  </si>
  <si>
    <t>mediante aspectos relacionados con la identidad de la marca u organización</t>
  </si>
  <si>
    <t>para crear interfaces adecuadas dentro del sistema.</t>
  </si>
  <si>
    <t>Aplicar</t>
  </si>
  <si>
    <t>Organiza</t>
  </si>
  <si>
    <t>la información del sistema</t>
  </si>
  <si>
    <t xml:space="preserve">mediante esquemas jerárquicos y categorizados </t>
  </si>
  <si>
    <t>para facilitar la navegación y la comprensión por parte del usuario.</t>
  </si>
  <si>
    <t>Analizar</t>
  </si>
  <si>
    <t>Diseña</t>
  </si>
  <si>
    <t xml:space="preserve">arquitecturas de software </t>
  </si>
  <si>
    <t>mediante la definición de componentes, conexiones y capas del sistema</t>
  </si>
  <si>
    <t>para asegurar la funcionalidad, rendimiento y escalabilidad del producto final</t>
  </si>
  <si>
    <t>General</t>
  </si>
  <si>
    <t>Aplica</t>
  </si>
  <si>
    <t>principios y técnicas de análisis y diseño de sistemas</t>
  </si>
  <si>
    <t>mediante metodologías, modelos y herramientas de ingeniería de software</t>
  </si>
  <si>
    <t>para desarrollar sistemas eficientes, mantenibles y alineados con los requisitos del usuario</t>
  </si>
  <si>
    <t>Recuerda</t>
  </si>
  <si>
    <t>la importancia de las decisiones de diseño y arquitectura</t>
  </si>
  <si>
    <t>mediante el análisis de casos prácticos y ejemplos de sistemas reales</t>
  </si>
  <si>
    <t>para fortalecer la capacidad de aplicar soluciones coherentes y efectivas en proyectos de software</t>
  </si>
  <si>
    <t>Recordar</t>
  </si>
  <si>
    <r>
      <rPr>
        <rFont val="Arial"/>
        <b/>
        <color theme="1"/>
      </rPr>
      <t>Manual de competencias:</t>
    </r>
    <r>
      <rPr>
        <rFont val="Arial"/>
        <color theme="1"/>
      </rPr>
      <t xml:space="preserve"> </t>
    </r>
    <r>
      <rPr>
        <rFont val="Arial"/>
        <color rgb="FF1155CC"/>
        <u/>
      </rPr>
      <t>https://drive.google.com/file/d/1n5es0M20vXxa7i4eLN7pbgTXc2C1dmCQ/view?usp=sharing</t>
    </r>
  </si>
  <si>
    <r>
      <rPr>
        <rFont val="Arial"/>
        <b/>
        <color theme="1"/>
      </rPr>
      <t>Video de como hacer competencias:</t>
    </r>
    <r>
      <rPr>
        <rFont val="Arial"/>
        <color theme="1"/>
      </rPr>
      <t xml:space="preserve"> </t>
    </r>
    <r>
      <rPr>
        <rFont val="Arial"/>
        <color rgb="FF1155CC"/>
        <u/>
      </rPr>
      <t>https://youtu.be/C8Q9dKo4t-w?si=yErgF_ihe1tsaHM0</t>
    </r>
  </si>
  <si>
    <t>Si las competencias son las misma que el semetre anterior compartenos tu opinion de porque no se cambiaron</t>
  </si>
  <si>
    <t>Diseño de Contenido Curricular</t>
  </si>
  <si>
    <t>semestre que aplica</t>
  </si>
  <si>
    <t>No.</t>
  </si>
  <si>
    <t>Competencia</t>
  </si>
  <si>
    <t>Nombre de la Unidad</t>
  </si>
  <si>
    <t>Tema</t>
  </si>
  <si>
    <t>Subtema</t>
  </si>
  <si>
    <t>Mes</t>
  </si>
  <si>
    <t>Semana</t>
  </si>
  <si>
    <t xml:space="preserve">Identifica patrones de diseño por medio del análisis de las diferentes necesidades para resolver un problema específico que se adapta a la solución propuesta por el patrón seleccionado. </t>
  </si>
  <si>
    <t>Patrones de diseño</t>
  </si>
  <si>
    <t>Elementos de diseño</t>
  </si>
  <si>
    <t>Julio</t>
  </si>
  <si>
    <t>Definición de patrones de diseño</t>
  </si>
  <si>
    <t>Importancia y Aplicabilidad de Patrones de diseño</t>
  </si>
  <si>
    <t>Notaciones de patrones de diseño</t>
  </si>
  <si>
    <t>Contexto de diseño</t>
  </si>
  <si>
    <t>Principios de diseño de software</t>
  </si>
  <si>
    <t>Creacional</t>
  </si>
  <si>
    <t>Agosto</t>
  </si>
  <si>
    <t>Factory Method</t>
  </si>
  <si>
    <t>Abstact Factory</t>
  </si>
  <si>
    <t>Singleton</t>
  </si>
  <si>
    <t>Builder</t>
  </si>
  <si>
    <t>Prototype</t>
  </si>
  <si>
    <t>Estructurales</t>
  </si>
  <si>
    <t>Adapter</t>
  </si>
  <si>
    <t>Proxy</t>
  </si>
  <si>
    <t>Patrones de comportamiento</t>
  </si>
  <si>
    <t>Observer</t>
  </si>
  <si>
    <t>Strategy</t>
  </si>
  <si>
    <t>Command</t>
  </si>
  <si>
    <t xml:space="preserve">Integra catalogos de estilo mediante aspectos relacionados con la identidad de la marca u organización para crear interfaces adecuadas dentro del sistema. </t>
  </si>
  <si>
    <t xml:space="preserve"> Elementos de Diseño</t>
  </si>
  <si>
    <t>Estrategias en Diseño de Interfaces y Arquitectura de la Información</t>
  </si>
  <si>
    <t>Catálogode estilos</t>
  </si>
  <si>
    <t xml:space="preserve">Organiza la información del sistema mediante esquemas jerárquicos y categorizados  para facilitar la navegación y la comprensión por parte del usuario. </t>
  </si>
  <si>
    <t>Arquitectura de la información</t>
  </si>
  <si>
    <t>Experiencia de usuario (UX)</t>
  </si>
  <si>
    <t>Diseño de interfaces de usuario (UI)</t>
  </si>
  <si>
    <t xml:space="preserve">Diseña arquitecturas de software  mediante la definición de componentes, conexiones y capas del sistema para asegurar la funcionalidad, rendimiento y escalabilidad del producto final </t>
  </si>
  <si>
    <t>Patrones de arquitectura</t>
  </si>
  <si>
    <t>Centrada en Datos</t>
  </si>
  <si>
    <t>Septiembre</t>
  </si>
  <si>
    <t>Centrada en el flujo de datos</t>
  </si>
  <si>
    <t>Arquitectura orientada a eventos</t>
  </si>
  <si>
    <t>Patrones de arquitectura empresarial</t>
  </si>
  <si>
    <t>SOA (Service-Oriented Architecture)</t>
  </si>
  <si>
    <t>EDA (Event-Driven Architecture)</t>
  </si>
  <si>
    <t>Arquitecturas híbridas</t>
  </si>
  <si>
    <t xml:space="preserve">Aplica principios y técnicas de análisis y diseño de sistemas mediante metodologías, modelos y herramientas de ingeniería de software para desarrollar sistemas eficientes, mantenibles y alineados con los requisitos del usuario </t>
  </si>
  <si>
    <t>Pruebas de Software</t>
  </si>
  <si>
    <t>Pruebas funcionales</t>
  </si>
  <si>
    <t>¿Qué son las pruebas funcionales?</t>
  </si>
  <si>
    <t>Conceptos y principios de las pruebas funcionales</t>
  </si>
  <si>
    <t>Importancia y aplicabilidad dentro de una arquitectura de software</t>
  </si>
  <si>
    <t>¿Qué son las pruebas unitarias?</t>
  </si>
  <si>
    <t>¿Qué son pruebas de aceptación?</t>
  </si>
  <si>
    <t>¿Qué son las pruebas de integración?</t>
  </si>
  <si>
    <t>¿Qué son las pruebas de regresión?</t>
  </si>
  <si>
    <t>Pruebas no funcionales</t>
  </si>
  <si>
    <t>¿Qué son las pruebas no funcionales?</t>
  </si>
  <si>
    <t>Conceptos y principios de las pruebas no funcionales</t>
  </si>
  <si>
    <t>¿Qué son las pruebas de carga?</t>
  </si>
  <si>
    <t>¿Qué son las pruebas de estres?</t>
  </si>
  <si>
    <t>¿Qué son las pruebas de escalabilidad?</t>
  </si>
  <si>
    <t>¿Qué son las pruebas de portabilidad?</t>
  </si>
  <si>
    <t>Seguridad</t>
  </si>
  <si>
    <t>Introducción a la seguridad de sistemas</t>
  </si>
  <si>
    <t>Octubre</t>
  </si>
  <si>
    <t>Modelado de Amenazas</t>
  </si>
  <si>
    <t>Diseño seguro de Software</t>
  </si>
  <si>
    <t>Criptografía y Protección de Datos</t>
  </si>
  <si>
    <t>Monitorización y Respuesta a Incidentes de Seguridad</t>
  </si>
  <si>
    <t>Pruebas de seguridad</t>
  </si>
  <si>
    <t>Cumplimiento y Normativas de Seguridad</t>
  </si>
  <si>
    <t xml:space="preserve">Recuerda la importancia de las decisiones de diseño y arquitectura mediante el análisis de casos prácticos y ejemplos de sistemas reales para fortalecer la capacidad de aplicar soluciones coherentes y efectivas en proyectos de software </t>
  </si>
  <si>
    <t>Despliegue en la nube (Cloud)</t>
  </si>
  <si>
    <t>Despligue en la nube (cloud)</t>
  </si>
  <si>
    <t>Introducción a la nube</t>
  </si>
  <si>
    <t>Modelos de servicio: IaaS, PaaS, SaaS</t>
  </si>
  <si>
    <t>Contenedores y Docker</t>
  </si>
  <si>
    <t>CDN (Content Delivery Network)</t>
  </si>
  <si>
    <t>Análisis de Costos en Nube (Cost Management)</t>
  </si>
  <si>
    <t>Módulos y Reutilización de Código en Terraform</t>
  </si>
  <si>
    <t>Ansible Playbooks y Roles para Automatización Compleja</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</si>
  <si>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</si>
  <si>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</si>
  <si>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</si>
  <si>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</si>
  <si>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</si>
  <si>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</si>
  <si>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En este punto los tutores se presentarán indicando su nombre completo y semestre en el que se encuentran</t>
  </si>
  <si>
    <t xml:space="preserve">Experiencia docente y profecional </t>
  </si>
  <si>
    <t>Aquí se especificará la experiencia laboral que se tiene, indicando la relación que tiene con el curso y cual ha sido su experiencia como docente del curso actual.</t>
  </si>
  <si>
    <t>Rol del auxiliar dentro del curso (funciones, actividades y apoyo a los estudiantes).</t>
  </si>
  <si>
    <t>Ayudar a los estudiantes a entender cada uno de los temas que se darán en el laboraotiro, se tendrán 2 prácticas y 1 proyecto de 3 fases, el apoyo será a traves de foro y cuando se requerira se podrá tener sesiones personalizadas</t>
  </si>
  <si>
    <t>Expectativas sobre la dinámica del curso</t>
  </si>
  <si>
    <t>Participación Activa: "Espero una participación activa de todos. El curso se basará en el diálogo, no solo en la escucha. Pregunten, compartan y debatan sus ideas."
Ambiente de Aprendizaje Mutuo: "Quiero que construyamos un ambiente de respeto y confianza donde todos nos sintamos cómodos al cometer errores y aprender unos de otros. Su experiencia es tan valiosa como el material."
Colaboración en Equipo: "Las actividades prácticas y proyectos requerirán trabajo en equipo. Espero una distribución equitativa de las tareas y el desarrollo de habilidades de colaboración."</t>
  </si>
  <si>
    <t xml:space="preserve">Tiempo que emplearas </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</si>
  <si>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</si>
  <si>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</si>
  <si>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</si>
  <si>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</si>
  <si>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1. ¿La ingeniería de software es la disciplina que aplica principios de ingeniería para el desarrollo, mantenimiento y gestión de software de forma sistemática y eficiente?
Verdadero
2. Es un conjunto estructurado de prácticas, procesos y reglas que guían cómo se planifica, desarrolla, prueba y mantiene un software.
Metodología de desarrollo
3. Es un modelo de desarrollo de software:
Modelo ágil
4. Las metodologías ágiles se centran en la documentación de los requerimientos, por sobre las entregas rápidas y flexibles.
Falso
5. ¿Cuáles son las cuatro fases principales del modelo RUP?
Inicio, Elaboración, Construcción, Transición
6. Parte del desarrollo de software que identifica, analiza, documenta y gestiona lo que debe hacer un producto de software.
Ingeniería de requerimientos 
7. Técnica utilizada por la metodología Extreme Programming
Pair Programming
8. La metodología Kanban se caracteriza por
Uso de tarjetas visuales y columnas de estados.
9. Representa todo lo que el proyecto debe entregar
Alcance
10. No es una característica de un buen objetivo de software.
Rentable</t>
  </si>
  <si>
    <t>Redactaras una parte practica para realizar la evaluacion de conocimientos previos</t>
  </si>
  <si>
    <t>-</t>
  </si>
  <si>
    <t xml:space="preserve">3. Presentación de los Estudiantes                                </t>
  </si>
  <si>
    <t xml:space="preserve">No puedes excederte mas de 30 minutos </t>
  </si>
  <si>
    <t>Seleccion al Azar de 5 Estudiantes</t>
  </si>
  <si>
    <t>Selección de 5 estudiantes mediante una ruleta en la herramienta online Wooclap, se tomará como fuente las respuestas del formulario de asistencia</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</si>
  <si>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</si>
  <si>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</si>
  <si>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Nombre completo
Espectativas del curso
Experiencia con temas del curso 
Algún dato acerca de su persona</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</si>
  <si>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</si>
  <si>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</si>
  <si>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</si>
  <si>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</si>
  <si>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NO APLICA</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</si>
  <si>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</si>
  <si>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</si>
  <si>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Sábados</t>
  </si>
  <si>
    <t xml:space="preserve">5.  Mostrar Programa del Curso                 </t>
  </si>
  <si>
    <t>No puedes excederte mas de 30 minutos</t>
  </si>
  <si>
    <t xml:space="preserve">6. Evaluación de Conocimientos del Curso Actual                                  </t>
  </si>
  <si>
    <t xml:space="preserve">Redactaras 20 preguntas con sus respectivas respuestas </t>
  </si>
  <si>
    <t>1. Es un framework de desarrollo
Angular
2. No es un tipo de patrón de diseño
Inspiracional
3. Representa principios fundamentales de diseño orientado a objetos
SOLID
4. ¿Los patrones de diseño son técnicas para resolver problemas recurrentes de diseño de software?
Verdadero
5. ¿Qué es el diseño UX?
Diseño de experiencia de usuario 
6. ¿El diseño UI se enfoca en el despliegue en la nube?
Falso
7. Ventaja de realizar pruebas de software
Garantizar la calidad del software
8. Las pruebas funcionales se centran en aspectos como el rendimiento, seguridad, usabilidad, etc.
Falso
9. Es una prueba no funcional
Prueba de carga 
10. ¿Qué equipos involucra DevOps?
Desarrollo y operaciones</t>
  </si>
  <si>
    <t>Diseño de la Sesión de Laboratorio</t>
  </si>
  <si>
    <t>Ponderación</t>
  </si>
  <si>
    <t>Validación de Tiempo</t>
  </si>
  <si>
    <t>1. Área Actitudinal (Saber Ser)</t>
  </si>
  <si>
    <t>Tiene que estar en un rango de 3 a 5 minutos</t>
  </si>
  <si>
    <t>Nombre del Valor</t>
  </si>
  <si>
    <t>Compromiso</t>
  </si>
  <si>
    <t>Descripcion</t>
  </si>
  <si>
    <t>El compromiso permite al estudiante asumir con seriedad el diseño de soluciones eficientes y sostenibles, entendiendo que la correcta aplicación de patrones y principios de diseño impacta directamente en la calidad del software. Diseñar bien no solo es una habilidad técnica, sino una muestra de responsabilidad profesional con los usuarios, el equipo y el producto final.</t>
  </si>
  <si>
    <t>Como se relaciona con los conocimientos de la sesion y se aplicaria</t>
  </si>
  <si>
    <t>La dinámica del curso y el compromiso del estudiante se aplicarán directamente en el Análisis y la Justificación de los Patrones de Diseño.</t>
  </si>
  <si>
    <t>2. Área Conocimiento (Saber)</t>
  </si>
  <si>
    <t>No puede exceder los 60 minutos</t>
  </si>
  <si>
    <t>Competencia a desarrollar</t>
  </si>
  <si>
    <t xml:space="preserve">Identifica y describe conceptos de frameworks aplicando casos de uso y características comunes para seleccionar adecuadamente un framework de acuerdo al proyecto. </t>
  </si>
  <si>
    <t>2.1 Contenido</t>
  </si>
  <si>
    <t>Unidad</t>
  </si>
  <si>
    <t xml:space="preserve">Tema </t>
  </si>
  <si>
    <t>Sub Tema</t>
  </si>
  <si>
    <t>2. Patrones de Diseño</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</si>
  <si>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</si>
  <si>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</si>
  <si>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</si>
  <si>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</si>
  <si>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</si>
  <si>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</si>
  <si>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</si>
  <si>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</si>
  <si>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</si>
  <si>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</si>
  <si>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</si>
  <si>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</si>
  <si>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</si>
  <si>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</si>
  <si>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actividades</t>
  </si>
  <si>
    <t>Coloca el tiempo que usar en la actividad, un tiempo sugerido 30 minutos</t>
  </si>
  <si>
    <t>Descripcion de la Actividad</t>
  </si>
  <si>
    <t>Debatir en gruipos que es un framework y que sería una librería y que los grupos puedan presentar un ejemplo de un framework y que es una librería</t>
  </si>
  <si>
    <t>Actividad 2 (Optativa puedes hacerla si lo consideras apropiado)</t>
  </si>
  <si>
    <t>Coloca el tiempo que usar en la actividad, un tiempo sugerido 20 minutos</t>
  </si>
  <si>
    <t>3. Cierre</t>
  </si>
  <si>
    <t>Tiene que estar en un rango de 10 a 15 minutos</t>
  </si>
  <si>
    <t>Asignacion de Actividades</t>
  </si>
  <si>
    <t>Dudas del tema impartido o realizar las ultimas conclusiones</t>
  </si>
  <si>
    <t>Resuelve alguna duda, asigna las actividades que deben realizar, dudas de proyectos, etc</t>
  </si>
  <si>
    <t>Responsabilidad</t>
  </si>
  <si>
    <t>La responsabilidad implica cumplir compromisos, asumir consecuencias de acciones propias y actuar con ética, compromiso y conciencia, garantizando confianza y respeto en todos los ámbitos.</t>
  </si>
  <si>
    <t>La responsabilidad se ve relacionada con los conocimientos de la sesión ya que se debe estudiar y reforzar lo aprendido de manera autónoma.</t>
  </si>
  <si>
    <t>Ejercicio practico</t>
  </si>
  <si>
    <t xml:space="preserve">Asignación de un caso específico descrito en un párrafo corto, que cuente las necesidades de una organización en no más de 200 palabras. Los estudiantes deben ser capaces de identificar el patrón de diseño que más se adecua a las necesidades dando una conclusión junto con argumentos que sustenten la decisión. </t>
  </si>
  <si>
    <t xml:space="preserve">Espacio para resolución de dudas finales que hayan podido surgir durante toda la sesión, recordatorios de entregas de actividades (Prácticas o fases de proyectos), invitación a participar en el foro de la semana, agradecimiento y despedida. </t>
  </si>
  <si>
    <t>Disciplina</t>
  </si>
  <si>
    <t>La disciplina es la capacidad de mantener hábitos de estudio, organización y esfuerzo constante, siguiendo normas y objetivos para alcanzar metas académicas y personales efectivamente.</t>
  </si>
  <si>
    <t>La disciplina se relaciona directamente con el estudio y aplicación de patrones de diseño estructurales porque requiere constancia, organización y práctica para comprenderlos y utilizarlos correctamente.</t>
  </si>
  <si>
    <t xml:space="preserve">El estudiante Crea ..    </t>
  </si>
  <si>
    <t>Generar una analogía de aplicación del patrón adapter en un objeto de la vida real, identificando las diferentes partes que conforman la solución que implementa este patrón.</t>
  </si>
  <si>
    <t>Resolución de dudas del proyecto/pratica</t>
  </si>
  <si>
    <t>Adaptabilidad</t>
  </si>
  <si>
    <t>La adaptabilidad es esencial al aplicar patrones de comportamiento, ya que estos se centran en la forma en que los objetos se comunican y reaccionan ante los cambios. Desarrollar esta cualidad permite a los estudiantes diseñar soluciones más flexibles y preparadas para entornos dinámicos y cambiantes.</t>
  </si>
  <si>
    <t>La adaptabilidad es el valor clave para dominar los patrones de comportamiento. Estos patrones (Observer, Strategy, Command) buscan desacoplar y flexibilizar el código, haciendo que el sistema pueda cambiar y evolucionar sin grandes modificaciones.</t>
  </si>
  <si>
    <t>Patrones de Diseño</t>
  </si>
  <si>
    <t>Que los estudiantes diseñen el patron de diseño observer a tráves de diagramas UML</t>
  </si>
  <si>
    <t>Perseverancia</t>
  </si>
  <si>
    <t>La perseverancia es la capacidad de mantener el esfuerzo y la constancia frente a dificultades, superando obstáculos para alcanzar objetivos académicos y personales con determinación.</t>
  </si>
  <si>
    <t>La perseverancia se relaciona con el aprendizaje de estrategias de diseño de interfaces y arquitectura de la información porque permite que el estudiante siga practicando y refinando sus habilidades pese a la complejidad de los conceptos y la iteración constante que requiere un buen diseño.</t>
  </si>
  <si>
    <t xml:space="preserve">Selecciona una marca específica en la que logre identificar claramente los aspectos que conforman el catálogo de estilos, exponiendo las pricipales características de cada uno de los aspectos, por ejemplo, su paleta de colores, su tono al comunicar, lo que quieren transmitir con sus imágenes, etc.. Entregan un informe de al menos dos páginas con lo que identificaron.  </t>
  </si>
  <si>
    <t>Pensamiento crítico</t>
  </si>
  <si>
    <t>El pensamiento crítico es esencial al seleccionar y aplicar patrones de arquitectura, ya que permite evaluar de forma objetiva los requerimientos del sistema, las ventajas y desventajas de cada enfoque arquitectónico, y tomar decisiones informadas que impactan en la escalabilidad, flexibilidad y mantenibilidad de las soluciones tecnológicas.</t>
  </si>
  <si>
    <t>El pensamiento crítico es indispensable para la evaluación, selección y justificación de los Patrones de Arquitectura. La elección de una arquitectura (Centrada en Datos, EDA, SOA, etc.) es la decisión de diseño más costosa de revertir, por lo que requiere un análisis objetivo.</t>
  </si>
  <si>
    <t>Se divide la clase en grupos y se analiza un caso de negocio y cada grupo deberá seleccionar dos de los patrones de la lista, identificar las ventajas y desventajas de aplicarlos a ese escenario específico y justificar ante el resto de la clase cuál ofrece la mejor escalabilidad y eficiencia, fomentando así el pensamiento crítico sobre la estructura de software.</t>
  </si>
  <si>
    <t>Resolución de dudas del proyecto/practica</t>
  </si>
  <si>
    <t>Constancia</t>
  </si>
  <si>
    <t>La constancia es la habilidad de mantener un esfuerzo continuo y regular en el aprendizaje y práctica académica, asegurando progreso constante y dominio de los contenidos a lo largo del tiempo.</t>
  </si>
  <si>
    <t>La constancia se relaciona con el aprendizaje y aplicación de pruebas funcionales porque permite al estudiante practicar, ejecutar y evaluar pruebas de manera sostenida, asegurando calidad y comprensión profunda.</t>
  </si>
  <si>
    <t xml:space="preserve">Los estudiantes se organizarán en los grupos formados desde el inicio, se elegirá un servicio público o un api pública y realizarán un set de pruebas que abarque diferentes aspectos como campos esperados, estados esperados, entre otros. </t>
  </si>
  <si>
    <t xml:space="preserve">Dudas y comentarios de la sesión, así como invitación a participar en el foro de la semana, publicando sus dudas u opiniones, generando interacciones con el tutor o con otros estudiantes. </t>
  </si>
  <si>
    <t>Rigor técnico</t>
  </si>
  <si>
    <t>El rigor técnico permite ejecutar pruebas no funcionales con precisión, objetividad y atención al detalle. Este valor es esencial para garantizar la calidad del sistema en aspectos críticos como rendimiento, escalabilidad, portabilidad y estabilidad, más allá de que simplemente "funcione"</t>
  </si>
  <si>
    <t>El rigor técnico es la base para ejecutar y analizar correctamente las Pruebas No Funcionales (carga, estrés, escalabilidad, portabilidad). Estas pruebas se centran en la calidad del sistema más allá de su funcionalidad básica ("que simplemente funcione").</t>
  </si>
  <si>
    <t>Cuestionario</t>
  </si>
  <si>
    <t xml:space="preserve">Se resuelve un cuestionario en Google Forms acerca de las pruebas de software, específicamente las pruebas no funcionales que son el objeto de la sesión, se harán 10 preguntas relacionadas con los temas vistos. Los primeros 20 minutos serán para que los estudiantes resuelvan el cuestionario, los 10 minutos restantes serán para resolverlo junto con el auxiliar y que puedan darse las respuestas esperadas. </t>
  </si>
  <si>
    <t>Liderazgo</t>
  </si>
  <si>
    <t>El liderazgo es la capacidad de influir, guiar y motivar a un grupo de personas para alcanzar objetivos comunes, promoviendo colaboración, compromiso y desarrollo del equipo.</t>
  </si>
  <si>
    <t>El liderazgo se relaciona con los temas de pruebas no funcionales y seguridad de sistemas porque implica guiar, coordinar y motivar a un equipo para garantizar la implementación efectiva de medidas de seguridad y estándares de calidad.</t>
  </si>
  <si>
    <t>Analisis</t>
  </si>
  <si>
    <t xml:space="preserve">Determinar un listado de 10 vulnerabilidades más comunes que tienen los sistemas de software, para cada una de ellas determinar una medida de contingencia. </t>
  </si>
  <si>
    <t>Proactividad</t>
  </si>
  <si>
    <t>La proactividad es esencial en el despliegue en la nube, ya que anticiparse a fallos, automatizar procesos y optimizar recursos requiere iniciativa, aprendizaje constante y capacidad para tomar decisiones oportunas en entornos cambiantes.</t>
  </si>
  <si>
    <t>La proactividad es el pilar para el éxito en el Despliegue en la Nube. La nube es un entorno dinámico (IaaS, PaaS, SaaS, Docker) que exige una mentalidad de anticipación a fallos y una optimización continua, tal como lo describe la definición del valor.</t>
  </si>
  <si>
    <t>Comparación (Tarea 1): Inicialmente, el equipo de QA crea y elimina manualmente un entorno de prueba básico (VM y DB) en la nube, registrando el tiempo invertido y los riesgos de error humano (deriva de configuración).
Automatización (Tarea 2): Luego, el equipo utiliza un código Terraform simple (.tf) para crear los mismos recursos. Ejecutan terraform apply y terraform destroy, cronometrando el proceso</t>
  </si>
  <si>
    <t>La sumatoria de los puntos de los proyectos debe superar el  60% del total de la nota, no puede ser un 100%</t>
  </si>
  <si>
    <t>1. Primer Proyecto</t>
  </si>
  <si>
    <t>Horas para realizarlo</t>
  </si>
  <si>
    <t>Diseña y aplica patrones de diseño de software para garantizar la calidad estructural y de comportamiento del sistema, basándose primero en la identificación de estilos arquitectónicos y luego aplicando los patrones de diseño apropiados para cada caso.</t>
  </si>
  <si>
    <t>Analizar requisitos para comparar y seleccionar el estilo arquitectónico más adecuado, justificando la elección en función de criterios técnicos y de negocio</t>
  </si>
  <si>
    <t>Modelar el comportamiento del sistema mediante casos de uso bien definidos y diseñar prototipos de interfaces que ofrezcan una experiencia de usuario intuitiva.</t>
  </si>
  <si>
    <t>Titulo</t>
  </si>
  <si>
    <t>Librería Central Guatemala, S.A.</t>
  </si>
  <si>
    <t>Qué tecnologías, lenguajes de programación, plataformas, hardware o software se utilizaran</t>
  </si>
  <si>
    <r>
      <rPr>
        <rFont val="Arial"/>
        <color theme="1"/>
      </rPr>
      <t xml:space="preserve">UML como lenguaje de diagramado
</t>
    </r>
    <r>
      <rPr>
        <rFont val="Arial"/>
        <color rgb="FF1155CC"/>
        <u/>
      </rPr>
      <t>Draw.io</t>
    </r>
    <r>
      <rPr>
        <rFont val="Arial"/>
        <color theme="1"/>
      </rPr>
      <t>, Lucidchart, etc., como herramienta de diagramación (Queda a discreción) 
Github como herramienta de versionamiento para trabajo colaborativo
Gitflow como estrategia de branching 
Metodología ágil SCRUM como marco de trabajo
Trello, Miro, etc., como herramienta para control de tablero Kanban</t>
    </r>
  </si>
  <si>
    <t>Descripción de lo que se realizara</t>
  </si>
  <si>
    <t>Análisi y diseño inicial de la arquitectura propuesta para resolver las necesidades de Librería Central Guatemala, S.A., una plataforma de gestión de biblioteca y librería. El objetivo es crear una arquitectura adaptable, escalable y con documentación completa para facilitar su mantenimiento y evolución. Los estudiantes deben presentar cada uno de los componentes de su solución, documentados mediante casos de uso y diagramas (Contexto, componentes, despliegue, entre otros) aplicando patrones de diseño para garantizar una solución mantenible y escalable. Se debe aplicar una metodología de trabajo y documentar las reuniones que dicta dicha metodología, generando también los artefactos típicos de la metodología.</t>
  </si>
  <si>
    <t>2. Segundo Proyecto</t>
  </si>
  <si>
    <t>Implementa una solución propuesta previamente para generar las diferentes funcionalidades que conlleva el sistema.</t>
  </si>
  <si>
    <t>Analiza cambios en el diseño arquitectónico para hacer más eficiente y escalable la implementación.</t>
  </si>
  <si>
    <t>Aplica la construcción de imágenes y contenedores para garantizar la correcta distribución de un producto de software.</t>
  </si>
  <si>
    <r>
      <rPr>
        <rFont val="Arial"/>
        <color theme="1"/>
      </rPr>
      <t xml:space="preserve">Lenguaje de programación backend y frontend queda a libre elección. 
Plataformas de despliegue quedan sujetos a diseño presentado en la fase 1. 
Docker como herramienta de contenerización y Docker-compose como orquestador. 
UML como lenguaje de diagramado
</t>
    </r>
    <r>
      <rPr>
        <rFont val="Arial"/>
        <color rgb="FF1155CC"/>
        <u/>
      </rPr>
      <t>Draw.io</t>
    </r>
    <r>
      <rPr>
        <rFont val="Arial"/>
        <color theme="1"/>
      </rPr>
      <t>, Lucidchart, etc., como herramienta de diagramación (Queda a discreción)
Github como herramienta de versionamiento para trabajo colaborativo
Gitflow como estrategia de branching 
Metodología ágil SCRUM como marco de trabajo
Trello, Miro, etc., como herramienta para control de tablero Kanban</t>
    </r>
  </si>
  <si>
    <t>En esta fase los estudiantes deben realizar mejoras a la solución propuesta en la fase 1, tomando como base la retroalimentación brindada por el auxiliar de laboratorio. Así mismo, se busca que la solución sea mejorada en base a características no tomadas en cuenta en la fase 1, documentando los respectivos cambios de manera adecuada y adjuntando argumentos que sustenten las decisiones arquitectónicas tomadas para esta fase. Se debe preparar la solución para su implentación en la nube utilizando contenedores y utilizando un orquestador para realizar de manera más práctica y sencilla la gestión de los mismos. Al igual que en la fase 1 se debe aplicar una metodología de trabajo y documentar las reuniones que dicta dicha metodología, generando también los artefactos típicos de la metodología.</t>
  </si>
  <si>
    <t>3. Tercer Proyecto</t>
  </si>
  <si>
    <t>Optativa</t>
  </si>
  <si>
    <t>Analizar la manera en que los requisitos del sistema permiten comparar diferentes estilos arquitectónicos y seleccionar el más adecuado, justificando la elección en función de criterios técnicos y de negocio.</t>
  </si>
  <si>
    <t>Modelar el comportamiento del sistema mediante casos de uso bien definidos, asegurando que se cubran todos los actores, precondiciones, postcondiciones, flujos normales y alternativos.</t>
  </si>
  <si>
    <r>
      <rPr>
        <rFont val="Arial"/>
        <color theme="1"/>
      </rPr>
      <t xml:space="preserve">GitHub o Gitlab como herramienta para implementación de CI/CD
Jest, Mocha, etc., como framework de pruebas funcionales. 
Apache JMeter, Cypress, etc., para realizar pruebas no funcionales. 
Lenguaje de programación backend y frontend queda a libre elección. 
Plataformas de despliegue quedan sujetos a diseño presentado en la fase 1. 
Docker como herramienta de contenerización y Docker-compose como orquestador. 
UML como lenguaje de diagramado
</t>
    </r>
    <r>
      <rPr>
        <rFont val="Arial"/>
        <color rgb="FF1155CC"/>
        <u/>
      </rPr>
      <t>Draw.io</t>
    </r>
    <r>
      <rPr>
        <rFont val="Arial"/>
        <color theme="1"/>
      </rPr>
      <t>, Lucidchart, etc., como herramienta de diagramación (Queda a discreción)
Github como herramienta de versionamiento para trabajo colaborativo
Gitflow como estrategia de branching 
Metodología ágil SCRUM como marco de trabajo
Trello, Miro, etc., como herramienta para control de tablero Kanban</t>
    </r>
  </si>
  <si>
    <t xml:space="preserve">En esta fase se aplicará un incremento o una variación en un requerimiento funcional o no funcional del sistema, permitiendo a los estudiantes integrar un nuevo estilo arquitectónico que satisfaga la nueva necesidad. Se debe reflejar el nuevo estilo arquitectónico integrándolo en los diagramas y la documentación existente. Se debe aplicar el ciclo DevOps por medio de la implementación de CI/CD, teniendo como opciones el poder trabajarlo con Github o Gitlab, quedando a elección de los estudiantes. Se especifican los stages específicos que deben realizar. Así mismo, se deben implementar pruebas al sistema, tanto funcionales como no funcionales. Se continua implementando la metodología ágil como marco de trabajo en equipo. </t>
  </si>
  <si>
    <t>Practicas</t>
  </si>
  <si>
    <t>La sumatoria de los puntos de los practicas debe no debe super el  20%</t>
  </si>
  <si>
    <t>1. Primera Practica</t>
  </si>
  <si>
    <t>Obligatoria</t>
  </si>
  <si>
    <t>Identifica y describe conceptos de frameworks aplicando casos de uso y características comunes para seleccionar adecuadamente un framework de acuerdo al proyecto.</t>
  </si>
  <si>
    <t>Utilizar un framework de desarrollo e implementar patrones de diseño para la resolución de problemas recurrentes</t>
  </si>
  <si>
    <t>Implementar la estrategia de branching git-flow para el manejo eficiente del control de versiones en equipo.</t>
  </si>
  <si>
    <t>VitalFlow: Sistema Integrado de Gestión de Suministros y Logística Médica.</t>
  </si>
  <si>
    <t>Lenguaje y Framework: Selección libre de un framework de programación (ej. Express.js, Django, Spring Boot o Laravel).
Base de Datos: Sistema de gestión de base de datos relacional para persistencia de información.
Control de Versiones: GitHub utilizando la estrategia de Branching Git-Flow.
Documentación: Formato Markdown para manuales técnicos y funcionales.
Herramientas de Diseño: UML (Unified Modeling Language) para diagramación de patrones.</t>
  </si>
  <si>
    <t>Se desarrollará una aplicación web integral para el Hospital Metropolitano, enfocada en la trazabilidad de suministros médicos. El sistema permitirá:
Gestión de Solicitudes: Los médicos podrán registrar órdenes de reabastecimiento con detalles de cantidad y prioridad.
Flujo de Aprobación: El Farmacéutico Jefe podrá autorizar o rechazar solicitudes, gestionando el inventario de forma jerárquica.
Control de Despacho: Registro de salida de bodega por parte del personal de logística, asegurando la actualización automática de existencias.
Monitoreo: Dashboard con gráficas de consumo y top de insumos más solicitados.
Todo el desarrollo deberá aplicar un Patrón de Diseño (ej. State o Factory) y seguir estrictamente el flujo de trabajo de Git-Flow con commits identificados por carnet.</t>
  </si>
  <si>
    <t>2. Segunda Practica</t>
  </si>
  <si>
    <t xml:space="preserve">Aplica y adapta modelos de despliegue en la nube mediante arquitecturas por capas, microservicios y plataformas como Docker y Terraform para optimizar la disponibilidad y escalabilidad de los sistemas. </t>
  </si>
  <si>
    <t>Conteneriza servicios para hacer disponibles diferentes funcionalidades.</t>
  </si>
  <si>
    <t>Configura infraestructura con Terraform para garantizar la consistencia de los servicios definidos.</t>
  </si>
  <si>
    <t>FoodSphere: Sistema de gestión de restaurantes</t>
  </si>
  <si>
    <t>Docker, Terraform, Ansible, Proveedores de cloud</t>
  </si>
  <si>
    <t>Se desarrollará una plataforma distribuida para la gestión de restaurantes basada en microservicios, donde cada módulo representa un área del negocio como pedidos, inventario y facturación. Los servicios serán contenerizados con Docker y desplegados en la nube utilizando Terraform como infraestructura como código. La configuración y automatización de los entornos se gestionará mediante Ansible.</t>
  </si>
  <si>
    <t>3. Tercera Practica</t>
  </si>
  <si>
    <t>4. Cuarta Practica</t>
  </si>
  <si>
    <t>5. Quinta Practica</t>
  </si>
  <si>
    <t>6. Sexta Practica</t>
  </si>
  <si>
    <t>7. Septima Practica</t>
  </si>
  <si>
    <t>La sumatoria de los puntos de los practicas debe no debe super el  10% de la nota</t>
  </si>
  <si>
    <t>Tarea de fortalecimiento académico</t>
  </si>
  <si>
    <t>Obligatoria se debe dejar en la sesion de diagnóstico</t>
  </si>
  <si>
    <t>El estudiante será capaz de diferenciar y clasificar requerimientos funcionales y no funcionales de un caso específico.</t>
  </si>
  <si>
    <t>El estudiante será capaz de construir diagramas de casos de uso que representen las funcionalidades del sistema.</t>
  </si>
  <si>
    <t>Analisis inicial de un sistema</t>
  </si>
  <si>
    <t>Lenguaje UML como estándar de diagramado
Draw.io, Lucidchart, etc., como herramienta de diagramación (Queda a discreción)</t>
  </si>
  <si>
    <t>Que conocimientos base y competencias esenciales se deben reforzar que permitan al estudiante afrontar con mayor solidez los contenidos del curso</t>
  </si>
  <si>
    <t xml:space="preserve">Los conocimientos que se deben reforzar mediante la realización de esta tarea son los conceptos básicos de un sistema, así como la diferenciación entre tipos de requerimientos, casos de uso de alto nivel, identificación del negocio, casos de uso expandidos, actores y stakeholders, modelado con UML aplicando correctamente las notaciones utilizadas. 
Las competencias que se reforzarán serán el pensamiento analítico para descomponer un problema e identificar las necesidades del usuario, así como la abstracción para poder identificar los detalles de los diferentes procesos y optimizarlos. Así mismo, se reforzará el enfoque en el mundo real al presentar un problema o enunciado enfocado a soluciones a necesidades reales para que puedan poner en práctica su capacidad de interpretación, también el aprendizaje contínuo y autodidacta por aprender y repasar el conocimiento adquirido en cursos anteriores, en este caso, el curso Análisis y Diseño de Sistemas 1. </t>
  </si>
  <si>
    <t>1. Primera Tarea</t>
  </si>
  <si>
    <t>2. Segunda Tarea</t>
  </si>
  <si>
    <t>3. Tercera Tarea</t>
  </si>
  <si>
    <t>4. Cuarta Tarea</t>
  </si>
  <si>
    <t>5. Quinta Tarea</t>
  </si>
  <si>
    <t>6. Sexta Tarea</t>
  </si>
  <si>
    <t>7. Septima Tarea</t>
  </si>
  <si>
    <t>Codigo-Nombre</t>
  </si>
  <si>
    <t>Competencias</t>
  </si>
  <si>
    <t>17 - Área Social Humanística 1</t>
  </si>
  <si>
    <t>101 - Área Matemática Básica 1</t>
  </si>
  <si>
    <t>Identifica oportunidades y riesgos para la innovación y adaptación de
 conocimientos y tecnologías para resolver problemas.</t>
  </si>
  <si>
    <t>5 - Técnicas de Estudio e Investigación</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</si>
  <si>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</si>
  <si>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</si>
  <si>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39 - Deportes 1</t>
  </si>
  <si>
    <t>Maneja e Interpreta adecuadamente datos masivos, sean estos
 estructurados o no estructurados, facilitando su visualización e interpretación
 de forma eficaz en apoyo a la toma de decisiones.</t>
  </si>
  <si>
    <t>6 - Idioma Tecnico 1</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</si>
  <si>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</si>
  <si>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</si>
  <si>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</si>
  <si>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</si>
  <si>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</si>
  <si>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</si>
  <si>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</si>
  <si>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</si>
  <si>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</si>
  <si>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</si>
  <si>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</si>
  <si>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</si>
  <si>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</si>
  <si>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</si>
  <si>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</si>
  <si>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</si>
  <si>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</si>
  <si>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</si>
  <si>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</si>
  <si>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</si>
  <si>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</si>
  <si>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</si>
  <si>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</si>
  <si>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</si>
  <si>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</si>
  <si>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</si>
  <si>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</si>
  <si>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</si>
  <si>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</si>
  <si>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</si>
  <si>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</si>
  <si>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</si>
  <si>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</si>
  <si>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</si>
  <si>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</si>
  <si>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</si>
  <si>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</si>
  <si>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</si>
  <si>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</si>
  <si>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</si>
  <si>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</si>
  <si>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</si>
  <si>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</si>
  <si>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</si>
  <si>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</si>
  <si>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</si>
  <si>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</si>
  <si>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</si>
  <si>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</si>
  <si>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</si>
  <si>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</si>
  <si>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</si>
  <si>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</si>
  <si>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</si>
  <si>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</si>
  <si>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</si>
  <si>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</si>
  <si>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</si>
  <si>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</si>
  <si>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</si>
  <si>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</si>
  <si>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</si>
  <si>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</si>
  <si>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</si>
  <si>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</si>
  <si>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</si>
  <si>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</si>
  <si>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</si>
  <si>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</si>
  <si>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</si>
  <si>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</si>
  <si>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</si>
  <si>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</si>
  <si>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</si>
  <si>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</si>
  <si>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</si>
  <si>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</si>
  <si>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</si>
  <si>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</si>
  <si>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0089 - Comunicación Asertiva</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</si>
</sst>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Arial"/>
    </font>
    <font>
      <b/>
      <sz val="12.0"/>
      <color rgb="FFFF6D01"/>
      <name val="Arial"/>
    </font>
    <font>
      <b/>
      <color theme="1"/>
      <name val="Arial"/>
    </font>
    <font>
      <sz val="12.0"/>
      <color rgb="FFB7B7B7"/>
      <name val="Arial"/>
    </font>
    <font>
      <b/>
      <sz val="12.0"/>
      <color theme="1"/>
      <name val="Arial"/>
    </font>
    <font/>
    <font>
      <sz val="12.0"/>
      <color theme="1"/>
      <name val="Arial"/>
    </font>
    <font>
      <b/>
      <sz val="12.0"/>
      <color rgb="FFFBBC04"/>
      <name val="Arial"/>
    </font>
    <font>
      <sz val="12.0"/>
      <color rgb="FF404040"/>
      <name val="Inter"/>
    </font>
    <font>
      <b/>
      <sz val="11.0"/>
      <color theme="1"/>
      <name val="Arial"/>
    </font>
    <font>
      <sz val="11.0"/>
      <color theme="1"/>
      <name val="Arial"/>
    </font>
    <font>
      <u/>
      <color theme="1"/>
      <name val="Arial"/>
    </font>
    <font>
      <color rgb="FFFFFFFF"/>
      <name val="Arial"/>
    </font>
    <font>
      <b/>
      <sz val="12.0"/>
      <color theme="8"/>
      <name val="Arial"/>
    </font>
    <font>
      <color rgb="FFB7B7B7"/>
      <name val="Arial"/>
    </font>
    <font>
      <color theme="1"/>
      <name val="Arial"/>
      <scheme val="minor"/>
    </font>
    <font>
      <b/>
      <sz val="13.0"/>
      <color theme="4"/>
      <name val="Arial"/>
    </font>
    <font>
      <b/>
      <sz val="12.0"/>
      <color theme="4"/>
      <name val="Arial"/>
    </font>
    <font>
      <color rgb="FF999999"/>
      <name val="Arial"/>
    </font>
    <font>
      <b/>
      <sz val="13.0"/>
      <color rgb="FF4285F4"/>
      <name val="Arial"/>
    </font>
    <font>
      <b/>
      <sz val="12.0"/>
      <color rgb="FF4285F4"/>
      <name val="Arial"/>
    </font>
    <font>
      <b/>
      <sz val="12.0"/>
      <color rgb="FFFFFFFF"/>
      <name val="Arial"/>
    </font>
    <font>
      <color rgb="FFCCCCCC"/>
      <name val="Arial"/>
    </font>
    <font>
      <color rgb="FFD9D9D9"/>
      <name val="Arial"/>
    </font>
    <font>
      <u/>
      <color theme="1"/>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4285F4"/>
        <bgColor rgb="FF4285F4"/>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Font="1"/>
    <xf borderId="0" fillId="0" fontId="4" numFmtId="0" xfId="0" applyAlignment="1" applyFont="1">
      <alignment shrinkToFit="0" wrapText="1"/>
    </xf>
    <xf borderId="1" fillId="2" fontId="5" numFmtId="0" xfId="0" applyAlignment="1" applyBorder="1" applyFill="1" applyFont="1">
      <alignment shrinkToFit="0" vertical="bottom" wrapText="1"/>
    </xf>
    <xf borderId="2" fillId="2" fontId="5" numFmtId="0" xfId="0" applyAlignment="1" applyBorder="1" applyFont="1">
      <alignment shrinkToFit="0" vertical="bottom" wrapText="1"/>
    </xf>
    <xf borderId="3" fillId="0" fontId="6" numFmtId="0" xfId="0" applyBorder="1" applyFont="1"/>
    <xf borderId="4" fillId="0" fontId="6" numFmtId="0" xfId="0" applyBorder="1" applyFont="1"/>
    <xf borderId="0" fillId="3" fontId="1" numFmtId="0" xfId="0" applyAlignment="1" applyFill="1" applyFont="1">
      <alignment shrinkToFit="0" vertical="bottom" wrapText="1"/>
    </xf>
    <xf borderId="1" fillId="0" fontId="7" numFmtId="0" xfId="0" applyAlignment="1" applyBorder="1" applyFont="1">
      <alignment shrinkToFit="0" vertical="bottom" wrapText="1"/>
    </xf>
    <xf borderId="1" fillId="0" fontId="1" numFmtId="0" xfId="0" applyAlignment="1" applyBorder="1" applyFont="1">
      <alignment horizontal="right" readingOrder="0" vertical="bottom"/>
    </xf>
    <xf borderId="1" fillId="0" fontId="1" numFmtId="0" xfId="0" applyAlignment="1" applyBorder="1" applyFont="1">
      <alignment readingOrder="0" vertical="bottom"/>
    </xf>
    <xf borderId="2" fillId="0" fontId="1" numFmtId="0" xfId="0" applyAlignment="1" applyBorder="1" applyFont="1">
      <alignment vertical="bottom"/>
    </xf>
    <xf borderId="0" fillId="3" fontId="1" numFmtId="0" xfId="0" applyAlignment="1" applyFont="1">
      <alignment horizontal="right" vertical="bottom"/>
    </xf>
    <xf borderId="1" fillId="0" fontId="7" numFmtId="0" xfId="0" applyAlignment="1" applyBorder="1" applyFont="1">
      <alignment vertical="bottom"/>
    </xf>
    <xf borderId="1" fillId="0" fontId="1" numFmtId="0" xfId="0" applyAlignment="1" applyBorder="1" applyFont="1">
      <alignment vertical="bottom"/>
    </xf>
    <xf borderId="5" fillId="0" fontId="7" numFmtId="0" xfId="0" applyAlignment="1" applyBorder="1" applyFont="1">
      <alignment vertical="bottom"/>
    </xf>
    <xf borderId="5" fillId="0" fontId="1" numFmtId="0" xfId="0" applyAlignment="1" applyBorder="1" applyFont="1">
      <alignment horizontal="right" readingOrder="0" vertical="bottom"/>
    </xf>
    <xf borderId="6" fillId="0" fontId="1" numFmtId="0" xfId="0" applyAlignment="1" applyBorder="1" applyFont="1">
      <alignment vertical="bottom"/>
    </xf>
    <xf borderId="7" fillId="0" fontId="6" numFmtId="0" xfId="0" applyBorder="1" applyFont="1"/>
    <xf borderId="8" fillId="0" fontId="6" numFmtId="0" xfId="0" applyBorder="1" applyFont="1"/>
    <xf borderId="9" fillId="4" fontId="5" numFmtId="0" xfId="0" applyAlignment="1" applyBorder="1" applyFill="1" applyFont="1">
      <alignment shrinkToFit="0" vertical="bottom" wrapText="1"/>
    </xf>
    <xf borderId="9" fillId="4" fontId="1" numFmtId="0" xfId="0" applyAlignment="1" applyBorder="1" applyFont="1">
      <alignment horizontal="right" vertical="bottom"/>
    </xf>
    <xf borderId="10" fillId="5" fontId="5" numFmtId="0" xfId="0" applyAlignment="1" applyBorder="1" applyFill="1" applyFont="1">
      <alignment shrinkToFit="0" vertical="bottom" wrapText="1"/>
    </xf>
    <xf borderId="11" fillId="5" fontId="1" numFmtId="0" xfId="0" applyAlignment="1" applyBorder="1" applyFont="1">
      <alignment shrinkToFit="0" vertical="bottom" wrapText="1"/>
    </xf>
    <xf borderId="12" fillId="0" fontId="6" numFmtId="0" xfId="0" applyBorder="1" applyFont="1"/>
    <xf borderId="13" fillId="0" fontId="6" numFmtId="0" xfId="0" applyBorder="1" applyFont="1"/>
    <xf borderId="0" fillId="0" fontId="1" numFmtId="0" xfId="0" applyAlignment="1" applyFont="1">
      <alignment vertical="bottom"/>
    </xf>
    <xf borderId="0" fillId="0" fontId="8" numFmtId="0" xfId="0" applyAlignment="1" applyFont="1">
      <alignment horizontal="center" vertical="bottom"/>
    </xf>
    <xf borderId="14" fillId="6" fontId="9" numFmtId="0" xfId="0" applyAlignment="1" applyBorder="1" applyFill="1" applyFont="1">
      <alignment horizontal="center" shrinkToFit="0" vertical="bottom" wrapText="1"/>
    </xf>
    <xf borderId="15" fillId="0" fontId="6" numFmtId="0" xfId="0" applyBorder="1" applyFont="1"/>
    <xf borderId="16" fillId="0" fontId="6" numFmtId="0" xfId="0" applyBorder="1" applyFont="1"/>
    <xf borderId="9" fillId="7" fontId="9" numFmtId="0" xfId="0" applyAlignment="1" applyBorder="1" applyFill="1" applyFont="1">
      <alignment horizontal="center" shrinkToFit="0" vertical="bottom" wrapText="1"/>
    </xf>
    <xf borderId="14" fillId="0" fontId="1" numFmtId="0" xfId="0" applyAlignment="1" applyBorder="1" applyFont="1">
      <alignment readingOrder="0" vertical="bottom"/>
    </xf>
    <xf borderId="0" fillId="7" fontId="1" numFmtId="0" xfId="0" applyAlignment="1" applyFont="1">
      <alignment vertical="bottom"/>
    </xf>
    <xf borderId="9" fillId="7" fontId="9" numFmtId="0" xfId="0" applyAlignment="1" applyBorder="1" applyFont="1">
      <alignment horizontal="center" vertical="bottom"/>
    </xf>
    <xf borderId="9" fillId="0" fontId="7" numFmtId="0" xfId="0" applyAlignment="1" applyBorder="1" applyFont="1">
      <alignment horizontal="center" vertical="bottom"/>
    </xf>
    <xf borderId="9" fillId="8" fontId="10" numFmtId="0" xfId="0" applyAlignment="1" applyBorder="1" applyFill="1" applyFont="1">
      <alignment horizontal="center" vertical="bottom"/>
    </xf>
    <xf borderId="14" fillId="8" fontId="10" numFmtId="0" xfId="0" applyAlignment="1" applyBorder="1" applyFont="1">
      <alignment horizontal="center" vertical="bottom"/>
    </xf>
    <xf borderId="9" fillId="8" fontId="10" numFmtId="0" xfId="0" applyAlignment="1" applyBorder="1" applyFont="1">
      <alignment horizontal="center" shrinkToFit="0" vertical="bottom" wrapText="1"/>
    </xf>
    <xf borderId="14" fillId="8" fontId="10" numFmtId="0" xfId="0" applyAlignment="1" applyBorder="1" applyFont="1">
      <alignment horizontal="center" shrinkToFit="0" vertical="bottom" wrapText="1"/>
    </xf>
    <xf borderId="9" fillId="0" fontId="1" numFmtId="0" xfId="0" applyAlignment="1" applyBorder="1" applyFont="1">
      <alignment horizontal="right" vertical="bottom"/>
    </xf>
    <xf borderId="9" fillId="0" fontId="10" numFmtId="0" xfId="0" applyAlignment="1" applyBorder="1" applyFont="1">
      <alignment vertical="bottom"/>
    </xf>
    <xf borderId="9" fillId="9" fontId="1" numFmtId="0" xfId="0" applyAlignment="1" applyBorder="1" applyFill="1" applyFont="1">
      <alignment vertical="bottom"/>
    </xf>
    <xf borderId="14" fillId="10" fontId="1" numFmtId="0" xfId="0" applyAlignment="1" applyBorder="1" applyFill="1" applyFont="1">
      <alignment vertical="bottom"/>
    </xf>
    <xf borderId="9" fillId="11" fontId="1" numFmtId="0" xfId="0" applyAlignment="1" applyBorder="1" applyFill="1" applyFont="1">
      <alignment vertical="bottom"/>
    </xf>
    <xf borderId="14" fillId="12" fontId="1" numFmtId="0" xfId="0" applyAlignment="1" applyBorder="1" applyFill="1" applyFont="1">
      <alignment vertical="bottom"/>
    </xf>
    <xf borderId="9" fillId="13" fontId="1" numFmtId="0" xfId="0" applyAlignment="1" applyBorder="1" applyFill="1" applyFont="1">
      <alignment vertical="bottom"/>
    </xf>
    <xf borderId="9" fillId="7" fontId="1" numFmtId="0" xfId="0" applyAlignment="1" applyBorder="1" applyFont="1">
      <alignment vertical="bottom"/>
    </xf>
    <xf borderId="14" fillId="14" fontId="11" numFmtId="0" xfId="0" applyAlignment="1" applyBorder="1" applyFill="1" applyFont="1">
      <alignment horizontal="center" shrinkToFit="0" vertical="bottom" wrapText="1"/>
    </xf>
    <xf borderId="9" fillId="9" fontId="1" numFmtId="0" xfId="0" applyAlignment="1" applyBorder="1" applyFont="1">
      <alignment vertical="bottom"/>
    </xf>
    <xf borderId="14" fillId="10" fontId="1" numFmtId="0" xfId="0" applyAlignment="1" applyBorder="1" applyFont="1">
      <alignment vertical="bottom"/>
    </xf>
    <xf borderId="9" fillId="11" fontId="1" numFmtId="0" xfId="0" applyAlignment="1" applyBorder="1" applyFont="1">
      <alignment vertical="bottom"/>
    </xf>
    <xf borderId="14" fillId="12" fontId="1" numFmtId="0" xfId="0" applyAlignment="1" applyBorder="1" applyFont="1">
      <alignment vertical="bottom"/>
    </xf>
    <xf borderId="9" fillId="13" fontId="1" numFmtId="0" xfId="0" applyAlignment="1" applyBorder="1" applyFont="1">
      <alignment vertical="bottom"/>
    </xf>
    <xf borderId="0" fillId="0" fontId="12" numFmtId="0" xfId="0" applyAlignment="1" applyFont="1">
      <alignment readingOrder="0" vertical="bottom"/>
    </xf>
    <xf borderId="14" fillId="3" fontId="1" numFmtId="0" xfId="0" applyAlignment="1" applyBorder="1" applyFont="1">
      <alignment vertical="bottom"/>
    </xf>
    <xf borderId="17" fillId="0" fontId="1" numFmtId="0" xfId="0" applyAlignment="1" applyBorder="1" applyFont="1">
      <alignment vertical="bottom"/>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22" fillId="0" fontId="6" numFmtId="0" xfId="0" applyBorder="1" applyFont="1"/>
    <xf borderId="0" fillId="0" fontId="13" numFmtId="0" xfId="0" applyFont="1"/>
    <xf borderId="0" fillId="0" fontId="14" numFmtId="0" xfId="0" applyFont="1"/>
    <xf borderId="0" fillId="0" fontId="15" numFmtId="0" xfId="0" applyFont="1"/>
    <xf borderId="0" fillId="0" fontId="10" numFmtId="0" xfId="0" applyAlignment="1" applyFont="1">
      <alignment vertical="bottom"/>
    </xf>
    <xf borderId="9" fillId="0" fontId="10" numFmtId="0" xfId="0" applyAlignment="1" applyBorder="1" applyFont="1">
      <alignment shrinkToFit="0" vertical="bottom" wrapText="1"/>
    </xf>
    <xf borderId="0" fillId="0" fontId="1" numFmtId="0" xfId="0" applyAlignment="1" applyFont="1">
      <alignment readingOrder="0" shrinkToFit="0" wrapText="1"/>
    </xf>
    <xf borderId="0" fillId="0" fontId="16" numFmtId="0" xfId="0" applyAlignment="1" applyFont="1">
      <alignment readingOrder="0"/>
    </xf>
    <xf borderId="0" fillId="0" fontId="1" numFmtId="0" xfId="0" applyAlignment="1" applyFont="1">
      <alignment vertical="bottom"/>
    </xf>
    <xf borderId="0" fillId="0" fontId="1" numFmtId="0" xfId="0" applyAlignment="1" applyFont="1">
      <alignment readingOrder="0"/>
    </xf>
    <xf borderId="0" fillId="0" fontId="1" numFmtId="0" xfId="0" applyAlignment="1" applyFont="1">
      <alignment horizontal="left" readingOrder="0" vertical="bottom"/>
    </xf>
    <xf borderId="0" fillId="0" fontId="1" numFmtId="0" xfId="0" applyAlignment="1" applyFont="1">
      <alignment readingOrder="0" vertical="bottom"/>
    </xf>
    <xf borderId="0" fillId="0" fontId="1" numFmtId="0" xfId="0" applyAlignment="1" applyFont="1">
      <alignment vertical="bottom"/>
    </xf>
    <xf borderId="9" fillId="0" fontId="3" numFmtId="0" xfId="0" applyBorder="1" applyFont="1"/>
    <xf borderId="14" fillId="0" fontId="1" numFmtId="0" xfId="0" applyBorder="1" applyFont="1"/>
    <xf borderId="9" fillId="0" fontId="1" numFmtId="0" xfId="0" applyBorder="1" applyFont="1"/>
    <xf borderId="0" fillId="0" fontId="1" numFmtId="0" xfId="0" applyAlignment="1" applyFont="1">
      <alignment horizontal="center" shrinkToFit="0" vertical="center" wrapText="1"/>
    </xf>
    <xf borderId="0" fillId="0" fontId="17" numFmtId="0" xfId="0" applyFont="1"/>
    <xf borderId="0" fillId="0" fontId="18" numFmtId="0" xfId="0" applyAlignment="1" applyFont="1">
      <alignment shrinkToFit="0" wrapText="1"/>
    </xf>
    <xf borderId="0" fillId="15" fontId="13" numFmtId="0" xfId="0" applyFill="1" applyFont="1"/>
    <xf borderId="0" fillId="0" fontId="19" numFmtId="0" xfId="0" applyFont="1"/>
    <xf borderId="9" fillId="4" fontId="1" numFmtId="0" xfId="0" applyAlignment="1" applyBorder="1" applyFont="1">
      <alignment shrinkToFit="0" vertical="bottom" wrapText="1"/>
    </xf>
    <xf borderId="14" fillId="0" fontId="1" numFmtId="0" xfId="0" applyAlignment="1" applyBorder="1" applyFont="1">
      <alignment shrinkToFit="0" wrapText="1"/>
    </xf>
    <xf borderId="9" fillId="4" fontId="1" numFmtId="0" xfId="0" applyAlignment="1" applyBorder="1" applyFont="1">
      <alignment shrinkToFit="0" wrapText="1"/>
    </xf>
    <xf borderId="9" fillId="4" fontId="1" numFmtId="0" xfId="0" applyBorder="1" applyFont="1"/>
    <xf borderId="14" fillId="0" fontId="1" numFmtId="0" xfId="0" applyAlignment="1" applyBorder="1" applyFont="1">
      <alignment readingOrder="0"/>
    </xf>
    <xf borderId="0" fillId="0" fontId="20" numFmtId="0" xfId="0" applyFont="1"/>
    <xf borderId="21" fillId="0" fontId="1" numFmtId="0" xfId="0" applyAlignment="1" applyBorder="1" applyFont="1">
      <alignment shrinkToFit="0" vertical="bottom" wrapText="1"/>
    </xf>
    <xf borderId="0" fillId="0" fontId="21" numFmtId="0" xfId="0" applyAlignment="1" applyFont="1">
      <alignment shrinkToFit="0" wrapText="1"/>
    </xf>
    <xf borderId="14" fillId="0" fontId="1" numFmtId="0" xfId="0" applyAlignment="1" applyBorder="1" applyFont="1">
      <alignment shrinkToFit="0" vertical="bottom" wrapText="1"/>
    </xf>
    <xf borderId="14" fillId="0" fontId="1" numFmtId="0" xfId="0" applyAlignment="1" applyBorder="1" applyFont="1">
      <alignment vertical="bottom"/>
    </xf>
    <xf borderId="14" fillId="14" fontId="1" numFmtId="0" xfId="0" applyAlignment="1" applyBorder="1" applyFont="1">
      <alignment horizontal="center"/>
    </xf>
    <xf borderId="9" fillId="0" fontId="1" numFmtId="0" xfId="0" applyAlignment="1" applyBorder="1" applyFont="1">
      <alignment shrinkToFit="0" wrapText="1"/>
    </xf>
    <xf borderId="14" fillId="0" fontId="1" numFmtId="0" xfId="0" applyAlignment="1" applyBorder="1" applyFont="1">
      <alignment horizontal="center"/>
    </xf>
    <xf borderId="0" fillId="0" fontId="21" numFmtId="0" xfId="0" applyFont="1"/>
    <xf borderId="0" fillId="16" fontId="22" numFmtId="0" xfId="0" applyFill="1" applyFont="1"/>
    <xf borderId="14" fillId="4" fontId="1" numFmtId="0" xfId="0" applyBorder="1" applyFont="1"/>
    <xf borderId="17" fillId="0" fontId="1" numFmtId="0" xfId="0" applyAlignment="1" applyBorder="1" applyFont="1">
      <alignment shrinkToFit="0" wrapText="1"/>
    </xf>
    <xf borderId="17" fillId="0" fontId="1" numFmtId="0" xfId="0" applyBorder="1" applyFont="1"/>
    <xf borderId="0" fillId="16" fontId="22" numFmtId="0" xfId="0" applyAlignment="1" applyFont="1">
      <alignment readingOrder="0"/>
    </xf>
    <xf borderId="0" fillId="0" fontId="18" numFmtId="0" xfId="0" applyFont="1"/>
    <xf borderId="9" fillId="17" fontId="1" numFmtId="0" xfId="0" applyBorder="1" applyFill="1" applyFont="1"/>
    <xf borderId="14" fillId="17" fontId="1" numFmtId="0" xfId="0" applyBorder="1" applyFont="1"/>
    <xf borderId="16" fillId="0" fontId="1" numFmtId="0" xfId="0" applyAlignment="1" applyBorder="1" applyFont="1">
      <alignment vertical="bottom"/>
    </xf>
    <xf borderId="15" fillId="0" fontId="1" numFmtId="0" xfId="0" applyAlignment="1" applyBorder="1" applyFont="1">
      <alignment vertical="bottom"/>
    </xf>
    <xf borderId="9" fillId="18" fontId="1" numFmtId="0" xfId="0" applyAlignment="1" applyBorder="1" applyFill="1" applyFont="1">
      <alignment shrinkToFit="0" wrapText="1"/>
    </xf>
    <xf borderId="14" fillId="18" fontId="1" numFmtId="0" xfId="0" applyBorder="1" applyFont="1"/>
    <xf borderId="9" fillId="5" fontId="1" numFmtId="0" xfId="0" applyBorder="1" applyFont="1"/>
    <xf borderId="14" fillId="0" fontId="23" numFmtId="0" xfId="0" applyAlignment="1" applyBorder="1" applyFont="1">
      <alignment readingOrder="0"/>
    </xf>
    <xf borderId="0" fillId="0" fontId="23" numFmtId="0" xfId="0" applyFont="1"/>
    <xf borderId="23" fillId="0" fontId="6" numFmtId="0" xfId="0" applyBorder="1" applyFont="1"/>
    <xf borderId="24" fillId="0" fontId="6" numFmtId="0" xfId="0" applyBorder="1" applyFont="1"/>
    <xf borderId="14" fillId="0" fontId="23" numFmtId="0" xfId="0" applyBorder="1" applyFont="1"/>
    <xf borderId="0" fillId="0" fontId="24" numFmtId="0" xfId="0" applyFont="1"/>
    <xf borderId="17" fillId="0" fontId="1" numFmtId="0" xfId="0" applyAlignment="1" applyBorder="1" applyFont="1">
      <alignment readingOrder="0" shrinkToFit="0" vertical="center" wrapText="1"/>
    </xf>
    <xf borderId="17" fillId="0" fontId="1" numFmtId="0" xfId="0" applyAlignment="1" applyBorder="1" applyFont="1">
      <alignment readingOrder="0"/>
    </xf>
    <xf borderId="16" fillId="0" fontId="1" numFmtId="0" xfId="0" applyBorder="1" applyFont="1"/>
    <xf borderId="17" fillId="0" fontId="1" numFmtId="0" xfId="0" applyAlignment="1" applyBorder="1" applyFont="1">
      <alignment shrinkToFit="0" vertical="bottom" wrapText="1"/>
    </xf>
    <xf borderId="17" fillId="0" fontId="1" numFmtId="0" xfId="0" applyAlignment="1" applyBorder="1" applyFont="1">
      <alignment readingOrder="0" shrinkToFit="0" wrapText="1"/>
    </xf>
    <xf borderId="0" fillId="0" fontId="2" numFmtId="0" xfId="0" applyAlignment="1" applyFont="1">
      <alignment horizontal="center"/>
    </xf>
    <xf borderId="14" fillId="0" fontId="1" numFmtId="0" xfId="0" applyAlignment="1" applyBorder="1" applyFont="1">
      <alignment readingOrder="0" shrinkToFit="0" vertical="center" wrapText="1"/>
    </xf>
    <xf borderId="17" fillId="0" fontId="25" numFmtId="0" xfId="0" applyAlignment="1" applyBorder="1" applyFont="1">
      <alignment readingOrder="0" vertical="center"/>
    </xf>
    <xf borderId="17" fillId="0" fontId="1" numFmtId="0" xfId="0" applyAlignment="1" applyBorder="1" applyFont="1">
      <alignment horizontal="left" readingOrder="0" shrinkToFit="0" vertical="center" wrapText="1"/>
    </xf>
    <xf borderId="21" fillId="0" fontId="16" numFmtId="0" xfId="0" applyAlignment="1" applyBorder="1" applyFont="1">
      <alignment readingOrder="0"/>
    </xf>
    <xf borderId="15" fillId="0" fontId="1" numFmtId="0" xfId="0" applyBorder="1" applyFont="1"/>
    <xf borderId="0" fillId="0" fontId="15" numFmtId="0" xfId="0" applyAlignment="1" applyFont="1">
      <alignment readingOrder="0"/>
    </xf>
    <xf borderId="15" fillId="0" fontId="16" numFmtId="0" xfId="0" applyAlignment="1" applyBorder="1" applyFont="1">
      <alignment readingOrder="0"/>
    </xf>
    <xf borderId="17" fillId="0" fontId="1" numFmtId="0" xfId="0" applyAlignment="1" applyBorder="1" applyFont="1">
      <alignment horizontal="left" readingOrder="0" vertical="center"/>
    </xf>
    <xf borderId="0" fillId="0" fontId="22"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923925</xdr:colOff>
      <xdr:row>9</xdr:row>
      <xdr:rowOff>180975</xdr:rowOff>
    </xdr:from>
    <xdr:ext cx="7058025" cy="33528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n5es0M20vXxa7i4eLN7pbgTXc2C1dmCQ/view?usp=sharing" TargetMode="External"/><Relationship Id="rId2" Type="http://schemas.openxmlformats.org/officeDocument/2006/relationships/hyperlink" Target="https://youtu.be/C8Q9dKo4t-w?si=yErgF_ihe1tsaHM0"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hyperlink" Target="http://draw.io/" TargetMode="External"/><Relationship Id="rId3" Type="http://schemas.openxmlformats.org/officeDocument/2006/relationships/hyperlink" Target="http://draw.io/"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2" t="s">
        <v>0</v>
      </c>
    </row>
    <row r="3" ht="15.75" customHeight="1">
      <c r="A3" s="1"/>
    </row>
    <row r="4" ht="15.75" customHeight="1">
      <c r="A4" s="1"/>
      <c r="B4" s="3" t="s">
        <v>1</v>
      </c>
      <c r="C4" s="4" t="s">
        <v>2</v>
      </c>
    </row>
    <row r="5">
      <c r="A5" s="1"/>
      <c r="B5" s="5" t="s">
        <v>3</v>
      </c>
      <c r="C5" s="6" t="s">
        <v>4</v>
      </c>
    </row>
    <row r="6">
      <c r="A6" s="1"/>
      <c r="B6" s="5" t="s">
        <v>5</v>
      </c>
    </row>
    <row r="7" ht="15.75" customHeight="1">
      <c r="A7" s="1"/>
    </row>
    <row r="8" ht="15.75" customHeight="1">
      <c r="A8" s="7" t="s">
        <v>6</v>
      </c>
    </row>
    <row r="9" ht="15.75" customHeight="1">
      <c r="A9" s="7" t="s">
        <v>7</v>
      </c>
    </row>
    <row r="10">
      <c r="A10" s="8" t="s">
        <v>8</v>
      </c>
      <c r="B10" s="8" t="s">
        <v>9</v>
      </c>
      <c r="C10" s="8" t="s">
        <v>10</v>
      </c>
      <c r="D10" s="9" t="s">
        <v>11</v>
      </c>
      <c r="E10" s="10"/>
      <c r="F10" s="11"/>
      <c r="G10" s="12" t="s">
        <v>12</v>
      </c>
    </row>
    <row r="11">
      <c r="A11" s="13" t="s">
        <v>13</v>
      </c>
      <c r="B11" s="14">
        <v>10.0</v>
      </c>
      <c r="C11" s="15">
        <v>6.0</v>
      </c>
      <c r="D11" s="16"/>
      <c r="E11" s="10"/>
      <c r="F11" s="11"/>
      <c r="G11" s="17">
        <v>10.0</v>
      </c>
    </row>
    <row r="12" ht="15.75" customHeight="1">
      <c r="A12" s="18" t="s">
        <v>14</v>
      </c>
      <c r="B12" s="14">
        <v>60.0</v>
      </c>
      <c r="C12" s="19">
        <f>Proyectos!C5</f>
        <v>155</v>
      </c>
      <c r="D12" s="16"/>
      <c r="E12" s="10"/>
      <c r="F12" s="11"/>
      <c r="G12" s="17">
        <v>60.0</v>
      </c>
    </row>
    <row r="13" ht="15.75" customHeight="1">
      <c r="A13" s="18" t="s">
        <v>15</v>
      </c>
      <c r="B13" s="14">
        <v>20.0</v>
      </c>
      <c r="C13" s="19">
        <f>Practicas!C5</f>
        <v>40</v>
      </c>
      <c r="D13" s="16"/>
      <c r="E13" s="10"/>
      <c r="F13" s="11"/>
      <c r="G13" s="17">
        <v>20.0</v>
      </c>
    </row>
    <row r="14" ht="15.75" customHeight="1">
      <c r="A14" s="20" t="s">
        <v>16</v>
      </c>
      <c r="B14" s="21">
        <v>10.0</v>
      </c>
      <c r="C14" s="19">
        <f>Tareas!C5</f>
        <v>5</v>
      </c>
      <c r="D14" s="22"/>
      <c r="E14" s="23"/>
      <c r="F14" s="24"/>
      <c r="G14" s="17">
        <v>10.0</v>
      </c>
    </row>
    <row r="15" ht="15.75" customHeight="1">
      <c r="A15" s="25" t="s">
        <v>17</v>
      </c>
      <c r="B15" s="26">
        <f t="shared" ref="B15:C15" si="1">SUM(B11:B14)</f>
        <v>100</v>
      </c>
      <c r="C15" s="26">
        <f t="shared" si="1"/>
        <v>206</v>
      </c>
      <c r="D15" s="27" t="s">
        <v>18</v>
      </c>
      <c r="E15" s="28"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Distribución válida")</f>
        <v>✅ Distribución válida</v>
      </c>
      <c r="F15" s="29"/>
      <c r="G15" s="30"/>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31"/>
      <c r="B1" s="32" t="s">
        <v>19</v>
      </c>
      <c r="Q1" s="31"/>
      <c r="R1" s="31"/>
      <c r="S1" s="31"/>
      <c r="T1" s="31"/>
      <c r="U1" s="31"/>
      <c r="V1" s="31"/>
      <c r="W1" s="31"/>
      <c r="X1" s="31"/>
      <c r="Y1" s="31"/>
      <c r="Z1" s="31"/>
    </row>
    <row r="2">
      <c r="A2" s="31"/>
      <c r="B2" s="3" t="s">
        <v>1</v>
      </c>
      <c r="C2" s="4" t="s">
        <v>2</v>
      </c>
      <c r="I2" s="31"/>
      <c r="J2" s="31"/>
      <c r="K2" s="31"/>
      <c r="L2" s="31"/>
      <c r="M2" s="31"/>
      <c r="N2" s="31"/>
      <c r="O2" s="31"/>
      <c r="P2" s="31"/>
      <c r="Q2" s="31"/>
      <c r="R2" s="31"/>
      <c r="S2" s="31"/>
      <c r="T2" s="31"/>
      <c r="U2" s="31"/>
      <c r="V2" s="31"/>
      <c r="W2" s="31"/>
      <c r="X2" s="31"/>
      <c r="Y2" s="31"/>
      <c r="Z2" s="31"/>
    </row>
    <row r="3">
      <c r="A3" s="31"/>
      <c r="B3" s="3" t="s">
        <v>3</v>
      </c>
      <c r="C3" s="6" t="s">
        <v>4</v>
      </c>
      <c r="I3" s="31"/>
      <c r="J3" s="31"/>
      <c r="K3" s="31"/>
      <c r="L3" s="31"/>
      <c r="M3" s="31"/>
      <c r="N3" s="31"/>
      <c r="O3" s="31"/>
      <c r="P3" s="31"/>
      <c r="Q3" s="31"/>
      <c r="R3" s="31"/>
      <c r="S3" s="31"/>
      <c r="T3" s="31"/>
      <c r="U3" s="31"/>
      <c r="V3" s="31"/>
      <c r="W3" s="31"/>
      <c r="X3" s="31"/>
      <c r="Y3" s="31"/>
      <c r="Z3" s="31"/>
    </row>
    <row r="4">
      <c r="A4" s="31"/>
      <c r="B4" s="31"/>
      <c r="C4" s="31"/>
      <c r="D4" s="31"/>
      <c r="E4" s="31"/>
      <c r="F4" s="31"/>
      <c r="G4" s="31"/>
      <c r="H4" s="31"/>
      <c r="I4" s="31"/>
      <c r="J4" s="31"/>
      <c r="K4" s="31"/>
      <c r="L4" s="31"/>
      <c r="M4" s="31"/>
      <c r="N4" s="31"/>
      <c r="O4" s="31"/>
      <c r="P4" s="31"/>
      <c r="Q4" s="31"/>
      <c r="R4" s="31"/>
      <c r="S4" s="31"/>
      <c r="T4" s="31"/>
      <c r="U4" s="31"/>
      <c r="V4" s="31"/>
      <c r="W4" s="31"/>
      <c r="X4" s="31"/>
      <c r="Y4" s="31"/>
      <c r="Z4" s="31"/>
    </row>
    <row r="5">
      <c r="A5" s="31"/>
      <c r="B5" s="33" t="s">
        <v>20</v>
      </c>
      <c r="C5" s="34"/>
      <c r="D5" s="34"/>
      <c r="E5" s="34"/>
      <c r="F5" s="34"/>
      <c r="G5" s="35"/>
      <c r="H5" s="31"/>
      <c r="I5" s="33" t="s">
        <v>21</v>
      </c>
      <c r="J5" s="34"/>
      <c r="K5" s="34"/>
      <c r="L5" s="34"/>
      <c r="M5" s="34"/>
      <c r="N5" s="34"/>
      <c r="O5" s="34"/>
      <c r="P5" s="35"/>
      <c r="Q5" s="31"/>
      <c r="R5" s="31"/>
      <c r="S5" s="31"/>
      <c r="T5" s="31"/>
      <c r="U5" s="31"/>
      <c r="V5" s="31"/>
      <c r="W5" s="31"/>
      <c r="X5" s="31"/>
      <c r="Y5" s="31"/>
      <c r="Z5" s="31"/>
    </row>
    <row r="6">
      <c r="A6" s="31"/>
      <c r="B6" s="36">
        <v>1.0</v>
      </c>
      <c r="C6" s="37" t="s">
        <v>22</v>
      </c>
      <c r="D6" s="34"/>
      <c r="E6" s="34"/>
      <c r="F6" s="34"/>
      <c r="G6" s="35"/>
      <c r="H6" s="38"/>
      <c r="I6" s="36">
        <v>1.0</v>
      </c>
      <c r="J6" s="37" t="s">
        <v>23</v>
      </c>
      <c r="K6" s="34"/>
      <c r="L6" s="34"/>
      <c r="M6" s="34"/>
      <c r="N6" s="34"/>
      <c r="O6" s="34"/>
      <c r="P6" s="35"/>
      <c r="Q6" s="31"/>
      <c r="R6" s="31"/>
      <c r="S6" s="31"/>
      <c r="T6" s="31"/>
      <c r="U6" s="31"/>
      <c r="V6" s="31"/>
      <c r="W6" s="31"/>
      <c r="X6" s="31"/>
      <c r="Y6" s="31"/>
      <c r="Z6" s="31"/>
    </row>
    <row r="7">
      <c r="A7" s="31"/>
      <c r="B7" s="39">
        <v>2.0</v>
      </c>
      <c r="C7" s="37" t="s">
        <v>24</v>
      </c>
      <c r="D7" s="34"/>
      <c r="E7" s="34"/>
      <c r="F7" s="34"/>
      <c r="G7" s="35"/>
      <c r="H7" s="31"/>
      <c r="I7" s="40">
        <v>2.0</v>
      </c>
      <c r="J7" s="37" t="s">
        <v>25</v>
      </c>
      <c r="K7" s="34"/>
      <c r="L7" s="34"/>
      <c r="M7" s="34"/>
      <c r="N7" s="34"/>
      <c r="O7" s="34"/>
      <c r="P7" s="35"/>
      <c r="Q7" s="31"/>
      <c r="R7" s="31"/>
      <c r="S7" s="31"/>
      <c r="T7" s="31"/>
      <c r="U7" s="31"/>
      <c r="V7" s="31"/>
      <c r="W7" s="31"/>
      <c r="X7" s="31"/>
      <c r="Y7" s="31"/>
      <c r="Z7" s="31"/>
    </row>
    <row r="8">
      <c r="A8" s="31"/>
      <c r="B8" s="39">
        <v>3.0</v>
      </c>
      <c r="C8" s="37" t="s">
        <v>26</v>
      </c>
      <c r="D8" s="34"/>
      <c r="E8" s="34"/>
      <c r="F8" s="34"/>
      <c r="G8" s="35"/>
      <c r="H8" s="31"/>
      <c r="I8" s="40">
        <v>3.0</v>
      </c>
      <c r="J8" s="37" t="s">
        <v>27</v>
      </c>
      <c r="K8" s="34"/>
      <c r="L8" s="34"/>
      <c r="M8" s="34"/>
      <c r="N8" s="34"/>
      <c r="O8" s="34"/>
      <c r="P8" s="35"/>
      <c r="Q8" s="31"/>
      <c r="R8" s="31"/>
      <c r="S8" s="31"/>
      <c r="T8" s="31"/>
      <c r="U8" s="31"/>
      <c r="V8" s="31"/>
      <c r="W8" s="31"/>
      <c r="X8" s="31"/>
      <c r="Y8" s="31"/>
      <c r="Z8" s="31"/>
    </row>
    <row r="9">
      <c r="A9" s="31"/>
      <c r="B9" s="31"/>
      <c r="C9" s="31"/>
      <c r="D9" s="31"/>
      <c r="E9" s="31"/>
      <c r="F9" s="31"/>
      <c r="G9" s="31"/>
      <c r="H9" s="31"/>
      <c r="I9" s="31"/>
      <c r="J9" s="31"/>
      <c r="K9" s="31"/>
      <c r="L9" s="31"/>
      <c r="M9" s="31"/>
      <c r="N9" s="31"/>
      <c r="O9" s="31"/>
      <c r="P9" s="31"/>
      <c r="Q9" s="31"/>
      <c r="R9" s="31"/>
      <c r="S9" s="31"/>
      <c r="T9" s="31"/>
      <c r="U9" s="31"/>
      <c r="V9" s="31"/>
      <c r="W9" s="31"/>
      <c r="X9" s="31"/>
      <c r="Y9" s="31"/>
      <c r="Z9" s="31"/>
    </row>
    <row r="10">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c r="A11" s="31"/>
      <c r="B11" s="41" t="s">
        <v>28</v>
      </c>
      <c r="C11" s="41" t="s">
        <v>29</v>
      </c>
      <c r="D11" s="41" t="s">
        <v>30</v>
      </c>
      <c r="E11" s="42" t="s">
        <v>31</v>
      </c>
      <c r="F11" s="35"/>
      <c r="G11" s="43" t="s">
        <v>32</v>
      </c>
      <c r="H11" s="44" t="s">
        <v>33</v>
      </c>
      <c r="I11" s="35"/>
      <c r="J11" s="41" t="s">
        <v>34</v>
      </c>
      <c r="K11" s="31"/>
      <c r="L11" s="31"/>
      <c r="M11" s="31"/>
      <c r="N11" s="31"/>
      <c r="O11" s="31"/>
      <c r="P11" s="31"/>
      <c r="Q11" s="31"/>
      <c r="R11" s="31"/>
      <c r="S11" s="31"/>
      <c r="T11" s="31"/>
      <c r="U11" s="31"/>
      <c r="V11" s="31"/>
      <c r="W11" s="31"/>
      <c r="X11" s="31"/>
      <c r="Y11" s="31"/>
      <c r="Z11" s="31"/>
    </row>
    <row r="12">
      <c r="A12" s="31"/>
      <c r="B12" s="45">
        <v>1.0</v>
      </c>
      <c r="C12" s="46" t="s">
        <v>35</v>
      </c>
      <c r="D12" s="47" t="s">
        <v>36</v>
      </c>
      <c r="E12" s="48" t="s">
        <v>37</v>
      </c>
      <c r="F12" s="35"/>
      <c r="G12" s="49" t="s">
        <v>38</v>
      </c>
      <c r="H12" s="50" t="s">
        <v>39</v>
      </c>
      <c r="I12" s="35"/>
      <c r="J12" s="51" t="s">
        <v>40</v>
      </c>
      <c r="K12" s="31"/>
      <c r="L12" s="31"/>
      <c r="M12" s="31"/>
      <c r="N12" s="31"/>
      <c r="O12" s="31"/>
      <c r="P12" s="31"/>
      <c r="Q12" s="31"/>
      <c r="R12" s="31"/>
      <c r="S12" s="31"/>
      <c r="T12" s="31"/>
      <c r="U12" s="31"/>
      <c r="V12" s="31"/>
      <c r="W12" s="31"/>
      <c r="X12" s="31"/>
      <c r="Y12" s="31"/>
      <c r="Z12" s="31"/>
    </row>
    <row r="13">
      <c r="A13" s="31"/>
      <c r="B13" s="52"/>
      <c r="C13" s="53" t="s">
        <v>41</v>
      </c>
      <c r="D13" s="34"/>
      <c r="E13" s="34"/>
      <c r="F13" s="34"/>
      <c r="G13" s="34"/>
      <c r="H13" s="34"/>
      <c r="I13" s="34"/>
      <c r="J13" s="35"/>
      <c r="K13" s="31"/>
      <c r="L13" s="31"/>
      <c r="M13" s="31"/>
      <c r="N13" s="31"/>
      <c r="O13" s="31"/>
      <c r="P13" s="31"/>
      <c r="Q13" s="31"/>
      <c r="R13" s="31"/>
      <c r="S13" s="31"/>
      <c r="T13" s="31"/>
      <c r="U13" s="31"/>
      <c r="V13" s="31"/>
      <c r="W13" s="31"/>
      <c r="X13" s="31"/>
      <c r="Y13" s="31"/>
      <c r="Z13" s="31"/>
    </row>
    <row r="14">
      <c r="A14" s="31"/>
      <c r="B14" s="45">
        <v>2.0</v>
      </c>
      <c r="C14" s="46" t="s">
        <v>35</v>
      </c>
      <c r="D14" s="54" t="s">
        <v>42</v>
      </c>
      <c r="E14" s="55" t="s">
        <v>43</v>
      </c>
      <c r="F14" s="35"/>
      <c r="G14" s="56" t="s">
        <v>44</v>
      </c>
      <c r="H14" s="57" t="s">
        <v>45</v>
      </c>
      <c r="I14" s="35"/>
      <c r="J14" s="58" t="s">
        <v>40</v>
      </c>
      <c r="K14" s="31"/>
      <c r="L14" s="31"/>
      <c r="M14" s="31"/>
      <c r="N14" s="31"/>
      <c r="O14" s="31"/>
      <c r="P14" s="31"/>
      <c r="Q14" s="31"/>
      <c r="R14" s="31"/>
      <c r="S14" s="31"/>
      <c r="T14" s="31"/>
      <c r="U14" s="31"/>
      <c r="V14" s="31"/>
      <c r="W14" s="31"/>
      <c r="X14" s="31"/>
      <c r="Y14" s="31"/>
      <c r="Z14" s="31"/>
    </row>
    <row r="15">
      <c r="A15" s="31"/>
      <c r="B15" s="52"/>
      <c r="C15" s="53" t="str">
        <f>D14 &amp; " " &amp; E14 &amp; " " &amp;G14&amp; " " &amp;H14&amp; " " </f>
        <v>Identifica patrones de diseño por medio del análisis de las diferentes necesidades para resolver un problema específico que se adapta a la solución propuesta por el patrón seleccionado. </v>
      </c>
      <c r="D15" s="34"/>
      <c r="E15" s="34"/>
      <c r="F15" s="34"/>
      <c r="G15" s="34"/>
      <c r="H15" s="34"/>
      <c r="I15" s="34"/>
      <c r="J15" s="35"/>
      <c r="K15" s="31"/>
      <c r="L15" s="31"/>
      <c r="M15" s="31"/>
      <c r="N15" s="31"/>
      <c r="O15" s="31"/>
      <c r="P15" s="31"/>
      <c r="Q15" s="31"/>
      <c r="R15" s="31"/>
      <c r="S15" s="31"/>
      <c r="T15" s="31"/>
      <c r="U15" s="31"/>
      <c r="V15" s="31"/>
      <c r="W15" s="31"/>
      <c r="X15" s="31"/>
      <c r="Y15" s="31"/>
      <c r="Z15" s="31"/>
    </row>
    <row r="16">
      <c r="A16" s="31"/>
      <c r="B16" s="45">
        <v>3.0</v>
      </c>
      <c r="C16" s="46" t="s">
        <v>35</v>
      </c>
      <c r="D16" s="54" t="s">
        <v>46</v>
      </c>
      <c r="E16" s="55" t="s">
        <v>47</v>
      </c>
      <c r="F16" s="35"/>
      <c r="G16" s="56" t="s">
        <v>48</v>
      </c>
      <c r="H16" s="57" t="s">
        <v>49</v>
      </c>
      <c r="I16" s="35"/>
      <c r="J16" s="58" t="s">
        <v>50</v>
      </c>
      <c r="K16" s="31"/>
      <c r="L16" s="31"/>
      <c r="M16" s="31"/>
      <c r="N16" s="31"/>
      <c r="O16" s="31"/>
      <c r="P16" s="31"/>
      <c r="Q16" s="31"/>
      <c r="R16" s="31"/>
      <c r="S16" s="31"/>
      <c r="T16" s="31"/>
      <c r="U16" s="31"/>
      <c r="V16" s="31"/>
      <c r="W16" s="31"/>
      <c r="X16" s="31"/>
      <c r="Y16" s="31"/>
      <c r="Z16" s="31"/>
    </row>
    <row r="17">
      <c r="A17" s="31"/>
      <c r="B17" s="52"/>
      <c r="C17" s="53" t="str">
        <f>D16 &amp; " " &amp; E16 &amp; " " &amp;G16&amp; " " &amp;H16&amp; " " </f>
        <v>Integra catalogos de estilo mediante aspectos relacionados con la identidad de la marca u organización para crear interfaces adecuadas dentro del sistema. </v>
      </c>
      <c r="D17" s="34"/>
      <c r="E17" s="34"/>
      <c r="F17" s="34"/>
      <c r="G17" s="34"/>
      <c r="H17" s="34"/>
      <c r="I17" s="34"/>
      <c r="J17" s="35"/>
      <c r="K17" s="31"/>
      <c r="L17" s="31"/>
      <c r="M17" s="31"/>
      <c r="N17" s="31"/>
      <c r="O17" s="31"/>
      <c r="P17" s="31"/>
      <c r="Q17" s="31"/>
      <c r="R17" s="31"/>
      <c r="S17" s="31"/>
      <c r="T17" s="31"/>
      <c r="U17" s="31"/>
      <c r="V17" s="31"/>
      <c r="W17" s="31"/>
      <c r="X17" s="31"/>
      <c r="Y17" s="31"/>
      <c r="Z17" s="31"/>
    </row>
    <row r="18">
      <c r="A18" s="31"/>
      <c r="B18" s="45">
        <v>4.0</v>
      </c>
      <c r="C18" s="46" t="s">
        <v>35</v>
      </c>
      <c r="D18" s="54" t="s">
        <v>51</v>
      </c>
      <c r="E18" s="55" t="s">
        <v>52</v>
      </c>
      <c r="F18" s="35"/>
      <c r="G18" s="56" t="s">
        <v>53</v>
      </c>
      <c r="H18" s="57" t="s">
        <v>54</v>
      </c>
      <c r="I18" s="35"/>
      <c r="J18" s="58" t="s">
        <v>55</v>
      </c>
      <c r="K18" s="31"/>
      <c r="L18" s="31"/>
      <c r="M18" s="31"/>
      <c r="N18" s="31"/>
      <c r="O18" s="31"/>
      <c r="P18" s="31"/>
      <c r="Q18" s="31"/>
      <c r="R18" s="31"/>
      <c r="S18" s="31"/>
      <c r="T18" s="31"/>
      <c r="U18" s="31"/>
      <c r="V18" s="31"/>
      <c r="W18" s="31"/>
      <c r="X18" s="31"/>
      <c r="Y18" s="31"/>
      <c r="Z18" s="31"/>
    </row>
    <row r="19">
      <c r="A19" s="31"/>
      <c r="B19" s="52"/>
      <c r="C19" s="53" t="str">
        <f>D18 &amp; " " &amp; E18 &amp; " " &amp;G18&amp; " " &amp;H18&amp; " " </f>
        <v>Organiza la información del sistema mediante esquemas jerárquicos y categorizados  para facilitar la navegación y la comprensión por parte del usuario. </v>
      </c>
      <c r="D19" s="34"/>
      <c r="E19" s="34"/>
      <c r="F19" s="34"/>
      <c r="G19" s="34"/>
      <c r="H19" s="34"/>
      <c r="I19" s="34"/>
      <c r="J19" s="35"/>
      <c r="K19" s="31"/>
      <c r="L19" s="31"/>
      <c r="M19" s="31"/>
      <c r="N19" s="31"/>
      <c r="O19" s="31"/>
      <c r="P19" s="31"/>
      <c r="Q19" s="31"/>
      <c r="R19" s="31"/>
      <c r="S19" s="31"/>
      <c r="T19" s="31"/>
      <c r="U19" s="31"/>
      <c r="V19" s="31"/>
      <c r="W19" s="31"/>
      <c r="X19" s="31"/>
      <c r="Y19" s="31"/>
      <c r="Z19" s="31"/>
    </row>
    <row r="20">
      <c r="A20" s="31"/>
      <c r="B20" s="45">
        <v>5.0</v>
      </c>
      <c r="C20" s="46" t="s">
        <v>35</v>
      </c>
      <c r="D20" s="54" t="s">
        <v>56</v>
      </c>
      <c r="E20" s="55" t="s">
        <v>57</v>
      </c>
      <c r="F20" s="35"/>
      <c r="G20" s="56" t="s">
        <v>58</v>
      </c>
      <c r="H20" s="57" t="s">
        <v>59</v>
      </c>
      <c r="I20" s="35"/>
      <c r="J20" s="58" t="s">
        <v>55</v>
      </c>
      <c r="K20" s="31"/>
      <c r="L20" s="31"/>
      <c r="M20" s="31"/>
      <c r="N20" s="31"/>
      <c r="O20" s="31"/>
      <c r="P20" s="31"/>
      <c r="Q20" s="31"/>
      <c r="R20" s="31"/>
      <c r="S20" s="31"/>
      <c r="T20" s="31"/>
      <c r="U20" s="31"/>
      <c r="V20" s="31"/>
      <c r="W20" s="31"/>
      <c r="X20" s="31"/>
      <c r="Y20" s="31"/>
      <c r="Z20" s="31"/>
    </row>
    <row r="21">
      <c r="A21" s="31"/>
      <c r="B21" s="52"/>
      <c r="C21" s="53" t="str">
        <f>D20 &amp; " " &amp; E20 &amp; " " &amp;G20&amp; " " &amp;H20&amp; " " </f>
        <v>Diseña arquitecturas de software  mediante la definición de componentes, conexiones y capas del sistema para asegurar la funcionalidad, rendimiento y escalabilidad del producto final </v>
      </c>
      <c r="D21" s="34"/>
      <c r="E21" s="34"/>
      <c r="F21" s="34"/>
      <c r="G21" s="34"/>
      <c r="H21" s="34"/>
      <c r="I21" s="34"/>
      <c r="J21" s="35"/>
      <c r="K21" s="31"/>
      <c r="L21" s="31"/>
      <c r="M21" s="31"/>
      <c r="N21" s="31"/>
      <c r="O21" s="31"/>
      <c r="P21" s="31"/>
      <c r="Q21" s="31"/>
      <c r="R21" s="31"/>
      <c r="S21" s="31"/>
      <c r="T21" s="31"/>
      <c r="U21" s="31"/>
      <c r="V21" s="31"/>
      <c r="W21" s="31"/>
      <c r="X21" s="31"/>
      <c r="Y21" s="31"/>
      <c r="Z21" s="31"/>
    </row>
    <row r="22">
      <c r="A22" s="31"/>
      <c r="B22" s="45">
        <v>6.0</v>
      </c>
      <c r="C22" s="46" t="s">
        <v>60</v>
      </c>
      <c r="D22" s="54" t="s">
        <v>61</v>
      </c>
      <c r="E22" s="55" t="s">
        <v>62</v>
      </c>
      <c r="F22" s="35"/>
      <c r="G22" s="56" t="s">
        <v>63</v>
      </c>
      <c r="H22" s="57" t="s">
        <v>64</v>
      </c>
      <c r="I22" s="35"/>
      <c r="J22" s="58" t="s">
        <v>50</v>
      </c>
      <c r="K22" s="31"/>
      <c r="L22" s="31"/>
      <c r="M22" s="31"/>
      <c r="N22" s="31"/>
      <c r="O22" s="31"/>
      <c r="P22" s="31"/>
      <c r="Q22" s="31"/>
      <c r="R22" s="31"/>
      <c r="S22" s="31"/>
      <c r="T22" s="31"/>
      <c r="U22" s="31"/>
      <c r="V22" s="31"/>
      <c r="W22" s="31"/>
      <c r="X22" s="31"/>
      <c r="Y22" s="31"/>
      <c r="Z22" s="31"/>
    </row>
    <row r="23">
      <c r="A23" s="31"/>
      <c r="B23" s="52"/>
      <c r="C23" s="53" t="str">
        <f>D22 &amp; " " &amp; E22 &amp; " " &amp;G22&amp; " " &amp;H22&amp; " " </f>
        <v>Aplica principios y técnicas de análisis y diseño de sistemas mediante metodologías, modelos y herramientas de ingeniería de software para desarrollar sistemas eficientes, mantenibles y alineados con los requisitos del usuario </v>
      </c>
      <c r="D23" s="34"/>
      <c r="E23" s="34"/>
      <c r="F23" s="34"/>
      <c r="G23" s="34"/>
      <c r="H23" s="34"/>
      <c r="I23" s="34"/>
      <c r="J23" s="35"/>
      <c r="K23" s="31"/>
      <c r="L23" s="31"/>
      <c r="M23" s="31"/>
      <c r="N23" s="31"/>
      <c r="O23" s="31"/>
      <c r="P23" s="31"/>
      <c r="Q23" s="31"/>
      <c r="R23" s="31"/>
      <c r="S23" s="31"/>
      <c r="T23" s="31"/>
      <c r="U23" s="31"/>
      <c r="V23" s="31"/>
      <c r="W23" s="31"/>
      <c r="X23" s="31"/>
      <c r="Y23" s="31"/>
      <c r="Z23" s="31"/>
    </row>
    <row r="24">
      <c r="A24" s="31"/>
      <c r="B24" s="45">
        <v>7.0</v>
      </c>
      <c r="C24" s="46" t="s">
        <v>60</v>
      </c>
      <c r="D24" s="54" t="s">
        <v>65</v>
      </c>
      <c r="E24" s="55" t="s">
        <v>66</v>
      </c>
      <c r="F24" s="35"/>
      <c r="G24" s="56" t="s">
        <v>67</v>
      </c>
      <c r="H24" s="57" t="s">
        <v>68</v>
      </c>
      <c r="I24" s="35"/>
      <c r="J24" s="58" t="s">
        <v>69</v>
      </c>
      <c r="K24" s="31"/>
      <c r="L24" s="31"/>
      <c r="M24" s="31"/>
      <c r="N24" s="31"/>
      <c r="O24" s="31"/>
      <c r="P24" s="31"/>
      <c r="Q24" s="31"/>
      <c r="R24" s="31"/>
      <c r="S24" s="31"/>
      <c r="T24" s="31"/>
      <c r="U24" s="31"/>
      <c r="V24" s="31"/>
      <c r="W24" s="31"/>
      <c r="X24" s="31"/>
      <c r="Y24" s="31"/>
      <c r="Z24" s="31"/>
    </row>
    <row r="25">
      <c r="A25" s="31"/>
      <c r="B25" s="52"/>
      <c r="C25" s="53" t="str">
        <f>D24 &amp; " " &amp; E24 &amp; " " &amp;G24&amp; " " &amp;H24&amp; " " </f>
        <v>Recuerda la importancia de las decisiones de diseño y arquitectura mediante el análisis de casos prácticos y ejemplos de sistemas reales para fortalecer la capacidad de aplicar soluciones coherentes y efectivas en proyectos de software </v>
      </c>
      <c r="D25" s="34"/>
      <c r="E25" s="34"/>
      <c r="F25" s="34"/>
      <c r="G25" s="34"/>
      <c r="H25" s="34"/>
      <c r="I25" s="34"/>
      <c r="J25" s="35"/>
      <c r="K25" s="31"/>
      <c r="L25" s="59" t="s">
        <v>70</v>
      </c>
      <c r="T25" s="31"/>
      <c r="U25" s="31"/>
      <c r="V25" s="31"/>
      <c r="W25" s="31"/>
      <c r="X25" s="31"/>
      <c r="Y25" s="31"/>
      <c r="Z25" s="31"/>
    </row>
    <row r="26">
      <c r="A26" s="31"/>
      <c r="B26" s="31"/>
      <c r="C26" s="31"/>
      <c r="D26" s="31"/>
      <c r="E26" s="31"/>
      <c r="F26" s="31"/>
      <c r="G26" s="31"/>
      <c r="H26" s="31"/>
      <c r="I26" s="31"/>
      <c r="J26" s="31"/>
      <c r="K26" s="31"/>
      <c r="L26" s="59" t="s">
        <v>71</v>
      </c>
      <c r="T26" s="31"/>
      <c r="U26" s="31"/>
      <c r="V26" s="31"/>
      <c r="W26" s="31"/>
      <c r="X26" s="31"/>
      <c r="Y26" s="31"/>
      <c r="Z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c r="A28" s="31"/>
      <c r="B28" s="60" t="s">
        <v>72</v>
      </c>
      <c r="C28" s="34"/>
      <c r="D28" s="34"/>
      <c r="E28" s="34"/>
      <c r="F28" s="34"/>
      <c r="G28" s="34"/>
      <c r="H28" s="34"/>
      <c r="I28" s="34"/>
      <c r="J28" s="35"/>
      <c r="K28" s="31"/>
      <c r="L28" s="31"/>
      <c r="M28" s="31"/>
      <c r="N28" s="31"/>
      <c r="O28" s="31"/>
      <c r="P28" s="31"/>
      <c r="Q28" s="31"/>
      <c r="R28" s="31"/>
      <c r="S28" s="31"/>
      <c r="T28" s="31"/>
      <c r="U28" s="31"/>
      <c r="V28" s="31"/>
      <c r="W28" s="31"/>
      <c r="X28" s="31"/>
      <c r="Y28" s="31"/>
      <c r="Z28" s="31"/>
    </row>
    <row r="29">
      <c r="A29" s="31"/>
      <c r="B29" s="61"/>
      <c r="C29" s="62"/>
      <c r="D29" s="62"/>
      <c r="E29" s="62"/>
      <c r="F29" s="62"/>
      <c r="G29" s="62"/>
      <c r="H29" s="62"/>
      <c r="I29" s="62"/>
      <c r="J29" s="63"/>
      <c r="K29" s="31"/>
      <c r="L29" s="31"/>
      <c r="M29" s="31"/>
      <c r="N29" s="31"/>
      <c r="O29" s="31"/>
      <c r="P29" s="31"/>
      <c r="Q29" s="31"/>
      <c r="R29" s="31"/>
      <c r="S29" s="31"/>
      <c r="T29" s="31"/>
      <c r="U29" s="31"/>
      <c r="V29" s="31"/>
      <c r="W29" s="31"/>
      <c r="X29" s="31"/>
      <c r="Y29" s="31"/>
      <c r="Z29" s="31"/>
    </row>
    <row r="30">
      <c r="A30" s="31"/>
      <c r="B30" s="64"/>
      <c r="C30" s="65"/>
      <c r="D30" s="65"/>
      <c r="E30" s="65"/>
      <c r="F30" s="65"/>
      <c r="G30" s="65"/>
      <c r="H30" s="65"/>
      <c r="I30" s="65"/>
      <c r="J30" s="66"/>
      <c r="K30" s="31"/>
      <c r="L30" s="31"/>
      <c r="M30" s="31"/>
      <c r="N30" s="31"/>
      <c r="O30" s="31"/>
      <c r="P30" s="31"/>
      <c r="Q30" s="31"/>
      <c r="R30" s="31"/>
      <c r="S30" s="31"/>
      <c r="T30" s="31"/>
      <c r="U30" s="31"/>
      <c r="V30" s="31"/>
      <c r="W30" s="31"/>
      <c r="X30" s="31"/>
      <c r="Y30" s="31"/>
      <c r="Z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row>
  </sheetData>
  <mergeCells count="38">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L25:S25"/>
    <mergeCell ref="L26:S26"/>
    <mergeCell ref="B28:J28"/>
    <mergeCell ref="B29:J30"/>
    <mergeCell ref="H18:I18"/>
    <mergeCell ref="C19:J19"/>
    <mergeCell ref="E20:F20"/>
    <mergeCell ref="H20:I20"/>
    <mergeCell ref="C21:J21"/>
    <mergeCell ref="H22:I22"/>
    <mergeCell ref="C23:J23"/>
  </mergeCells>
  <dataValidations>
    <dataValidation type="list" allowBlank="1" showErrorMessage="1" sqref="C12 C14 C16 C18 C20 C22 C24">
      <formula1>"Especifica,General"</formula1>
    </dataValidation>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L25"/>
    <hyperlink r:id="rId2" ref="L26"/>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5" max="5" width="52.13"/>
    <col customWidth="1" min="6" max="6" width="50.13"/>
  </cols>
  <sheetData>
    <row r="1" ht="15.75" customHeight="1"/>
    <row r="2" ht="15.75" customHeight="1">
      <c r="A2" s="67"/>
      <c r="B2" s="68" t="s">
        <v>73</v>
      </c>
    </row>
    <row r="3" ht="15.75" customHeight="1"/>
    <row r="4" ht="15.75" customHeight="1">
      <c r="B4" s="3" t="s">
        <v>1</v>
      </c>
      <c r="C4" s="4" t="s">
        <v>2</v>
      </c>
    </row>
    <row r="5" ht="15.75" customHeight="1">
      <c r="B5" s="3" t="s">
        <v>74</v>
      </c>
      <c r="C5" s="6" t="s">
        <v>4</v>
      </c>
    </row>
    <row r="6" ht="15.75" customHeight="1">
      <c r="H6" s="69"/>
    </row>
    <row r="7" ht="15.75" customHeight="1">
      <c r="H7" s="69"/>
    </row>
    <row r="8" ht="15.75" customHeight="1">
      <c r="A8" s="70"/>
      <c r="B8" s="46" t="s">
        <v>75</v>
      </c>
      <c r="C8" s="71" t="s">
        <v>76</v>
      </c>
      <c r="D8" s="46" t="s">
        <v>77</v>
      </c>
      <c r="E8" s="46" t="s">
        <v>78</v>
      </c>
      <c r="F8" s="46" t="s">
        <v>79</v>
      </c>
      <c r="G8" s="46" t="s">
        <v>80</v>
      </c>
      <c r="H8" s="46" t="s">
        <v>81</v>
      </c>
    </row>
    <row r="9" ht="15.75" customHeight="1">
      <c r="B9" s="6">
        <v>1.0</v>
      </c>
      <c r="C9" s="72" t="s">
        <v>82</v>
      </c>
      <c r="D9" s="73" t="s">
        <v>83</v>
      </c>
      <c r="E9" s="74" t="s">
        <v>84</v>
      </c>
      <c r="F9" s="73" t="s">
        <v>83</v>
      </c>
      <c r="G9" s="73" t="s">
        <v>85</v>
      </c>
      <c r="H9" s="75">
        <v>2.0</v>
      </c>
    </row>
    <row r="10" ht="15.75" customHeight="1">
      <c r="B10" s="6">
        <v>2.0</v>
      </c>
      <c r="C10" s="72" t="s">
        <v>82</v>
      </c>
      <c r="D10" s="73" t="s">
        <v>83</v>
      </c>
      <c r="E10" s="74" t="s">
        <v>84</v>
      </c>
      <c r="F10" s="73" t="s">
        <v>86</v>
      </c>
      <c r="G10" s="73" t="s">
        <v>85</v>
      </c>
      <c r="H10" s="75">
        <v>2.0</v>
      </c>
    </row>
    <row r="11" ht="15.75" customHeight="1">
      <c r="B11" s="6">
        <v>3.0</v>
      </c>
      <c r="C11" s="72" t="s">
        <v>82</v>
      </c>
      <c r="D11" s="73" t="s">
        <v>83</v>
      </c>
      <c r="E11" s="74" t="s">
        <v>84</v>
      </c>
      <c r="F11" s="73" t="s">
        <v>87</v>
      </c>
      <c r="G11" s="73" t="s">
        <v>85</v>
      </c>
      <c r="H11" s="75">
        <v>2.0</v>
      </c>
    </row>
    <row r="12" ht="15.75" customHeight="1">
      <c r="B12" s="6">
        <v>4.0</v>
      </c>
      <c r="C12" s="72" t="s">
        <v>82</v>
      </c>
      <c r="D12" s="73" t="s">
        <v>83</v>
      </c>
      <c r="E12" s="74" t="s">
        <v>84</v>
      </c>
      <c r="F12" s="73" t="s">
        <v>88</v>
      </c>
      <c r="G12" s="73" t="s">
        <v>85</v>
      </c>
      <c r="H12" s="75">
        <v>2.0</v>
      </c>
    </row>
    <row r="13" ht="15.75" customHeight="1">
      <c r="B13" s="6">
        <v>5.0</v>
      </c>
      <c r="C13" s="72" t="s">
        <v>82</v>
      </c>
      <c r="D13" s="73" t="s">
        <v>83</v>
      </c>
      <c r="E13" s="74" t="s">
        <v>84</v>
      </c>
      <c r="F13" s="73" t="s">
        <v>89</v>
      </c>
      <c r="G13" s="73" t="s">
        <v>85</v>
      </c>
      <c r="H13" s="75">
        <v>2.0</v>
      </c>
    </row>
    <row r="14" ht="15.75" customHeight="1">
      <c r="B14" s="6">
        <v>6.0</v>
      </c>
      <c r="C14" s="72" t="s">
        <v>82</v>
      </c>
      <c r="D14" s="73" t="s">
        <v>83</v>
      </c>
      <c r="E14" s="74" t="s">
        <v>84</v>
      </c>
      <c r="F14" s="73" t="s">
        <v>90</v>
      </c>
      <c r="G14" s="73" t="s">
        <v>85</v>
      </c>
      <c r="H14" s="75">
        <v>2.0</v>
      </c>
    </row>
    <row r="15" ht="15.75" customHeight="1">
      <c r="B15" s="6">
        <v>7.0</v>
      </c>
      <c r="C15" s="72" t="s">
        <v>82</v>
      </c>
      <c r="D15" s="73" t="s">
        <v>83</v>
      </c>
      <c r="E15" s="74" t="s">
        <v>84</v>
      </c>
      <c r="F15" s="74" t="s">
        <v>91</v>
      </c>
      <c r="G15" s="73" t="s">
        <v>92</v>
      </c>
      <c r="H15" s="75">
        <v>3.0</v>
      </c>
    </row>
    <row r="16" ht="15.75" customHeight="1">
      <c r="B16" s="6">
        <v>8.0</v>
      </c>
      <c r="C16" s="72" t="s">
        <v>82</v>
      </c>
      <c r="D16" s="73" t="s">
        <v>83</v>
      </c>
      <c r="E16" s="74" t="s">
        <v>84</v>
      </c>
      <c r="F16" s="74" t="s">
        <v>93</v>
      </c>
      <c r="G16" s="73" t="s">
        <v>92</v>
      </c>
      <c r="H16" s="75">
        <v>3.0</v>
      </c>
    </row>
    <row r="17" ht="15.75" customHeight="1">
      <c r="B17" s="6">
        <v>9.0</v>
      </c>
      <c r="C17" s="72" t="s">
        <v>82</v>
      </c>
      <c r="D17" s="73" t="s">
        <v>83</v>
      </c>
      <c r="E17" s="74" t="s">
        <v>84</v>
      </c>
      <c r="F17" s="74" t="s">
        <v>94</v>
      </c>
      <c r="G17" s="73" t="s">
        <v>92</v>
      </c>
      <c r="H17" s="75">
        <v>3.0</v>
      </c>
    </row>
    <row r="18" ht="15.75" customHeight="1">
      <c r="B18" s="6">
        <v>10.0</v>
      </c>
      <c r="C18" s="72" t="s">
        <v>82</v>
      </c>
      <c r="D18" s="73" t="s">
        <v>83</v>
      </c>
      <c r="E18" s="74" t="s">
        <v>84</v>
      </c>
      <c r="F18" s="74" t="s">
        <v>95</v>
      </c>
      <c r="G18" s="73" t="s">
        <v>92</v>
      </c>
      <c r="H18" s="75">
        <v>3.0</v>
      </c>
    </row>
    <row r="19" ht="15.75" customHeight="1">
      <c r="B19" s="6">
        <v>11.0</v>
      </c>
      <c r="C19" s="72" t="s">
        <v>82</v>
      </c>
      <c r="D19" s="73" t="s">
        <v>83</v>
      </c>
      <c r="E19" s="74" t="s">
        <v>84</v>
      </c>
      <c r="F19" s="74" t="s">
        <v>91</v>
      </c>
      <c r="G19" s="73" t="s">
        <v>92</v>
      </c>
      <c r="H19" s="75">
        <v>3.0</v>
      </c>
    </row>
    <row r="20" ht="15.75" customHeight="1">
      <c r="B20" s="6">
        <v>12.0</v>
      </c>
      <c r="C20" s="72" t="s">
        <v>82</v>
      </c>
      <c r="D20" s="73" t="s">
        <v>83</v>
      </c>
      <c r="E20" s="74" t="s">
        <v>84</v>
      </c>
      <c r="F20" s="74" t="s">
        <v>96</v>
      </c>
      <c r="G20" s="73" t="s">
        <v>92</v>
      </c>
      <c r="H20" s="75">
        <v>3.0</v>
      </c>
    </row>
    <row r="21" ht="15.75" customHeight="1">
      <c r="B21" s="6">
        <v>13.0</v>
      </c>
      <c r="C21" s="72" t="s">
        <v>82</v>
      </c>
      <c r="D21" s="73" t="s">
        <v>83</v>
      </c>
      <c r="E21" s="74" t="s">
        <v>84</v>
      </c>
      <c r="F21" s="74" t="s">
        <v>97</v>
      </c>
      <c r="G21" s="73" t="s">
        <v>92</v>
      </c>
      <c r="H21" s="75">
        <v>3.0</v>
      </c>
    </row>
    <row r="22" ht="15.75" customHeight="1">
      <c r="B22" s="6">
        <v>14.0</v>
      </c>
      <c r="C22" s="72" t="s">
        <v>82</v>
      </c>
      <c r="D22" s="73" t="s">
        <v>83</v>
      </c>
      <c r="E22" s="73" t="s">
        <v>84</v>
      </c>
      <c r="F22" s="73" t="s">
        <v>98</v>
      </c>
      <c r="G22" s="73" t="s">
        <v>92</v>
      </c>
      <c r="H22" s="75">
        <v>4.0</v>
      </c>
    </row>
    <row r="23" ht="15.75" customHeight="1">
      <c r="B23" s="6">
        <v>15.0</v>
      </c>
      <c r="C23" s="72" t="s">
        <v>82</v>
      </c>
      <c r="D23" s="73" t="s">
        <v>83</v>
      </c>
      <c r="E23" s="73" t="s">
        <v>84</v>
      </c>
      <c r="F23" s="73" t="s">
        <v>99</v>
      </c>
      <c r="G23" s="73" t="s">
        <v>92</v>
      </c>
      <c r="H23" s="75">
        <v>4.0</v>
      </c>
    </row>
    <row r="24" ht="15.75" customHeight="1">
      <c r="B24" s="6">
        <v>16.0</v>
      </c>
      <c r="C24" s="72" t="s">
        <v>82</v>
      </c>
      <c r="D24" s="73" t="s">
        <v>83</v>
      </c>
      <c r="E24" s="73" t="s">
        <v>84</v>
      </c>
      <c r="F24" s="73" t="s">
        <v>100</v>
      </c>
      <c r="G24" s="73" t="s">
        <v>92</v>
      </c>
      <c r="H24" s="75">
        <v>4.0</v>
      </c>
    </row>
    <row r="25" ht="15.75" customHeight="1">
      <c r="B25" s="6">
        <v>17.0</v>
      </c>
      <c r="C25" s="72" t="s">
        <v>82</v>
      </c>
      <c r="D25" s="73" t="s">
        <v>83</v>
      </c>
      <c r="E25" s="73" t="s">
        <v>84</v>
      </c>
      <c r="F25" s="73" t="s">
        <v>101</v>
      </c>
      <c r="G25" s="73" t="s">
        <v>92</v>
      </c>
      <c r="H25" s="75">
        <v>5.0</v>
      </c>
    </row>
    <row r="26" ht="15.75" customHeight="1">
      <c r="B26" s="6">
        <v>18.0</v>
      </c>
      <c r="C26" s="72" t="s">
        <v>82</v>
      </c>
      <c r="D26" s="73" t="s">
        <v>83</v>
      </c>
      <c r="E26" s="73" t="s">
        <v>84</v>
      </c>
      <c r="F26" s="73" t="s">
        <v>102</v>
      </c>
      <c r="G26" s="73" t="s">
        <v>92</v>
      </c>
      <c r="H26" s="75">
        <v>5.0</v>
      </c>
    </row>
    <row r="27" ht="15.75" customHeight="1">
      <c r="B27" s="6">
        <v>19.0</v>
      </c>
      <c r="C27" s="72" t="s">
        <v>82</v>
      </c>
      <c r="D27" s="73" t="s">
        <v>83</v>
      </c>
      <c r="E27" s="73" t="s">
        <v>84</v>
      </c>
      <c r="F27" s="73" t="s">
        <v>103</v>
      </c>
      <c r="G27" s="73" t="s">
        <v>92</v>
      </c>
      <c r="H27" s="75">
        <v>5.0</v>
      </c>
    </row>
    <row r="28" ht="15.75" customHeight="1">
      <c r="B28" s="6">
        <v>20.0</v>
      </c>
      <c r="C28" s="72" t="s">
        <v>82</v>
      </c>
      <c r="D28" s="73" t="s">
        <v>83</v>
      </c>
      <c r="E28" s="73" t="s">
        <v>84</v>
      </c>
      <c r="F28" s="73" t="s">
        <v>104</v>
      </c>
      <c r="G28" s="73" t="s">
        <v>92</v>
      </c>
      <c r="H28" s="75">
        <v>5.0</v>
      </c>
    </row>
    <row r="29" ht="15.75" customHeight="1">
      <c r="B29" s="6">
        <v>21.0</v>
      </c>
      <c r="C29" s="72" t="s">
        <v>105</v>
      </c>
      <c r="D29" s="76" t="s">
        <v>106</v>
      </c>
      <c r="E29" s="74" t="s">
        <v>107</v>
      </c>
      <c r="F29" s="74" t="s">
        <v>108</v>
      </c>
      <c r="G29" s="73" t="s">
        <v>92</v>
      </c>
      <c r="H29" s="75">
        <v>6.0</v>
      </c>
    </row>
    <row r="30" ht="15.75" customHeight="1">
      <c r="B30" s="6">
        <v>22.0</v>
      </c>
      <c r="C30" s="72" t="s">
        <v>109</v>
      </c>
      <c r="D30" s="76" t="s">
        <v>106</v>
      </c>
      <c r="E30" s="74" t="s">
        <v>107</v>
      </c>
      <c r="F30" s="74" t="s">
        <v>110</v>
      </c>
      <c r="G30" s="73" t="s">
        <v>92</v>
      </c>
      <c r="H30" s="75">
        <v>6.0</v>
      </c>
    </row>
    <row r="31" ht="15.75" customHeight="1">
      <c r="B31" s="6">
        <v>23.0</v>
      </c>
      <c r="C31" s="72" t="s">
        <v>105</v>
      </c>
      <c r="D31" s="76" t="s">
        <v>106</v>
      </c>
      <c r="E31" s="74" t="s">
        <v>107</v>
      </c>
      <c r="F31" s="74" t="s">
        <v>111</v>
      </c>
      <c r="G31" s="73" t="s">
        <v>92</v>
      </c>
      <c r="H31" s="75">
        <v>6.0</v>
      </c>
    </row>
    <row r="32" ht="15.75" customHeight="1">
      <c r="B32" s="6">
        <v>24.0</v>
      </c>
      <c r="C32" s="72" t="s">
        <v>105</v>
      </c>
      <c r="D32" s="76" t="s">
        <v>106</v>
      </c>
      <c r="E32" s="74" t="s">
        <v>107</v>
      </c>
      <c r="F32" s="77" t="s">
        <v>112</v>
      </c>
      <c r="G32" s="73" t="s">
        <v>92</v>
      </c>
      <c r="H32" s="75">
        <v>6.0</v>
      </c>
    </row>
    <row r="33" ht="15.75" customHeight="1">
      <c r="B33" s="6">
        <v>25.0</v>
      </c>
      <c r="C33" s="72" t="s">
        <v>113</v>
      </c>
      <c r="D33" s="76" t="s">
        <v>106</v>
      </c>
      <c r="E33" s="74" t="s">
        <v>114</v>
      </c>
      <c r="F33" s="74" t="s">
        <v>115</v>
      </c>
      <c r="G33" s="73" t="s">
        <v>116</v>
      </c>
      <c r="H33" s="75">
        <v>7.0</v>
      </c>
    </row>
    <row r="34" ht="15.75" customHeight="1">
      <c r="B34" s="6">
        <v>26.0</v>
      </c>
      <c r="C34" s="72" t="s">
        <v>113</v>
      </c>
      <c r="D34" s="76" t="s">
        <v>106</v>
      </c>
      <c r="E34" s="74" t="s">
        <v>114</v>
      </c>
      <c r="F34" s="74" t="s">
        <v>117</v>
      </c>
      <c r="G34" s="73" t="s">
        <v>116</v>
      </c>
      <c r="H34" s="75">
        <v>7.0</v>
      </c>
    </row>
    <row r="35" ht="15.75" customHeight="1">
      <c r="B35" s="6">
        <v>27.0</v>
      </c>
      <c r="C35" s="72" t="s">
        <v>113</v>
      </c>
      <c r="D35" s="76" t="s">
        <v>106</v>
      </c>
      <c r="E35" s="74" t="s">
        <v>114</v>
      </c>
      <c r="F35" s="74" t="s">
        <v>118</v>
      </c>
      <c r="G35" s="73" t="s">
        <v>116</v>
      </c>
      <c r="H35" s="75">
        <v>7.0</v>
      </c>
    </row>
    <row r="36" ht="15.75" customHeight="1">
      <c r="B36" s="6">
        <v>28.0</v>
      </c>
      <c r="C36" s="72" t="s">
        <v>113</v>
      </c>
      <c r="D36" s="76" t="s">
        <v>106</v>
      </c>
      <c r="E36" s="74" t="s">
        <v>114</v>
      </c>
      <c r="F36" s="74" t="s">
        <v>119</v>
      </c>
      <c r="G36" s="73" t="s">
        <v>116</v>
      </c>
      <c r="H36" s="75">
        <v>7.0</v>
      </c>
    </row>
    <row r="37" ht="15.75" customHeight="1">
      <c r="B37" s="6">
        <v>29.0</v>
      </c>
      <c r="C37" s="72" t="s">
        <v>113</v>
      </c>
      <c r="D37" s="76" t="s">
        <v>106</v>
      </c>
      <c r="E37" s="74" t="s">
        <v>114</v>
      </c>
      <c r="F37" s="74" t="s">
        <v>120</v>
      </c>
      <c r="G37" s="73" t="s">
        <v>116</v>
      </c>
      <c r="H37" s="75">
        <v>7.0</v>
      </c>
    </row>
    <row r="38" ht="15.75" customHeight="1">
      <c r="B38" s="6">
        <v>30.0</v>
      </c>
      <c r="C38" s="72" t="s">
        <v>113</v>
      </c>
      <c r="D38" s="76" t="s">
        <v>106</v>
      </c>
      <c r="E38" s="74" t="s">
        <v>114</v>
      </c>
      <c r="F38" s="74" t="s">
        <v>121</v>
      </c>
      <c r="G38" s="73" t="s">
        <v>116</v>
      </c>
      <c r="H38" s="75">
        <v>7.0</v>
      </c>
    </row>
    <row r="39" ht="15.75" customHeight="1">
      <c r="B39" s="6">
        <v>31.0</v>
      </c>
      <c r="C39" s="72" t="s">
        <v>113</v>
      </c>
      <c r="D39" s="76" t="s">
        <v>106</v>
      </c>
      <c r="E39" s="74" t="s">
        <v>114</v>
      </c>
      <c r="F39" s="74" t="s">
        <v>122</v>
      </c>
      <c r="G39" s="73" t="s">
        <v>116</v>
      </c>
      <c r="H39" s="75">
        <v>7.0</v>
      </c>
    </row>
    <row r="40" ht="15.75" customHeight="1">
      <c r="B40" s="6">
        <v>32.0</v>
      </c>
      <c r="C40" s="72" t="s">
        <v>123</v>
      </c>
      <c r="D40" s="73" t="s">
        <v>124</v>
      </c>
      <c r="E40" s="73" t="s">
        <v>125</v>
      </c>
      <c r="F40" s="75" t="s">
        <v>126</v>
      </c>
      <c r="G40" s="73" t="s">
        <v>116</v>
      </c>
      <c r="H40" s="73">
        <v>8.0</v>
      </c>
    </row>
    <row r="41" ht="15.75" customHeight="1">
      <c r="B41" s="6">
        <v>33.0</v>
      </c>
      <c r="C41" s="72" t="s">
        <v>123</v>
      </c>
      <c r="D41" s="73" t="s">
        <v>124</v>
      </c>
      <c r="E41" s="73" t="s">
        <v>125</v>
      </c>
      <c r="F41" s="75" t="s">
        <v>127</v>
      </c>
      <c r="G41" s="73" t="s">
        <v>116</v>
      </c>
      <c r="H41" s="73">
        <v>8.0</v>
      </c>
    </row>
    <row r="42" ht="15.75" customHeight="1">
      <c r="B42" s="6">
        <v>34.0</v>
      </c>
      <c r="C42" s="72" t="s">
        <v>123</v>
      </c>
      <c r="D42" s="73" t="s">
        <v>124</v>
      </c>
      <c r="E42" s="73" t="s">
        <v>125</v>
      </c>
      <c r="F42" s="75" t="s">
        <v>128</v>
      </c>
      <c r="G42" s="73" t="s">
        <v>116</v>
      </c>
      <c r="H42" s="73">
        <v>8.0</v>
      </c>
    </row>
    <row r="43" ht="15.75" customHeight="1">
      <c r="B43" s="6">
        <v>35.0</v>
      </c>
      <c r="C43" s="72" t="s">
        <v>123</v>
      </c>
      <c r="D43" s="73" t="s">
        <v>124</v>
      </c>
      <c r="E43" s="73" t="s">
        <v>125</v>
      </c>
      <c r="F43" s="75" t="s">
        <v>129</v>
      </c>
      <c r="G43" s="73" t="s">
        <v>116</v>
      </c>
      <c r="H43" s="73">
        <v>8.0</v>
      </c>
    </row>
    <row r="44" ht="15.75" customHeight="1">
      <c r="B44" s="6">
        <v>36.0</v>
      </c>
      <c r="C44" s="72" t="s">
        <v>123</v>
      </c>
      <c r="D44" s="73" t="s">
        <v>124</v>
      </c>
      <c r="E44" s="73" t="s">
        <v>125</v>
      </c>
      <c r="F44" s="75" t="s">
        <v>130</v>
      </c>
      <c r="G44" s="73" t="s">
        <v>116</v>
      </c>
      <c r="H44" s="73">
        <v>8.0</v>
      </c>
    </row>
    <row r="45" ht="15.75" customHeight="1">
      <c r="B45" s="6">
        <v>37.0</v>
      </c>
      <c r="C45" s="72" t="s">
        <v>123</v>
      </c>
      <c r="D45" s="73" t="s">
        <v>124</v>
      </c>
      <c r="E45" s="73" t="s">
        <v>125</v>
      </c>
      <c r="F45" s="75" t="s">
        <v>131</v>
      </c>
      <c r="G45" s="73" t="s">
        <v>116</v>
      </c>
      <c r="H45" s="73">
        <v>8.0</v>
      </c>
    </row>
    <row r="46" ht="15.75" customHeight="1">
      <c r="B46" s="6">
        <v>38.0</v>
      </c>
      <c r="C46" s="72" t="s">
        <v>123</v>
      </c>
      <c r="D46" s="73" t="s">
        <v>124</v>
      </c>
      <c r="E46" s="73" t="s">
        <v>125</v>
      </c>
      <c r="F46" s="75" t="s">
        <v>132</v>
      </c>
      <c r="G46" s="73" t="s">
        <v>116</v>
      </c>
      <c r="H46" s="73">
        <v>8.0</v>
      </c>
    </row>
    <row r="47" ht="15.75" customHeight="1">
      <c r="B47" s="6">
        <v>39.0</v>
      </c>
      <c r="C47" s="72" t="s">
        <v>123</v>
      </c>
      <c r="D47" s="76" t="s">
        <v>124</v>
      </c>
      <c r="E47" s="74" t="s">
        <v>133</v>
      </c>
      <c r="F47" s="74" t="s">
        <v>134</v>
      </c>
      <c r="G47" s="73" t="s">
        <v>116</v>
      </c>
      <c r="H47" s="75">
        <v>9.0</v>
      </c>
    </row>
    <row r="48" ht="15.75" customHeight="1">
      <c r="B48" s="6">
        <v>40.0</v>
      </c>
      <c r="C48" s="72" t="s">
        <v>123</v>
      </c>
      <c r="D48" s="76" t="s">
        <v>124</v>
      </c>
      <c r="E48" s="74" t="s">
        <v>133</v>
      </c>
      <c r="F48" s="74" t="s">
        <v>135</v>
      </c>
      <c r="G48" s="73" t="s">
        <v>116</v>
      </c>
      <c r="H48" s="75">
        <v>9.0</v>
      </c>
    </row>
    <row r="49" ht="15.75" customHeight="1">
      <c r="B49" s="6">
        <v>41.0</v>
      </c>
      <c r="C49" s="72" t="s">
        <v>123</v>
      </c>
      <c r="D49" s="76" t="s">
        <v>124</v>
      </c>
      <c r="E49" s="74" t="s">
        <v>133</v>
      </c>
      <c r="F49" s="74" t="s">
        <v>128</v>
      </c>
      <c r="G49" s="73" t="s">
        <v>116</v>
      </c>
      <c r="H49" s="75">
        <v>9.0</v>
      </c>
    </row>
    <row r="50" ht="15.75" customHeight="1">
      <c r="B50" s="6">
        <v>42.0</v>
      </c>
      <c r="C50" s="72" t="s">
        <v>123</v>
      </c>
      <c r="D50" s="76" t="s">
        <v>124</v>
      </c>
      <c r="E50" s="74" t="s">
        <v>133</v>
      </c>
      <c r="F50" s="74" t="s">
        <v>136</v>
      </c>
      <c r="G50" s="73" t="s">
        <v>116</v>
      </c>
      <c r="H50" s="75">
        <v>9.0</v>
      </c>
    </row>
    <row r="51" ht="15.75" customHeight="1">
      <c r="B51" s="6">
        <v>43.0</v>
      </c>
      <c r="C51" s="72" t="s">
        <v>123</v>
      </c>
      <c r="D51" s="76" t="s">
        <v>124</v>
      </c>
      <c r="E51" s="74" t="s">
        <v>133</v>
      </c>
      <c r="F51" s="74" t="s">
        <v>137</v>
      </c>
      <c r="G51" s="73" t="s">
        <v>116</v>
      </c>
      <c r="H51" s="75">
        <v>9.0</v>
      </c>
    </row>
    <row r="52" ht="15.75" customHeight="1">
      <c r="B52" s="6">
        <v>44.0</v>
      </c>
      <c r="C52" s="72" t="s">
        <v>123</v>
      </c>
      <c r="D52" s="76" t="s">
        <v>124</v>
      </c>
      <c r="E52" s="74" t="s">
        <v>133</v>
      </c>
      <c r="F52" s="74" t="s">
        <v>138</v>
      </c>
      <c r="G52" s="73" t="s">
        <v>116</v>
      </c>
      <c r="H52" s="75">
        <v>9.0</v>
      </c>
    </row>
    <row r="53" ht="15.75" customHeight="1">
      <c r="B53" s="6">
        <v>45.0</v>
      </c>
      <c r="C53" s="72" t="s">
        <v>123</v>
      </c>
      <c r="D53" s="76" t="s">
        <v>124</v>
      </c>
      <c r="E53" s="74" t="s">
        <v>133</v>
      </c>
      <c r="F53" s="74" t="s">
        <v>139</v>
      </c>
      <c r="G53" s="73" t="s">
        <v>116</v>
      </c>
      <c r="H53" s="75">
        <v>9.0</v>
      </c>
    </row>
    <row r="54" ht="15.75" customHeight="1">
      <c r="B54" s="6">
        <v>46.0</v>
      </c>
      <c r="C54" s="72" t="s">
        <v>123</v>
      </c>
      <c r="D54" s="76" t="s">
        <v>140</v>
      </c>
      <c r="E54" s="74" t="s">
        <v>133</v>
      </c>
      <c r="F54" s="74" t="s">
        <v>141</v>
      </c>
      <c r="G54" s="73" t="s">
        <v>142</v>
      </c>
      <c r="H54" s="75">
        <v>10.0</v>
      </c>
    </row>
    <row r="55" ht="15.75" customHeight="1">
      <c r="B55" s="6">
        <v>47.0</v>
      </c>
      <c r="C55" s="72" t="s">
        <v>123</v>
      </c>
      <c r="D55" s="76" t="s">
        <v>140</v>
      </c>
      <c r="E55" s="74" t="s">
        <v>141</v>
      </c>
      <c r="F55" s="74" t="s">
        <v>143</v>
      </c>
      <c r="G55" s="73" t="s">
        <v>142</v>
      </c>
      <c r="H55" s="75">
        <v>10.0</v>
      </c>
    </row>
    <row r="56" ht="15.75" customHeight="1">
      <c r="B56" s="6">
        <v>48.0</v>
      </c>
      <c r="C56" s="72" t="s">
        <v>123</v>
      </c>
      <c r="D56" s="76" t="s">
        <v>140</v>
      </c>
      <c r="E56" s="74" t="s">
        <v>141</v>
      </c>
      <c r="F56" s="74" t="s">
        <v>144</v>
      </c>
      <c r="G56" s="73" t="s">
        <v>142</v>
      </c>
      <c r="H56" s="75">
        <v>10.0</v>
      </c>
    </row>
    <row r="57" ht="15.75" customHeight="1">
      <c r="B57" s="6">
        <v>49.0</v>
      </c>
      <c r="C57" s="72" t="s">
        <v>123</v>
      </c>
      <c r="D57" s="76" t="s">
        <v>140</v>
      </c>
      <c r="E57" s="74" t="s">
        <v>141</v>
      </c>
      <c r="F57" s="74" t="s">
        <v>145</v>
      </c>
      <c r="G57" s="73" t="s">
        <v>142</v>
      </c>
      <c r="H57" s="75">
        <v>10.0</v>
      </c>
    </row>
    <row r="58" ht="15.75" customHeight="1">
      <c r="B58" s="6">
        <v>50.0</v>
      </c>
      <c r="C58" s="72" t="s">
        <v>123</v>
      </c>
      <c r="D58" s="76" t="s">
        <v>140</v>
      </c>
      <c r="E58" s="74" t="s">
        <v>141</v>
      </c>
      <c r="F58" s="74" t="s">
        <v>146</v>
      </c>
      <c r="G58" s="73" t="s">
        <v>142</v>
      </c>
      <c r="H58" s="75">
        <v>10.0</v>
      </c>
    </row>
    <row r="59" ht="15.75" customHeight="1">
      <c r="B59" s="6">
        <v>51.0</v>
      </c>
      <c r="C59" s="72" t="s">
        <v>123</v>
      </c>
      <c r="D59" s="76" t="s">
        <v>140</v>
      </c>
      <c r="E59" s="74" t="s">
        <v>141</v>
      </c>
      <c r="F59" s="74" t="s">
        <v>147</v>
      </c>
      <c r="G59" s="73" t="s">
        <v>142</v>
      </c>
      <c r="H59" s="75">
        <v>10.0</v>
      </c>
    </row>
    <row r="60" ht="15.75" customHeight="1">
      <c r="B60" s="6">
        <v>52.0</v>
      </c>
      <c r="C60" s="72" t="s">
        <v>123</v>
      </c>
      <c r="D60" s="76" t="s">
        <v>140</v>
      </c>
      <c r="E60" s="74" t="s">
        <v>141</v>
      </c>
      <c r="F60" s="74" t="s">
        <v>148</v>
      </c>
      <c r="G60" s="78" t="s">
        <v>142</v>
      </c>
      <c r="H60" s="75">
        <v>10.0</v>
      </c>
    </row>
    <row r="61" ht="15.75" customHeight="1">
      <c r="B61" s="6">
        <v>53.0</v>
      </c>
      <c r="C61" s="72" t="s">
        <v>149</v>
      </c>
      <c r="D61" s="73" t="s">
        <v>150</v>
      </c>
      <c r="E61" s="73" t="s">
        <v>151</v>
      </c>
      <c r="F61" s="73" t="s">
        <v>152</v>
      </c>
      <c r="G61" s="74" t="s">
        <v>142</v>
      </c>
      <c r="H61" s="73">
        <v>11.0</v>
      </c>
    </row>
    <row r="62" ht="15.75" customHeight="1">
      <c r="B62" s="6">
        <v>54.0</v>
      </c>
      <c r="C62" s="72" t="s">
        <v>149</v>
      </c>
      <c r="D62" s="73" t="s">
        <v>150</v>
      </c>
      <c r="E62" s="73" t="s">
        <v>151</v>
      </c>
      <c r="F62" s="73" t="s">
        <v>153</v>
      </c>
      <c r="G62" s="74" t="s">
        <v>142</v>
      </c>
      <c r="H62" s="73">
        <v>11.0</v>
      </c>
    </row>
    <row r="63" ht="15.75" customHeight="1">
      <c r="B63" s="6">
        <v>55.0</v>
      </c>
      <c r="C63" s="72" t="s">
        <v>149</v>
      </c>
      <c r="D63" s="73" t="s">
        <v>150</v>
      </c>
      <c r="E63" s="73" t="s">
        <v>151</v>
      </c>
      <c r="F63" s="73" t="s">
        <v>154</v>
      </c>
      <c r="G63" s="74" t="s">
        <v>142</v>
      </c>
      <c r="H63" s="73">
        <v>11.0</v>
      </c>
    </row>
    <row r="64" ht="15.75" customHeight="1">
      <c r="B64" s="6">
        <v>56.0</v>
      </c>
      <c r="C64" s="72" t="s">
        <v>149</v>
      </c>
      <c r="D64" s="73" t="s">
        <v>150</v>
      </c>
      <c r="E64" s="73" t="s">
        <v>151</v>
      </c>
      <c r="F64" s="73" t="s">
        <v>155</v>
      </c>
      <c r="G64" s="74" t="s">
        <v>142</v>
      </c>
      <c r="H64" s="73">
        <v>11.0</v>
      </c>
    </row>
    <row r="65" ht="15.75" customHeight="1">
      <c r="B65" s="6">
        <v>57.0</v>
      </c>
      <c r="C65" s="72" t="s">
        <v>149</v>
      </c>
      <c r="D65" s="73" t="s">
        <v>150</v>
      </c>
      <c r="E65" s="73" t="s">
        <v>151</v>
      </c>
      <c r="F65" s="73" t="s">
        <v>156</v>
      </c>
      <c r="G65" s="74" t="s">
        <v>142</v>
      </c>
      <c r="H65" s="73">
        <v>11.0</v>
      </c>
    </row>
    <row r="66" ht="15.75" customHeight="1">
      <c r="B66" s="6">
        <v>58.0</v>
      </c>
      <c r="C66" s="72" t="s">
        <v>149</v>
      </c>
      <c r="D66" s="73" t="s">
        <v>150</v>
      </c>
      <c r="E66" s="73" t="s">
        <v>151</v>
      </c>
      <c r="F66" s="73" t="s">
        <v>157</v>
      </c>
      <c r="G66" s="74" t="s">
        <v>142</v>
      </c>
      <c r="H66" s="73">
        <v>11.0</v>
      </c>
    </row>
    <row r="67" ht="15.75" customHeight="1">
      <c r="B67" s="6">
        <v>59.0</v>
      </c>
      <c r="C67" s="72" t="s">
        <v>149</v>
      </c>
      <c r="D67" s="73" t="s">
        <v>150</v>
      </c>
      <c r="E67" s="73" t="s">
        <v>151</v>
      </c>
      <c r="F67" s="73" t="s">
        <v>158</v>
      </c>
      <c r="G67" s="74" t="s">
        <v>142</v>
      </c>
      <c r="H67" s="73">
        <v>11.0</v>
      </c>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67">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68" t="s">
        <v>73</v>
      </c>
    </row>
    <row r="3" ht="15.75" customHeight="1"/>
    <row r="4" ht="15.75" customHeight="1">
      <c r="B4" s="79" t="s">
        <v>1</v>
      </c>
      <c r="C4" s="80" t="str">
        <f>'Diseño'!C4</f>
        <v>785 - Análisis y Diseño de Sistemas 2</v>
      </c>
      <c r="D4" s="34"/>
      <c r="E4" s="34"/>
      <c r="F4" s="34"/>
      <c r="G4" s="35"/>
    </row>
    <row r="5" ht="15.75" customHeight="1">
      <c r="B5" s="81" t="s">
        <v>81</v>
      </c>
      <c r="C5" s="80">
        <v>1.0</v>
      </c>
      <c r="D5" s="34"/>
      <c r="E5" s="34"/>
      <c r="F5" s="34"/>
      <c r="G5" s="35"/>
    </row>
    <row r="6" ht="15.75" customHeight="1">
      <c r="B6" s="81" t="s">
        <v>159</v>
      </c>
      <c r="C6" s="80">
        <f>B15+B22+B29+B41+B47+C48</f>
        <v>106</v>
      </c>
      <c r="D6" s="34"/>
      <c r="E6" s="34"/>
      <c r="F6" s="34"/>
      <c r="G6" s="35"/>
    </row>
    <row r="7" ht="15.75" customHeight="1"/>
    <row r="8" ht="15.75" customHeight="1">
      <c r="K8" s="82" t="s">
        <v>160</v>
      </c>
    </row>
    <row r="9" ht="15.75" customHeight="1">
      <c r="A9" s="83" t="s">
        <v>161</v>
      </c>
      <c r="G9" s="84" t="s">
        <v>162</v>
      </c>
      <c r="H9" s="85">
        <f>B15</f>
        <v>15</v>
      </c>
    </row>
    <row r="10" ht="15.75" customHeight="1">
      <c r="G10" s="86" t="s">
        <v>163</v>
      </c>
    </row>
    <row r="11" ht="24.75" customHeight="1">
      <c r="A11" s="87" t="s">
        <v>164</v>
      </c>
      <c r="B11" s="80" t="s">
        <v>165</v>
      </c>
      <c r="C11" s="34"/>
      <c r="D11" s="34"/>
      <c r="E11" s="34"/>
      <c r="F11" s="34"/>
      <c r="G11" s="34"/>
      <c r="H11" s="35"/>
    </row>
    <row r="12">
      <c r="A12" s="87" t="s">
        <v>166</v>
      </c>
      <c r="B12" s="88" t="s">
        <v>167</v>
      </c>
      <c r="C12" s="34"/>
      <c r="D12" s="34"/>
      <c r="E12" s="34"/>
      <c r="F12" s="34"/>
      <c r="G12" s="34"/>
      <c r="H12" s="35"/>
    </row>
    <row r="13">
      <c r="A13" s="89" t="s">
        <v>168</v>
      </c>
      <c r="B13" s="88" t="s">
        <v>169</v>
      </c>
      <c r="C13" s="34"/>
      <c r="D13" s="34"/>
      <c r="E13" s="34"/>
      <c r="F13" s="34"/>
      <c r="G13" s="34"/>
      <c r="H13" s="35"/>
    </row>
    <row r="14">
      <c r="A14" s="89" t="s">
        <v>170</v>
      </c>
      <c r="B14" s="88" t="s">
        <v>171</v>
      </c>
      <c r="C14" s="34"/>
      <c r="D14" s="34"/>
      <c r="E14" s="34"/>
      <c r="F14" s="34"/>
      <c r="G14" s="34"/>
      <c r="H14" s="35"/>
    </row>
    <row r="15" ht="15.75" customHeight="1">
      <c r="A15" s="90" t="s">
        <v>172</v>
      </c>
      <c r="B15" s="91">
        <v>15.0</v>
      </c>
      <c r="C15" s="34"/>
      <c r="D15" s="34"/>
      <c r="E15" s="34"/>
      <c r="F15" s="34"/>
      <c r="G15" s="34"/>
      <c r="H15" s="35"/>
    </row>
    <row r="16" ht="15.75" customHeight="1"/>
    <row r="17" ht="15.75" customHeight="1"/>
    <row r="18" ht="15.75" customHeight="1">
      <c r="A18" s="92" t="s">
        <v>173</v>
      </c>
      <c r="G18" s="84" t="s">
        <v>162</v>
      </c>
      <c r="H18" s="85">
        <f>B22</f>
        <v>25</v>
      </c>
    </row>
    <row r="19" ht="15.75" customHeight="1">
      <c r="G19" s="86" t="s">
        <v>174</v>
      </c>
      <c r="K19" s="82" t="s">
        <v>175</v>
      </c>
    </row>
    <row r="20">
      <c r="A20" s="87" t="s">
        <v>176</v>
      </c>
      <c r="B20" s="93" t="s">
        <v>177</v>
      </c>
      <c r="C20" s="65"/>
      <c r="D20" s="65"/>
      <c r="E20" s="65"/>
      <c r="F20" s="65"/>
      <c r="G20" s="65"/>
      <c r="H20" s="66"/>
    </row>
    <row r="21">
      <c r="A21" s="87" t="s">
        <v>178</v>
      </c>
      <c r="B21" s="37" t="s">
        <v>179</v>
      </c>
      <c r="C21" s="34"/>
      <c r="D21" s="34"/>
      <c r="E21" s="34"/>
      <c r="F21" s="34"/>
      <c r="G21" s="34"/>
      <c r="H21" s="35"/>
    </row>
    <row r="22">
      <c r="A22" s="90" t="s">
        <v>172</v>
      </c>
      <c r="B22" s="91">
        <v>25.0</v>
      </c>
      <c r="C22" s="34"/>
      <c r="D22" s="34"/>
      <c r="E22" s="34"/>
      <c r="F22" s="34"/>
      <c r="G22" s="34"/>
      <c r="H22" s="35"/>
    </row>
    <row r="23" ht="15.75" customHeight="1"/>
    <row r="24" ht="15.75" customHeight="1"/>
    <row r="25" ht="15.75" customHeight="1">
      <c r="A25" s="92" t="s">
        <v>180</v>
      </c>
      <c r="G25" s="94" t="s">
        <v>162</v>
      </c>
      <c r="H25" s="85">
        <f>B29</f>
        <v>10</v>
      </c>
    </row>
    <row r="26" ht="15.75" customHeight="1">
      <c r="G26" s="86" t="s">
        <v>181</v>
      </c>
      <c r="H26" s="86"/>
      <c r="I26" s="86"/>
      <c r="J26" s="86"/>
    </row>
    <row r="27" ht="39.75" customHeight="1">
      <c r="A27" s="87" t="s">
        <v>182</v>
      </c>
      <c r="B27" s="95" t="s">
        <v>183</v>
      </c>
      <c r="C27" s="34"/>
      <c r="D27" s="34"/>
      <c r="E27" s="34"/>
      <c r="F27" s="34"/>
      <c r="G27" s="34"/>
      <c r="H27" s="35"/>
      <c r="K27" s="82" t="s">
        <v>184</v>
      </c>
    </row>
    <row r="28" ht="69.75" customHeight="1">
      <c r="A28" s="87" t="s">
        <v>185</v>
      </c>
      <c r="B28" s="96" t="s">
        <v>186</v>
      </c>
      <c r="C28" s="34"/>
      <c r="D28" s="34"/>
      <c r="E28" s="34"/>
      <c r="F28" s="34"/>
      <c r="G28" s="34"/>
      <c r="H28" s="35"/>
    </row>
    <row r="29" ht="15.75" customHeight="1">
      <c r="A29" s="90" t="s">
        <v>172</v>
      </c>
      <c r="B29" s="91">
        <v>10.0</v>
      </c>
      <c r="C29" s="34"/>
      <c r="D29" s="34"/>
      <c r="E29" s="34"/>
      <c r="F29" s="34"/>
      <c r="G29" s="34"/>
      <c r="H29" s="35"/>
    </row>
    <row r="30" ht="15.75" customHeight="1"/>
    <row r="31" ht="15.75" customHeight="1"/>
    <row r="32" ht="15.75" customHeight="1">
      <c r="A32" s="92" t="s">
        <v>187</v>
      </c>
      <c r="G32" s="94" t="s">
        <v>162</v>
      </c>
      <c r="H32" s="85">
        <f>B36</f>
        <v>0</v>
      </c>
    </row>
    <row r="33" ht="15.75" customHeight="1">
      <c r="A33" s="69" t="s">
        <v>188</v>
      </c>
      <c r="G33" s="69" t="s">
        <v>189</v>
      </c>
    </row>
    <row r="34">
      <c r="A34" s="87" t="s">
        <v>190</v>
      </c>
      <c r="B34" s="37" t="s">
        <v>191</v>
      </c>
      <c r="C34" s="34"/>
      <c r="D34" s="34"/>
      <c r="E34" s="34"/>
      <c r="F34" s="34"/>
      <c r="G34" s="34"/>
      <c r="H34" s="35"/>
      <c r="K34" s="82" t="s">
        <v>192</v>
      </c>
    </row>
    <row r="35">
      <c r="A35" s="87" t="s">
        <v>193</v>
      </c>
      <c r="B35" s="37" t="s">
        <v>194</v>
      </c>
      <c r="C35" s="34"/>
      <c r="D35" s="34"/>
      <c r="E35" s="34"/>
      <c r="F35" s="34"/>
      <c r="G35" s="34"/>
      <c r="H35" s="35"/>
    </row>
    <row r="36" ht="15.75" customHeight="1">
      <c r="A36" s="90" t="s">
        <v>172</v>
      </c>
      <c r="B36" s="91">
        <v>0.0</v>
      </c>
      <c r="C36" s="34"/>
      <c r="D36" s="34"/>
      <c r="E36" s="34"/>
      <c r="F36" s="34"/>
      <c r="G36" s="34"/>
      <c r="H36" s="35"/>
    </row>
    <row r="37" ht="15.75" customHeight="1"/>
    <row r="38" ht="15.75" customHeight="1"/>
    <row r="39" ht="15.75" customHeight="1">
      <c r="A39" s="92" t="s">
        <v>195</v>
      </c>
      <c r="G39" s="94" t="s">
        <v>162</v>
      </c>
      <c r="H39" s="85">
        <f>B41</f>
        <v>41</v>
      </c>
    </row>
    <row r="40" ht="15.75" customHeight="1">
      <c r="G40" s="86" t="s">
        <v>196</v>
      </c>
    </row>
    <row r="41" ht="15.75" customHeight="1">
      <c r="A41" s="90" t="s">
        <v>172</v>
      </c>
      <c r="B41" s="37">
        <v>41.0</v>
      </c>
      <c r="C41" s="34"/>
      <c r="D41" s="34"/>
      <c r="E41" s="34"/>
      <c r="F41" s="34"/>
      <c r="G41" s="34"/>
      <c r="H41" s="35"/>
    </row>
    <row r="42" ht="15.75" customHeight="1"/>
    <row r="43" ht="15.75" customHeight="1"/>
    <row r="44" ht="15.75" customHeight="1">
      <c r="A44" s="92" t="s">
        <v>197</v>
      </c>
      <c r="G44" s="94" t="s">
        <v>162</v>
      </c>
      <c r="H44" s="85" t="str">
        <f>B46</f>
        <v>1. Es un framework de desarrollo
Angular
2. No es un tipo de patrón de diseño
Inspiracional
3. Representa principios fundamentales de diseño orientado a objetos
SOLID
4. ¿Los patrones de diseño son técnicas para resolver problemas recurrentes de diseño de software?
Verdadero
5. ¿Qué es el diseño UX?
Diseño de experiencia de usuario 
6. ¿El diseño UI se enfoca en el despliegue en la nube?
Falso
7. Ventaja de realizar pruebas de software
Garantizar la calidad del software
8. Las pruebas funcionales se centran en aspectos como el rendimiento, seguridad, usabilidad, etc.
Falso
9. Es una prueba no funcional
Prueba de carga 
10. ¿Qué equipos involucra DevOps?
Desarrollo y operaciones</v>
      </c>
    </row>
    <row r="45" ht="15.75" customHeight="1">
      <c r="G45" s="86" t="s">
        <v>163</v>
      </c>
    </row>
    <row r="46">
      <c r="A46" s="87" t="s">
        <v>198</v>
      </c>
      <c r="B46" s="96" t="s">
        <v>199</v>
      </c>
      <c r="C46" s="34"/>
      <c r="D46" s="34"/>
      <c r="E46" s="34"/>
      <c r="F46" s="34"/>
      <c r="G46" s="34"/>
      <c r="H46" s="35"/>
    </row>
    <row r="47" ht="15.75" customHeight="1">
      <c r="A47" s="90" t="s">
        <v>172</v>
      </c>
      <c r="B47" s="91">
        <v>15.0</v>
      </c>
      <c r="C47" s="34"/>
      <c r="D47" s="34"/>
      <c r="E47" s="34"/>
      <c r="F47" s="34"/>
      <c r="G47" s="34"/>
      <c r="H47" s="35"/>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200</v>
      </c>
    </row>
    <row r="3" ht="15.75" customHeight="1"/>
    <row r="4" ht="15.75" customHeight="1">
      <c r="B4" s="79" t="s">
        <v>1</v>
      </c>
      <c r="C4" s="97" t="str">
        <f>'Diseño'!C4</f>
        <v>785 - Análisis y Diseño de Sistemas 2</v>
      </c>
      <c r="D4" s="34"/>
      <c r="E4" s="34"/>
      <c r="F4" s="34"/>
      <c r="G4" s="35"/>
    </row>
    <row r="5" ht="15.75" customHeight="1">
      <c r="B5" s="81" t="s">
        <v>81</v>
      </c>
      <c r="C5" s="80">
        <v>2.0</v>
      </c>
      <c r="D5" s="34"/>
      <c r="E5" s="34"/>
      <c r="F5" s="34"/>
      <c r="G5" s="35"/>
    </row>
    <row r="6" ht="15.75" customHeight="1">
      <c r="B6" s="98" t="s">
        <v>159</v>
      </c>
      <c r="C6" s="80">
        <f>H10+H21+H44+H68</f>
        <v>100</v>
      </c>
      <c r="D6" s="34"/>
      <c r="E6" s="34"/>
      <c r="F6" s="34"/>
      <c r="G6" s="35"/>
      <c r="I6" s="6"/>
    </row>
    <row r="7" ht="15.75" customHeight="1">
      <c r="B7" s="98" t="s">
        <v>201</v>
      </c>
      <c r="C7" s="80">
        <f>B49+B60</f>
        <v>1</v>
      </c>
      <c r="D7" s="34"/>
      <c r="E7" s="34"/>
      <c r="F7" s="34"/>
      <c r="G7" s="35"/>
    </row>
    <row r="8">
      <c r="B8" s="98" t="s">
        <v>202</v>
      </c>
      <c r="C8" s="99" t="str">
        <f>IF(H44&lt;=0, "❌ ERROR: La Actividad 1 debe tener un tiempo mayor a 0.", IF(H21&gt;60, "❌ ERROR: El 'Área de Conocimiento' no puede exceder los 60 min.", IF((H10+H21+H44+H68)&lt;100, "❌ ERROR: El tiempo total debe ser de al menos 100 min.", "✅ VALIDACIÓN CORRECTA")))</f>
        <v>✅ VALIDACIÓN CORRECTA</v>
      </c>
      <c r="D8" s="34"/>
      <c r="E8" s="34"/>
      <c r="F8" s="34"/>
      <c r="G8" s="35"/>
      <c r="I8" s="6"/>
      <c r="J8" s="6"/>
      <c r="K8" s="6"/>
    </row>
    <row r="9" ht="15.75" customHeight="1"/>
    <row r="10" ht="15.75" customHeight="1">
      <c r="A10" s="100" t="s">
        <v>203</v>
      </c>
      <c r="G10" s="94" t="s">
        <v>162</v>
      </c>
      <c r="H10" s="101">
        <f>B13</f>
        <v>5</v>
      </c>
    </row>
    <row r="11" ht="15.75" customHeight="1">
      <c r="G11" s="86" t="s">
        <v>204</v>
      </c>
    </row>
    <row r="12" ht="15.75" customHeight="1">
      <c r="A12" s="89" t="s">
        <v>205</v>
      </c>
      <c r="B12" s="91" t="s">
        <v>206</v>
      </c>
      <c r="C12" s="34"/>
      <c r="D12" s="34"/>
      <c r="E12" s="34"/>
      <c r="F12" s="34"/>
      <c r="G12" s="34"/>
      <c r="H12" s="35"/>
    </row>
    <row r="13" ht="15.75" customHeight="1">
      <c r="A13" s="90" t="s">
        <v>162</v>
      </c>
      <c r="B13" s="91">
        <v>5.0</v>
      </c>
      <c r="C13" s="34"/>
      <c r="D13" s="34"/>
      <c r="E13" s="34"/>
      <c r="F13" s="34"/>
      <c r="G13" s="34"/>
      <c r="H13" s="35"/>
    </row>
    <row r="14" ht="15.75" customHeight="1">
      <c r="A14" s="102" t="s">
        <v>207</v>
      </c>
      <c r="B14" s="34"/>
      <c r="C14" s="34"/>
      <c r="D14" s="34"/>
      <c r="E14" s="34"/>
      <c r="F14" s="34"/>
      <c r="G14" s="34"/>
      <c r="H14" s="35"/>
    </row>
    <row r="15" ht="15.75" customHeight="1">
      <c r="A15" s="103" t="s">
        <v>208</v>
      </c>
      <c r="B15" s="62"/>
      <c r="C15" s="62"/>
      <c r="D15" s="62"/>
      <c r="E15" s="62"/>
      <c r="F15" s="62"/>
      <c r="G15" s="62"/>
      <c r="H15" s="63"/>
    </row>
    <row r="16" ht="18.0" customHeight="1">
      <c r="A16" s="64"/>
      <c r="B16" s="65"/>
      <c r="C16" s="65"/>
      <c r="D16" s="65"/>
      <c r="E16" s="65"/>
      <c r="F16" s="65"/>
      <c r="G16" s="65"/>
      <c r="H16" s="66"/>
    </row>
    <row r="17" ht="15.75" customHeight="1">
      <c r="A17" s="102" t="s">
        <v>209</v>
      </c>
      <c r="B17" s="34"/>
      <c r="C17" s="34"/>
      <c r="D17" s="34"/>
      <c r="E17" s="34"/>
      <c r="F17" s="34"/>
      <c r="G17" s="34"/>
      <c r="H17" s="35"/>
    </row>
    <row r="18" ht="15.75" customHeight="1">
      <c r="A18" s="104" t="s">
        <v>210</v>
      </c>
      <c r="B18" s="62"/>
      <c r="C18" s="62"/>
      <c r="D18" s="62"/>
      <c r="E18" s="62"/>
      <c r="F18" s="62"/>
      <c r="G18" s="62"/>
      <c r="H18" s="63"/>
    </row>
    <row r="19" ht="15.75" customHeight="1">
      <c r="A19" s="64"/>
      <c r="B19" s="65"/>
      <c r="C19" s="65"/>
      <c r="D19" s="65"/>
      <c r="E19" s="65"/>
      <c r="F19" s="65"/>
      <c r="G19" s="65"/>
      <c r="H19" s="66"/>
    </row>
    <row r="20" ht="15.75" customHeight="1"/>
    <row r="21" ht="15.75" customHeight="1">
      <c r="A21" s="100" t="s">
        <v>211</v>
      </c>
      <c r="G21" s="94" t="s">
        <v>162</v>
      </c>
      <c r="H21" s="105">
        <v>60.0</v>
      </c>
      <c r="I21" s="6"/>
    </row>
    <row r="22" ht="15.75" customHeight="1">
      <c r="G22" s="86" t="s">
        <v>212</v>
      </c>
    </row>
    <row r="23" ht="15.75" customHeight="1">
      <c r="A23" s="89" t="s">
        <v>213</v>
      </c>
      <c r="B23" s="96" t="s">
        <v>214</v>
      </c>
      <c r="C23" s="34"/>
      <c r="D23" s="34"/>
      <c r="E23" s="34"/>
      <c r="F23" s="34"/>
      <c r="G23" s="34"/>
      <c r="H23" s="35"/>
    </row>
    <row r="24" ht="15.75" customHeight="1">
      <c r="A24" s="89" t="s">
        <v>213</v>
      </c>
      <c r="B24" s="80"/>
      <c r="C24" s="34"/>
      <c r="D24" s="34"/>
      <c r="E24" s="34"/>
      <c r="F24" s="34"/>
      <c r="G24" s="34"/>
      <c r="H24" s="35"/>
    </row>
    <row r="25" ht="15.75" customHeight="1"/>
    <row r="26" ht="15.75" customHeight="1">
      <c r="A26" s="106" t="s">
        <v>215</v>
      </c>
      <c r="B26" s="6"/>
      <c r="C26" s="6"/>
      <c r="D26" s="6"/>
    </row>
    <row r="27" ht="15.75" customHeight="1">
      <c r="A27" s="107" t="s">
        <v>75</v>
      </c>
      <c r="B27" s="108" t="s">
        <v>216</v>
      </c>
      <c r="C27" s="35"/>
      <c r="D27" s="108" t="s">
        <v>217</v>
      </c>
      <c r="E27" s="35"/>
      <c r="F27" s="108" t="s">
        <v>218</v>
      </c>
      <c r="G27" s="34"/>
      <c r="H27" s="35"/>
    </row>
    <row r="28" ht="15.75" customHeight="1">
      <c r="A28" s="81">
        <v>1.0</v>
      </c>
      <c r="B28" s="96" t="s">
        <v>219</v>
      </c>
      <c r="C28" s="35"/>
      <c r="D28" s="37" t="s">
        <v>84</v>
      </c>
      <c r="E28" s="109"/>
      <c r="F28" s="37" t="s">
        <v>83</v>
      </c>
      <c r="G28" s="110"/>
      <c r="H28" s="109"/>
    </row>
    <row r="29" ht="15.75" customHeight="1">
      <c r="A29" s="81">
        <v>2.0</v>
      </c>
      <c r="B29" s="96" t="s">
        <v>219</v>
      </c>
      <c r="C29" s="35"/>
      <c r="D29" s="37" t="s">
        <v>84</v>
      </c>
      <c r="E29" s="109"/>
      <c r="F29" s="37" t="s">
        <v>86</v>
      </c>
      <c r="G29" s="110"/>
      <c r="H29" s="109"/>
    </row>
    <row r="30" ht="15.75" customHeight="1">
      <c r="A30" s="81">
        <v>3.0</v>
      </c>
      <c r="B30" s="96" t="s">
        <v>219</v>
      </c>
      <c r="C30" s="35"/>
      <c r="D30" s="37" t="s">
        <v>84</v>
      </c>
      <c r="E30" s="109"/>
      <c r="F30" s="37" t="s">
        <v>87</v>
      </c>
      <c r="G30" s="110"/>
      <c r="H30" s="109"/>
    </row>
    <row r="31" ht="15.75" customHeight="1">
      <c r="A31" s="81">
        <v>4.0</v>
      </c>
      <c r="B31" s="96" t="s">
        <v>219</v>
      </c>
      <c r="C31" s="35"/>
      <c r="D31" s="37" t="s">
        <v>84</v>
      </c>
      <c r="E31" s="109"/>
      <c r="F31" s="37" t="s">
        <v>88</v>
      </c>
      <c r="G31" s="110"/>
      <c r="H31" s="109"/>
    </row>
    <row r="32" ht="15.75" customHeight="1">
      <c r="A32" s="81">
        <v>5.0</v>
      </c>
      <c r="B32" s="96" t="s">
        <v>219</v>
      </c>
      <c r="C32" s="35"/>
      <c r="D32" s="37" t="s">
        <v>84</v>
      </c>
      <c r="E32" s="109"/>
      <c r="F32" s="37" t="s">
        <v>89</v>
      </c>
      <c r="G32" s="110"/>
      <c r="H32" s="109"/>
    </row>
    <row r="33" ht="15.75" customHeight="1">
      <c r="A33" s="81">
        <v>6.0</v>
      </c>
      <c r="B33" s="96" t="s">
        <v>219</v>
      </c>
      <c r="C33" s="35"/>
      <c r="D33" s="37" t="s">
        <v>84</v>
      </c>
      <c r="E33" s="109"/>
      <c r="F33" s="37" t="s">
        <v>90</v>
      </c>
      <c r="G33" s="110"/>
      <c r="H33" s="109"/>
    </row>
    <row r="34" ht="15.75" customHeight="1">
      <c r="A34" s="81">
        <v>7.0</v>
      </c>
      <c r="B34" s="80"/>
      <c r="C34" s="35"/>
      <c r="D34" s="80"/>
      <c r="E34" s="35"/>
      <c r="F34" s="80"/>
      <c r="G34" s="34"/>
      <c r="H34" s="35"/>
    </row>
    <row r="35" ht="15.75" customHeight="1"/>
    <row r="36" ht="15.75" customHeight="1">
      <c r="A36" s="106" t="s">
        <v>220</v>
      </c>
    </row>
    <row r="37" ht="15.75" customHeight="1">
      <c r="A37" s="6"/>
      <c r="B37" s="6"/>
      <c r="C37" s="6"/>
      <c r="D37" s="6"/>
      <c r="E37" s="6"/>
      <c r="F37" s="6"/>
      <c r="G37" s="6"/>
      <c r="H37" s="6"/>
    </row>
    <row r="38">
      <c r="A38" s="107" t="s">
        <v>221</v>
      </c>
      <c r="B38" s="107" t="s">
        <v>29</v>
      </c>
      <c r="C38" s="111" t="s">
        <v>222</v>
      </c>
      <c r="D38" s="112" t="s">
        <v>223</v>
      </c>
      <c r="E38" s="34"/>
      <c r="F38" s="34"/>
      <c r="G38" s="34"/>
      <c r="H38" s="35"/>
      <c r="I38" s="113" t="s">
        <v>18</v>
      </c>
    </row>
    <row r="39" ht="15.75" customHeight="1">
      <c r="A39" s="81" t="s">
        <v>224</v>
      </c>
      <c r="B39" s="81" t="s">
        <v>225</v>
      </c>
      <c r="C39" s="81">
        <v>30.0</v>
      </c>
      <c r="D39" s="91">
        <v>35.0</v>
      </c>
      <c r="E39" s="34"/>
      <c r="F39" s="34"/>
      <c r="G39" s="34"/>
      <c r="H39" s="35"/>
      <c r="I39" s="81" t="str">
        <f t="shared" ref="I39:I42" si="1">IF(D39&lt;=C39,"Correcto", "Corregir")</f>
        <v>Corregir</v>
      </c>
    </row>
    <row r="40" ht="15.75" customHeight="1">
      <c r="A40" s="81" t="s">
        <v>226</v>
      </c>
      <c r="B40" s="81" t="s">
        <v>225</v>
      </c>
      <c r="C40" s="81">
        <v>6.0</v>
      </c>
      <c r="D40" s="91">
        <v>6.0</v>
      </c>
      <c r="E40" s="34"/>
      <c r="F40" s="34"/>
      <c r="G40" s="34"/>
      <c r="H40" s="35"/>
      <c r="I40" s="81" t="str">
        <f t="shared" si="1"/>
        <v>Correcto</v>
      </c>
    </row>
    <row r="41" ht="15.75" customHeight="1">
      <c r="A41" s="81" t="s">
        <v>227</v>
      </c>
      <c r="B41" s="81" t="s">
        <v>228</v>
      </c>
      <c r="C41" s="81">
        <v>10.0</v>
      </c>
      <c r="D41" s="91">
        <v>0.0</v>
      </c>
      <c r="E41" s="34"/>
      <c r="F41" s="34"/>
      <c r="G41" s="34"/>
      <c r="H41" s="35"/>
      <c r="I41" s="81" t="str">
        <f t="shared" si="1"/>
        <v>Correcto</v>
      </c>
    </row>
    <row r="42" ht="15.75" customHeight="1">
      <c r="A42" s="81" t="s">
        <v>229</v>
      </c>
      <c r="B42" s="81" t="s">
        <v>225</v>
      </c>
      <c r="C42" s="81">
        <v>30.0</v>
      </c>
      <c r="D42" s="91">
        <v>30.0</v>
      </c>
      <c r="E42" s="34"/>
      <c r="F42" s="34"/>
      <c r="G42" s="34"/>
      <c r="H42" s="35"/>
      <c r="I42" s="81" t="str">
        <f t="shared" si="1"/>
        <v>Correcto</v>
      </c>
    </row>
    <row r="43" ht="15.75" customHeight="1"/>
    <row r="44" ht="15.75" customHeight="1">
      <c r="A44" s="100" t="s">
        <v>230</v>
      </c>
      <c r="G44" s="94" t="s">
        <v>162</v>
      </c>
      <c r="H44" s="101">
        <f>B50</f>
        <v>30</v>
      </c>
    </row>
    <row r="45" ht="15.75" customHeight="1">
      <c r="G45" s="86" t="s">
        <v>231</v>
      </c>
    </row>
    <row r="46" ht="15.75" customHeight="1">
      <c r="A46" s="86" t="s">
        <v>232</v>
      </c>
    </row>
    <row r="47">
      <c r="A47" s="89" t="s">
        <v>233</v>
      </c>
      <c r="B47" s="91" t="s">
        <v>41</v>
      </c>
      <c r="C47" s="34"/>
      <c r="D47" s="34"/>
      <c r="E47" s="34"/>
      <c r="F47" s="34"/>
      <c r="G47" s="34"/>
      <c r="H47" s="35"/>
    </row>
    <row r="48" ht="15.75" customHeight="1">
      <c r="A48" s="89" t="s">
        <v>8</v>
      </c>
      <c r="B48" s="80" t="s">
        <v>234</v>
      </c>
      <c r="C48" s="34"/>
      <c r="D48" s="34"/>
      <c r="E48" s="34"/>
      <c r="F48" s="34"/>
      <c r="G48" s="34"/>
      <c r="H48" s="35"/>
    </row>
    <row r="49" ht="15.75" customHeight="1">
      <c r="A49" s="89" t="s">
        <v>201</v>
      </c>
      <c r="B49" s="114">
        <v>1.0</v>
      </c>
      <c r="C49" s="34"/>
      <c r="D49" s="34"/>
      <c r="E49" s="34"/>
      <c r="F49" s="34"/>
      <c r="G49" s="34"/>
      <c r="H49" s="35"/>
    </row>
    <row r="50" ht="15.75" customHeight="1">
      <c r="A50" s="89" t="s">
        <v>162</v>
      </c>
      <c r="B50" s="91">
        <v>30.0</v>
      </c>
      <c r="C50" s="34"/>
      <c r="D50" s="34"/>
      <c r="E50" s="34"/>
      <c r="F50" s="34"/>
      <c r="G50" s="34"/>
      <c r="H50" s="35"/>
    </row>
    <row r="51" ht="15.75" customHeight="1">
      <c r="A51" s="115" t="s">
        <v>235</v>
      </c>
      <c r="B51" s="6"/>
      <c r="C51" s="6"/>
      <c r="D51" s="6"/>
      <c r="E51" s="6"/>
      <c r="F51" s="6"/>
      <c r="G51" s="6"/>
      <c r="H51" s="6"/>
    </row>
    <row r="52" ht="15.75" customHeight="1">
      <c r="A52" s="102" t="s">
        <v>236</v>
      </c>
      <c r="B52" s="34"/>
      <c r="C52" s="34"/>
      <c r="D52" s="34"/>
      <c r="E52" s="34"/>
      <c r="F52" s="34"/>
      <c r="G52" s="34"/>
      <c r="H52" s="35"/>
    </row>
    <row r="53" ht="15.75" customHeight="1">
      <c r="A53" s="104" t="s">
        <v>237</v>
      </c>
      <c r="B53" s="62"/>
      <c r="C53" s="62"/>
      <c r="D53" s="62"/>
      <c r="E53" s="62"/>
      <c r="F53" s="62"/>
      <c r="G53" s="62"/>
      <c r="H53" s="63"/>
    </row>
    <row r="54" ht="15.75" customHeight="1">
      <c r="A54" s="116"/>
      <c r="H54" s="117"/>
    </row>
    <row r="55" ht="15.75" customHeight="1">
      <c r="A55" s="64"/>
      <c r="B55" s="65"/>
      <c r="C55" s="65"/>
      <c r="D55" s="65"/>
      <c r="E55" s="65"/>
      <c r="F55" s="65"/>
      <c r="G55" s="65"/>
      <c r="H55" s="66"/>
    </row>
    <row r="56" ht="15.75" customHeight="1"/>
    <row r="57" ht="15.75" customHeight="1">
      <c r="A57" s="86" t="s">
        <v>238</v>
      </c>
    </row>
    <row r="58">
      <c r="A58" s="89" t="s">
        <v>233</v>
      </c>
      <c r="B58" s="80"/>
      <c r="C58" s="34"/>
      <c r="D58" s="34"/>
      <c r="E58" s="34"/>
      <c r="F58" s="34"/>
      <c r="G58" s="34"/>
      <c r="H58" s="35"/>
    </row>
    <row r="59" ht="15.75" customHeight="1">
      <c r="A59" s="89" t="s">
        <v>8</v>
      </c>
      <c r="B59" s="80"/>
      <c r="C59" s="34"/>
      <c r="D59" s="34"/>
      <c r="E59" s="34"/>
      <c r="F59" s="34"/>
      <c r="G59" s="34"/>
      <c r="H59" s="35"/>
    </row>
    <row r="60" ht="15.75" customHeight="1">
      <c r="A60" s="89" t="s">
        <v>201</v>
      </c>
      <c r="B60" s="118"/>
      <c r="C60" s="34"/>
      <c r="D60" s="34"/>
      <c r="E60" s="34"/>
      <c r="F60" s="34"/>
      <c r="G60" s="34"/>
      <c r="H60" s="35"/>
    </row>
    <row r="61" ht="15.75" customHeight="1">
      <c r="A61" s="89" t="s">
        <v>162</v>
      </c>
      <c r="B61" s="118"/>
      <c r="C61" s="34"/>
      <c r="D61" s="34"/>
      <c r="E61" s="34"/>
      <c r="F61" s="34"/>
      <c r="G61" s="34"/>
      <c r="H61" s="35"/>
    </row>
    <row r="62" ht="15.75" customHeight="1">
      <c r="A62" s="119" t="s">
        <v>239</v>
      </c>
      <c r="B62" s="6"/>
      <c r="C62" s="6"/>
      <c r="D62" s="6"/>
      <c r="E62" s="6"/>
      <c r="F62" s="6"/>
      <c r="G62" s="6"/>
      <c r="H62" s="6"/>
    </row>
    <row r="63" ht="15.75" customHeight="1">
      <c r="A63" s="102" t="s">
        <v>236</v>
      </c>
      <c r="B63" s="34"/>
      <c r="C63" s="34"/>
      <c r="D63" s="34"/>
      <c r="E63" s="34"/>
      <c r="F63" s="34"/>
      <c r="G63" s="34"/>
      <c r="H63" s="35"/>
    </row>
    <row r="64" ht="15.75" customHeight="1">
      <c r="A64" s="104"/>
      <c r="B64" s="62"/>
      <c r="C64" s="62"/>
      <c r="D64" s="62"/>
      <c r="E64" s="62"/>
      <c r="F64" s="62"/>
      <c r="G64" s="62"/>
      <c r="H64" s="63"/>
    </row>
    <row r="65" ht="15.75" customHeight="1">
      <c r="A65" s="116"/>
      <c r="H65" s="117"/>
    </row>
    <row r="66" ht="15.75" customHeight="1">
      <c r="A66" s="64"/>
      <c r="B66" s="65"/>
      <c r="C66" s="65"/>
      <c r="D66" s="65"/>
      <c r="E66" s="65"/>
      <c r="F66" s="65"/>
      <c r="G66" s="65"/>
      <c r="H66" s="66"/>
    </row>
    <row r="67" ht="15.75" customHeight="1"/>
    <row r="68" ht="15.75" customHeight="1">
      <c r="A68" s="100" t="s">
        <v>240</v>
      </c>
      <c r="G68" s="94" t="s">
        <v>162</v>
      </c>
      <c r="H68" s="101">
        <f>B70</f>
        <v>5</v>
      </c>
    </row>
    <row r="69" ht="15.75" customHeight="1">
      <c r="G69" s="86" t="s">
        <v>241</v>
      </c>
    </row>
    <row r="70" ht="15.75" customHeight="1">
      <c r="A70" s="89" t="s">
        <v>162</v>
      </c>
      <c r="B70" s="114">
        <v>5.0</v>
      </c>
      <c r="C70" s="34"/>
      <c r="D70" s="34"/>
      <c r="E70" s="34"/>
      <c r="F70" s="34"/>
      <c r="G70" s="34"/>
      <c r="H70" s="35"/>
    </row>
    <row r="71" ht="15.75" customHeight="1">
      <c r="A71" s="112" t="s">
        <v>242</v>
      </c>
      <c r="B71" s="34"/>
      <c r="C71" s="34"/>
      <c r="D71" s="34"/>
      <c r="E71" s="34"/>
      <c r="F71" s="34"/>
      <c r="G71" s="34"/>
      <c r="H71" s="35"/>
    </row>
    <row r="72" ht="15.75" customHeight="1">
      <c r="A72" s="104" t="s">
        <v>243</v>
      </c>
      <c r="B72" s="62"/>
      <c r="C72" s="62"/>
      <c r="D72" s="62"/>
      <c r="E72" s="62"/>
      <c r="F72" s="62"/>
      <c r="G72" s="62"/>
      <c r="H72" s="63"/>
    </row>
    <row r="73" ht="15.75" customHeight="1">
      <c r="A73" s="64"/>
      <c r="B73" s="65"/>
      <c r="C73" s="65"/>
      <c r="D73" s="65"/>
      <c r="E73" s="65"/>
      <c r="F73" s="65"/>
      <c r="G73" s="65"/>
      <c r="H73" s="66"/>
    </row>
    <row r="74" ht="15.75" customHeight="1">
      <c r="A74" s="86" t="s">
        <v>244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B29:C29"/>
    <mergeCell ref="B30:C30"/>
    <mergeCell ref="B31:C31"/>
    <mergeCell ref="B32:C32"/>
    <mergeCell ref="B33:C33"/>
    <mergeCell ref="B34:C34"/>
    <mergeCell ref="D34:E34"/>
    <mergeCell ref="F34:H34"/>
    <mergeCell ref="D38:H38"/>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s>
  <conditionalFormatting sqref="D39:H42">
    <cfRule type="cellIs" dxfId="0" priority="1" operator="between">
      <formula>0</formula>
      <formula>45</formula>
    </cfRule>
  </conditionalFormatting>
  <dataValidations>
    <dataValidation type="list" allowBlank="1" showErrorMessage="1" sqref="B23">
      <formula1>"Identifica y describe conceptos de frameworks aplicando casos de uso y características comunes para seleccionar adecuadamente un framework de acuerdo al proyecto. "</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200</v>
      </c>
    </row>
    <row r="3" ht="15.75" customHeight="1"/>
    <row r="4" ht="15.75" customHeight="1">
      <c r="B4" s="79" t="s">
        <v>1</v>
      </c>
      <c r="C4" s="97" t="str">
        <f>'Diseño'!C4</f>
        <v>785 - Análisis y Diseño de Sistemas 2</v>
      </c>
      <c r="D4" s="34"/>
      <c r="E4" s="34"/>
      <c r="F4" s="34"/>
      <c r="G4" s="35"/>
    </row>
    <row r="5" ht="15.75" customHeight="1">
      <c r="B5" s="81" t="s">
        <v>81</v>
      </c>
      <c r="C5" s="80">
        <v>3.0</v>
      </c>
      <c r="D5" s="34"/>
      <c r="E5" s="34"/>
      <c r="F5" s="34"/>
      <c r="G5" s="35"/>
    </row>
    <row r="6" ht="15.75" customHeight="1">
      <c r="B6" s="98" t="s">
        <v>159</v>
      </c>
      <c r="C6" s="80">
        <f>H10+H21+H44+H68</f>
        <v>100</v>
      </c>
      <c r="D6" s="34"/>
      <c r="E6" s="34"/>
      <c r="F6" s="34"/>
      <c r="G6" s="35"/>
      <c r="I6" s="6"/>
    </row>
    <row r="7" ht="15.75" customHeight="1">
      <c r="B7" s="98" t="s">
        <v>201</v>
      </c>
      <c r="C7" s="80">
        <f>B49+B60</f>
        <v>1</v>
      </c>
      <c r="D7" s="34"/>
      <c r="E7" s="34"/>
      <c r="F7" s="34"/>
      <c r="G7" s="35"/>
    </row>
    <row r="8" ht="15.75" customHeight="1">
      <c r="B8" s="98" t="s">
        <v>202</v>
      </c>
      <c r="C8" s="99" t="str">
        <f>IF(H44&lt;=0, "❌ ERROR: La Actividad 1 debe tener un tiempo mayor a 0.", IF(H21&gt;60, "❌ ERROR: El 'Área de Conocimiento' no puede exceder los 60 min.", IF((H10+H21+H44+H68)&lt;100, "❌ ERROR: El tiempo total debe ser de al menos 100 min.", "✅ VALIDACIÓN CORRECTA")))</f>
        <v>✅ VALIDACIÓN CORRECTA</v>
      </c>
      <c r="D8" s="34"/>
      <c r="E8" s="34"/>
      <c r="F8" s="34"/>
      <c r="G8" s="35"/>
      <c r="I8" s="6"/>
      <c r="J8" s="6"/>
      <c r="K8" s="6"/>
    </row>
    <row r="9" ht="15.75" customHeight="1"/>
    <row r="10" ht="15.75" customHeight="1">
      <c r="A10" s="100" t="s">
        <v>203</v>
      </c>
      <c r="G10" s="94" t="s">
        <v>162</v>
      </c>
      <c r="H10" s="105">
        <f>B13</f>
        <v>5</v>
      </c>
    </row>
    <row r="11" ht="15.75" customHeight="1">
      <c r="G11" s="86" t="s">
        <v>204</v>
      </c>
    </row>
    <row r="12" ht="15.75" customHeight="1">
      <c r="A12" s="89" t="s">
        <v>205</v>
      </c>
      <c r="B12" s="91" t="s">
        <v>245</v>
      </c>
      <c r="C12" s="34"/>
      <c r="D12" s="34"/>
      <c r="E12" s="34"/>
      <c r="F12" s="34"/>
      <c r="G12" s="34"/>
      <c r="H12" s="35"/>
    </row>
    <row r="13" ht="15.75" customHeight="1">
      <c r="A13" s="90" t="s">
        <v>162</v>
      </c>
      <c r="B13" s="91">
        <v>5.0</v>
      </c>
      <c r="C13" s="34"/>
      <c r="D13" s="34"/>
      <c r="E13" s="34"/>
      <c r="F13" s="34"/>
      <c r="G13" s="34"/>
      <c r="H13" s="35"/>
    </row>
    <row r="14" ht="15.75" customHeight="1">
      <c r="A14" s="102" t="s">
        <v>207</v>
      </c>
      <c r="B14" s="34"/>
      <c r="C14" s="34"/>
      <c r="D14" s="34"/>
      <c r="E14" s="34"/>
      <c r="F14" s="34"/>
      <c r="G14" s="34"/>
      <c r="H14" s="35"/>
    </row>
    <row r="15" ht="15.75" customHeight="1">
      <c r="A15" s="120" t="s">
        <v>246</v>
      </c>
      <c r="B15" s="62"/>
      <c r="C15" s="62"/>
      <c r="D15" s="62"/>
      <c r="E15" s="62"/>
      <c r="F15" s="62"/>
      <c r="G15" s="62"/>
      <c r="H15" s="63"/>
    </row>
    <row r="16" ht="15.75" customHeight="1">
      <c r="A16" s="64"/>
      <c r="B16" s="65"/>
      <c r="C16" s="65"/>
      <c r="D16" s="65"/>
      <c r="E16" s="65"/>
      <c r="F16" s="65"/>
      <c r="G16" s="65"/>
      <c r="H16" s="66"/>
    </row>
    <row r="17" ht="15.75" customHeight="1">
      <c r="A17" s="102" t="s">
        <v>209</v>
      </c>
      <c r="B17" s="34"/>
      <c r="C17" s="34"/>
      <c r="D17" s="34"/>
      <c r="E17" s="34"/>
      <c r="F17" s="34"/>
      <c r="G17" s="34"/>
      <c r="H17" s="35"/>
    </row>
    <row r="18" ht="15.75" customHeight="1">
      <c r="A18" s="120" t="s">
        <v>247</v>
      </c>
      <c r="B18" s="62"/>
      <c r="C18" s="62"/>
      <c r="D18" s="62"/>
      <c r="E18" s="62"/>
      <c r="F18" s="62"/>
      <c r="G18" s="62"/>
      <c r="H18" s="63"/>
    </row>
    <row r="19" ht="15.75" customHeight="1">
      <c r="A19" s="64"/>
      <c r="B19" s="65"/>
      <c r="C19" s="65"/>
      <c r="D19" s="65"/>
      <c r="E19" s="65"/>
      <c r="F19" s="65"/>
      <c r="G19" s="65"/>
      <c r="H19" s="66"/>
    </row>
    <row r="20" ht="15.75" customHeight="1"/>
    <row r="21" ht="15.75" customHeight="1">
      <c r="A21" s="100" t="s">
        <v>211</v>
      </c>
      <c r="G21" s="94" t="s">
        <v>162</v>
      </c>
      <c r="H21" s="101">
        <f>SUM(D39:H42)</f>
        <v>55</v>
      </c>
      <c r="I21" s="6"/>
    </row>
    <row r="22" ht="15.75" customHeight="1">
      <c r="G22" s="86" t="s">
        <v>212</v>
      </c>
    </row>
    <row r="23" ht="15.75" customHeight="1">
      <c r="A23" s="89" t="s">
        <v>213</v>
      </c>
      <c r="B23" s="91" t="s">
        <v>82</v>
      </c>
      <c r="C23" s="34"/>
      <c r="D23" s="34"/>
      <c r="E23" s="34"/>
      <c r="F23" s="34"/>
      <c r="G23" s="34"/>
      <c r="H23" s="35"/>
    </row>
    <row r="24" ht="15.75" customHeight="1">
      <c r="A24" s="89" t="s">
        <v>213</v>
      </c>
      <c r="B24" s="80"/>
      <c r="C24" s="34"/>
      <c r="D24" s="34"/>
      <c r="E24" s="34"/>
      <c r="F24" s="34"/>
      <c r="G24" s="34"/>
      <c r="H24" s="35"/>
    </row>
    <row r="25" ht="15.75" customHeight="1"/>
    <row r="26" ht="15.75" customHeight="1">
      <c r="A26" s="106" t="s">
        <v>215</v>
      </c>
      <c r="B26" s="6"/>
      <c r="C26" s="6"/>
      <c r="D26" s="6"/>
    </row>
    <row r="27" ht="15.75" customHeight="1">
      <c r="A27" s="107" t="s">
        <v>75</v>
      </c>
      <c r="B27" s="108" t="s">
        <v>216</v>
      </c>
      <c r="C27" s="35"/>
      <c r="D27" s="108" t="s">
        <v>217</v>
      </c>
      <c r="E27" s="35"/>
      <c r="F27" s="108" t="s">
        <v>218</v>
      </c>
      <c r="G27" s="34"/>
      <c r="H27" s="35"/>
    </row>
    <row r="28" ht="15.75" customHeight="1">
      <c r="A28" s="81">
        <v>1.0</v>
      </c>
      <c r="B28" s="80" t="str">
        <f>IFERROR(__xludf.DUMMYFUNCTION("FILTER('Diseño'!D:D,'Diseño'!H:H=$C$5)"),"Patrones de diseño")</f>
        <v>Patrones de diseño</v>
      </c>
      <c r="C28" s="35"/>
      <c r="D28" s="80" t="str">
        <f>IFERROR(__xludf.DUMMYFUNCTION("FILTER('Diseño'!E:E,'Diseño'!H:H=$C$5)"),"Elementos de diseño")</f>
        <v>Elementos de diseño</v>
      </c>
      <c r="E28" s="35"/>
      <c r="F28" s="80" t="str">
        <f>IFERROR(__xludf.DUMMYFUNCTION("FILTER('Diseño'!F:F,'Diseño'!H:H=$C$5)"),"Creacional")</f>
        <v>Creacional</v>
      </c>
      <c r="G28" s="34"/>
      <c r="H28" s="35"/>
    </row>
    <row r="29" ht="15.75" customHeight="1">
      <c r="A29" s="81">
        <v>2.0</v>
      </c>
      <c r="B29" s="80" t="str">
        <f>IFERROR(__xludf.DUMMYFUNCTION("""COMPUTED_VALUE"""),"Patrones de diseño")</f>
        <v>Patrones de diseño</v>
      </c>
      <c r="C29" s="35"/>
      <c r="D29" s="80" t="str">
        <f>IFERROR(__xludf.DUMMYFUNCTION("""COMPUTED_VALUE"""),"Elementos de diseño")</f>
        <v>Elementos de diseño</v>
      </c>
      <c r="E29" s="35"/>
      <c r="F29" s="80" t="str">
        <f>IFERROR(__xludf.DUMMYFUNCTION("""COMPUTED_VALUE"""),"Factory Method")</f>
        <v>Factory Method</v>
      </c>
      <c r="G29" s="34"/>
      <c r="H29" s="35"/>
    </row>
    <row r="30" ht="15.75" customHeight="1">
      <c r="A30" s="81">
        <v>3.0</v>
      </c>
      <c r="B30" s="80" t="str">
        <f>IFERROR(__xludf.DUMMYFUNCTION("""COMPUTED_VALUE"""),"Patrones de diseño")</f>
        <v>Patrones de diseño</v>
      </c>
      <c r="C30" s="35"/>
      <c r="D30" s="80" t="str">
        <f>IFERROR(__xludf.DUMMYFUNCTION("""COMPUTED_VALUE"""),"Elementos de diseño")</f>
        <v>Elementos de diseño</v>
      </c>
      <c r="E30" s="35"/>
      <c r="F30" s="80" t="str">
        <f>IFERROR(__xludf.DUMMYFUNCTION("""COMPUTED_VALUE"""),"Abstact Factory")</f>
        <v>Abstact Factory</v>
      </c>
      <c r="G30" s="34"/>
      <c r="H30" s="35"/>
    </row>
    <row r="31" ht="15.75" customHeight="1">
      <c r="A31" s="81">
        <v>4.0</v>
      </c>
      <c r="B31" s="80" t="str">
        <f>IFERROR(__xludf.DUMMYFUNCTION("""COMPUTED_VALUE"""),"Patrones de diseño")</f>
        <v>Patrones de diseño</v>
      </c>
      <c r="C31" s="35"/>
      <c r="D31" s="80" t="str">
        <f>IFERROR(__xludf.DUMMYFUNCTION("""COMPUTED_VALUE"""),"Elementos de diseño")</f>
        <v>Elementos de diseño</v>
      </c>
      <c r="E31" s="35"/>
      <c r="F31" s="80" t="str">
        <f>IFERROR(__xludf.DUMMYFUNCTION("""COMPUTED_VALUE"""),"Singleton")</f>
        <v>Singleton</v>
      </c>
      <c r="G31" s="34"/>
      <c r="H31" s="35"/>
    </row>
    <row r="32" ht="15.75" customHeight="1">
      <c r="A32" s="81">
        <v>5.0</v>
      </c>
      <c r="B32" s="80" t="str">
        <f>IFERROR(__xludf.DUMMYFUNCTION("""COMPUTED_VALUE"""),"Patrones de diseño")</f>
        <v>Patrones de diseño</v>
      </c>
      <c r="C32" s="35"/>
      <c r="D32" s="80" t="str">
        <f>IFERROR(__xludf.DUMMYFUNCTION("""COMPUTED_VALUE"""),"Elementos de diseño")</f>
        <v>Elementos de diseño</v>
      </c>
      <c r="E32" s="35"/>
      <c r="F32" s="80" t="str">
        <f>IFERROR(__xludf.DUMMYFUNCTION("""COMPUTED_VALUE"""),"Creacional")</f>
        <v>Creacional</v>
      </c>
      <c r="G32" s="34"/>
      <c r="H32" s="35"/>
    </row>
    <row r="33" ht="15.75" customHeight="1">
      <c r="A33" s="81">
        <v>6.0</v>
      </c>
      <c r="B33" s="80" t="str">
        <f>IFERROR(__xludf.DUMMYFUNCTION("""COMPUTED_VALUE"""),"Patrones de diseño")</f>
        <v>Patrones de diseño</v>
      </c>
      <c r="C33" s="35"/>
      <c r="D33" s="80" t="str">
        <f>IFERROR(__xludf.DUMMYFUNCTION("""COMPUTED_VALUE"""),"Elementos de diseño")</f>
        <v>Elementos de diseño</v>
      </c>
      <c r="E33" s="35"/>
      <c r="F33" s="80" t="str">
        <f>IFERROR(__xludf.DUMMYFUNCTION("""COMPUTED_VALUE"""),"Builder")</f>
        <v>Builder</v>
      </c>
      <c r="G33" s="34"/>
      <c r="H33" s="35"/>
    </row>
    <row r="34" ht="15.75" customHeight="1">
      <c r="A34" s="81">
        <v>7.0</v>
      </c>
      <c r="B34" s="80" t="str">
        <f>IFERROR(__xludf.DUMMYFUNCTION("""COMPUTED_VALUE"""),"Patrones de diseño")</f>
        <v>Patrones de diseño</v>
      </c>
      <c r="C34" s="35"/>
      <c r="D34" s="80" t="str">
        <f>IFERROR(__xludf.DUMMYFUNCTION("""COMPUTED_VALUE"""),"Elementos de diseño")</f>
        <v>Elementos de diseño</v>
      </c>
      <c r="E34" s="35"/>
      <c r="F34" s="80" t="str">
        <f>IFERROR(__xludf.DUMMYFUNCTION("""COMPUTED_VALUE"""),"Prototype")</f>
        <v>Prototype</v>
      </c>
      <c r="G34" s="34"/>
      <c r="H34" s="35"/>
    </row>
    <row r="35" ht="15.75" customHeight="1"/>
    <row r="36" ht="15.75" customHeight="1">
      <c r="A36" s="106" t="s">
        <v>220</v>
      </c>
    </row>
    <row r="37" ht="15.75" customHeight="1">
      <c r="A37" s="6"/>
      <c r="B37" s="6"/>
      <c r="C37" s="6"/>
      <c r="D37" s="6"/>
      <c r="E37" s="6"/>
      <c r="F37" s="6"/>
      <c r="G37" s="6"/>
      <c r="H37" s="6"/>
    </row>
    <row r="38">
      <c r="A38" s="107" t="s">
        <v>221</v>
      </c>
      <c r="B38" s="107" t="s">
        <v>29</v>
      </c>
      <c r="C38" s="111" t="s">
        <v>222</v>
      </c>
      <c r="D38" s="112" t="s">
        <v>223</v>
      </c>
      <c r="E38" s="34"/>
      <c r="F38" s="34"/>
      <c r="G38" s="34"/>
      <c r="H38" s="35"/>
      <c r="I38" s="113" t="s">
        <v>18</v>
      </c>
    </row>
    <row r="39" ht="15.75" customHeight="1">
      <c r="A39" s="81" t="s">
        <v>224</v>
      </c>
      <c r="B39" s="81" t="s">
        <v>225</v>
      </c>
      <c r="C39" s="81">
        <v>30.0</v>
      </c>
      <c r="D39" s="91">
        <v>20.0</v>
      </c>
      <c r="E39" s="34"/>
      <c r="F39" s="34"/>
      <c r="G39" s="34"/>
      <c r="H39" s="35"/>
      <c r="I39" s="81" t="str">
        <f t="shared" ref="I39:I42" si="1">IF(D39&lt;=C39,"Correcto", "Corregir")</f>
        <v>Correcto</v>
      </c>
    </row>
    <row r="40" ht="15.75" customHeight="1">
      <c r="A40" s="81" t="s">
        <v>226</v>
      </c>
      <c r="B40" s="81" t="s">
        <v>225</v>
      </c>
      <c r="C40" s="81">
        <v>6.0</v>
      </c>
      <c r="D40" s="91">
        <v>5.0</v>
      </c>
      <c r="E40" s="34"/>
      <c r="F40" s="34"/>
      <c r="G40" s="34"/>
      <c r="H40" s="35"/>
      <c r="I40" s="81" t="str">
        <f t="shared" si="1"/>
        <v>Correcto</v>
      </c>
    </row>
    <row r="41" ht="15.75" customHeight="1">
      <c r="A41" s="81" t="s">
        <v>227</v>
      </c>
      <c r="B41" s="81" t="s">
        <v>228</v>
      </c>
      <c r="C41" s="81">
        <v>10.0</v>
      </c>
      <c r="D41" s="91">
        <v>10.0</v>
      </c>
      <c r="E41" s="34"/>
      <c r="F41" s="34"/>
      <c r="G41" s="34"/>
      <c r="H41" s="35"/>
      <c r="I41" s="81" t="str">
        <f t="shared" si="1"/>
        <v>Correcto</v>
      </c>
    </row>
    <row r="42" ht="15.75" customHeight="1">
      <c r="A42" s="81" t="s">
        <v>229</v>
      </c>
      <c r="B42" s="81" t="s">
        <v>225</v>
      </c>
      <c r="C42" s="81">
        <v>30.0</v>
      </c>
      <c r="D42" s="91">
        <v>20.0</v>
      </c>
      <c r="E42" s="34"/>
      <c r="F42" s="34"/>
      <c r="G42" s="34"/>
      <c r="H42" s="35"/>
      <c r="I42" s="81" t="str">
        <f t="shared" si="1"/>
        <v>Correcto</v>
      </c>
    </row>
    <row r="43" ht="15.75" customHeight="1"/>
    <row r="44" ht="15.75" customHeight="1">
      <c r="A44" s="100" t="s">
        <v>230</v>
      </c>
      <c r="G44" s="94" t="s">
        <v>162</v>
      </c>
      <c r="H44" s="101">
        <f>B50</f>
        <v>30</v>
      </c>
    </row>
    <row r="45" ht="15.75" customHeight="1">
      <c r="G45" s="86" t="s">
        <v>231</v>
      </c>
    </row>
    <row r="46" ht="15.75" customHeight="1">
      <c r="A46" s="86" t="s">
        <v>232</v>
      </c>
    </row>
    <row r="47">
      <c r="A47" s="89" t="s">
        <v>233</v>
      </c>
      <c r="B47" s="91" t="s">
        <v>82</v>
      </c>
      <c r="C47" s="34"/>
      <c r="D47" s="34"/>
      <c r="E47" s="34"/>
      <c r="F47" s="34"/>
      <c r="G47" s="34"/>
      <c r="H47" s="35"/>
    </row>
    <row r="48" ht="15.75" customHeight="1">
      <c r="A48" s="89" t="s">
        <v>8</v>
      </c>
      <c r="B48" s="91" t="s">
        <v>248</v>
      </c>
      <c r="C48" s="34"/>
      <c r="D48" s="34"/>
      <c r="E48" s="34"/>
      <c r="F48" s="34"/>
      <c r="G48" s="34"/>
      <c r="H48" s="35"/>
    </row>
    <row r="49" ht="15.75" customHeight="1">
      <c r="A49" s="89" t="s">
        <v>201</v>
      </c>
      <c r="B49" s="114">
        <v>1.0</v>
      </c>
      <c r="C49" s="34"/>
      <c r="D49" s="34"/>
      <c r="E49" s="34"/>
      <c r="F49" s="34"/>
      <c r="G49" s="34"/>
      <c r="H49" s="35"/>
    </row>
    <row r="50" ht="15.75" customHeight="1">
      <c r="A50" s="89" t="s">
        <v>162</v>
      </c>
      <c r="B50" s="91">
        <v>30.0</v>
      </c>
      <c r="C50" s="34"/>
      <c r="D50" s="34"/>
      <c r="E50" s="34"/>
      <c r="F50" s="34"/>
      <c r="G50" s="34"/>
      <c r="H50" s="35"/>
    </row>
    <row r="51" ht="15.75" customHeight="1">
      <c r="A51" s="115" t="s">
        <v>235</v>
      </c>
      <c r="B51" s="6"/>
      <c r="C51" s="6"/>
      <c r="D51" s="6"/>
      <c r="E51" s="6"/>
      <c r="F51" s="6"/>
      <c r="G51" s="6"/>
      <c r="H51" s="6"/>
    </row>
    <row r="52" ht="15.75" customHeight="1">
      <c r="A52" s="102" t="s">
        <v>236</v>
      </c>
      <c r="B52" s="34"/>
      <c r="C52" s="34"/>
      <c r="D52" s="34"/>
      <c r="E52" s="34"/>
      <c r="F52" s="34"/>
      <c r="G52" s="34"/>
      <c r="H52" s="35"/>
    </row>
    <row r="53" ht="15.75" customHeight="1">
      <c r="A53" s="120" t="s">
        <v>249</v>
      </c>
      <c r="B53" s="62"/>
      <c r="C53" s="62"/>
      <c r="D53" s="62"/>
      <c r="E53" s="62"/>
      <c r="F53" s="62"/>
      <c r="G53" s="62"/>
      <c r="H53" s="63"/>
    </row>
    <row r="54" ht="15.75" customHeight="1">
      <c r="A54" s="116"/>
      <c r="H54" s="117"/>
    </row>
    <row r="55" ht="15.75" customHeight="1">
      <c r="A55" s="64"/>
      <c r="B55" s="65"/>
      <c r="C55" s="65"/>
      <c r="D55" s="65"/>
      <c r="E55" s="65"/>
      <c r="F55" s="65"/>
      <c r="G55" s="65"/>
      <c r="H55" s="66"/>
    </row>
    <row r="56" ht="15.75" customHeight="1"/>
    <row r="57" ht="15.75" customHeight="1">
      <c r="A57" s="86" t="s">
        <v>238</v>
      </c>
    </row>
    <row r="58">
      <c r="A58" s="89" t="s">
        <v>233</v>
      </c>
      <c r="B58" s="80"/>
      <c r="C58" s="34"/>
      <c r="D58" s="34"/>
      <c r="E58" s="34"/>
      <c r="F58" s="34"/>
      <c r="G58" s="34"/>
      <c r="H58" s="35"/>
    </row>
    <row r="59" ht="15.75" customHeight="1">
      <c r="A59" s="89" t="s">
        <v>8</v>
      </c>
      <c r="B59" s="80"/>
      <c r="C59" s="34"/>
      <c r="D59" s="34"/>
      <c r="E59" s="34"/>
      <c r="F59" s="34"/>
      <c r="G59" s="34"/>
      <c r="H59" s="35"/>
    </row>
    <row r="60" ht="15.75" customHeight="1">
      <c r="A60" s="89" t="s">
        <v>201</v>
      </c>
      <c r="B60" s="118"/>
      <c r="C60" s="34"/>
      <c r="D60" s="34"/>
      <c r="E60" s="34"/>
      <c r="F60" s="34"/>
      <c r="G60" s="34"/>
      <c r="H60" s="35"/>
    </row>
    <row r="61" ht="15.75" customHeight="1">
      <c r="A61" s="89" t="s">
        <v>162</v>
      </c>
      <c r="B61" s="118"/>
      <c r="C61" s="34"/>
      <c r="D61" s="34"/>
      <c r="E61" s="34"/>
      <c r="F61" s="34"/>
      <c r="G61" s="34"/>
      <c r="H61" s="35"/>
    </row>
    <row r="62" ht="15.75" customHeight="1">
      <c r="A62" s="119" t="s">
        <v>239</v>
      </c>
      <c r="B62" s="6"/>
      <c r="C62" s="6"/>
      <c r="D62" s="6"/>
      <c r="E62" s="6"/>
      <c r="F62" s="6"/>
      <c r="G62" s="6"/>
      <c r="H62" s="6"/>
    </row>
    <row r="63" ht="15.75" customHeight="1">
      <c r="A63" s="102" t="s">
        <v>236</v>
      </c>
      <c r="B63" s="34"/>
      <c r="C63" s="34"/>
      <c r="D63" s="34"/>
      <c r="E63" s="34"/>
      <c r="F63" s="34"/>
      <c r="G63" s="34"/>
      <c r="H63" s="35"/>
    </row>
    <row r="64" ht="15.75" customHeight="1">
      <c r="A64" s="104"/>
      <c r="B64" s="62"/>
      <c r="C64" s="62"/>
      <c r="D64" s="62"/>
      <c r="E64" s="62"/>
      <c r="F64" s="62"/>
      <c r="G64" s="62"/>
      <c r="H64" s="63"/>
    </row>
    <row r="65" ht="15.75" customHeight="1">
      <c r="A65" s="116"/>
      <c r="H65" s="117"/>
    </row>
    <row r="66" ht="15.75" customHeight="1">
      <c r="A66" s="64"/>
      <c r="B66" s="65"/>
      <c r="C66" s="65"/>
      <c r="D66" s="65"/>
      <c r="E66" s="65"/>
      <c r="F66" s="65"/>
      <c r="G66" s="65"/>
      <c r="H66" s="66"/>
    </row>
    <row r="67" ht="15.75" customHeight="1"/>
    <row r="68" ht="15.75" customHeight="1">
      <c r="A68" s="100" t="s">
        <v>240</v>
      </c>
      <c r="G68" s="94" t="s">
        <v>162</v>
      </c>
      <c r="H68" s="101">
        <f>B70</f>
        <v>10</v>
      </c>
    </row>
    <row r="69" ht="15.75" customHeight="1">
      <c r="G69" s="86" t="s">
        <v>241</v>
      </c>
    </row>
    <row r="70" ht="15.75" customHeight="1">
      <c r="A70" s="89" t="s">
        <v>162</v>
      </c>
      <c r="B70" s="114">
        <v>10.0</v>
      </c>
      <c r="C70" s="34"/>
      <c r="D70" s="34"/>
      <c r="E70" s="34"/>
      <c r="F70" s="34"/>
      <c r="G70" s="34"/>
      <c r="H70" s="35"/>
    </row>
    <row r="71" ht="15.75" customHeight="1">
      <c r="A71" s="112" t="s">
        <v>242</v>
      </c>
      <c r="B71" s="34"/>
      <c r="C71" s="34"/>
      <c r="D71" s="34"/>
      <c r="E71" s="34"/>
      <c r="F71" s="34"/>
      <c r="G71" s="34"/>
      <c r="H71" s="35"/>
    </row>
    <row r="72" ht="15.75" customHeight="1">
      <c r="A72" s="120" t="s">
        <v>250</v>
      </c>
      <c r="B72" s="62"/>
      <c r="C72" s="62"/>
      <c r="D72" s="62"/>
      <c r="E72" s="62"/>
      <c r="F72" s="62"/>
      <c r="G72" s="62"/>
      <c r="H72" s="63"/>
    </row>
    <row r="73" ht="15.75" customHeight="1">
      <c r="A73" s="64"/>
      <c r="B73" s="65"/>
      <c r="C73" s="65"/>
      <c r="D73" s="65"/>
      <c r="E73" s="65"/>
      <c r="F73" s="65"/>
      <c r="G73" s="65"/>
      <c r="H73" s="66"/>
    </row>
    <row r="74" ht="15.75" customHeight="1">
      <c r="A74" s="86" t="s">
        <v>244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200</v>
      </c>
    </row>
    <row r="3" ht="15.75" customHeight="1"/>
    <row r="4" ht="15.75" customHeight="1">
      <c r="B4" s="79" t="s">
        <v>1</v>
      </c>
      <c r="C4" s="97" t="str">
        <f>'Diseño'!C4</f>
        <v>785 - Análisis y Diseño de Sistemas 2</v>
      </c>
      <c r="D4" s="34"/>
      <c r="E4" s="34"/>
      <c r="F4" s="34"/>
      <c r="G4" s="35"/>
    </row>
    <row r="5" ht="15.75" customHeight="1">
      <c r="B5" s="81" t="s">
        <v>81</v>
      </c>
      <c r="C5" s="80">
        <v>4.0</v>
      </c>
      <c r="D5" s="34"/>
      <c r="E5" s="34"/>
      <c r="F5" s="34"/>
      <c r="G5" s="35"/>
    </row>
    <row r="6" ht="15.75" customHeight="1">
      <c r="B6" s="98" t="s">
        <v>159</v>
      </c>
      <c r="C6" s="80">
        <f>H10+H21+H44+H68</f>
        <v>110</v>
      </c>
      <c r="D6" s="34"/>
      <c r="E6" s="34"/>
      <c r="F6" s="34"/>
      <c r="G6" s="35"/>
      <c r="I6" s="6"/>
    </row>
    <row r="7" ht="15.75" customHeight="1">
      <c r="B7" s="98" t="s">
        <v>201</v>
      </c>
      <c r="C7" s="80">
        <f>B49+B60</f>
        <v>1</v>
      </c>
      <c r="D7" s="34"/>
      <c r="E7" s="34"/>
      <c r="F7" s="34"/>
      <c r="G7" s="35"/>
    </row>
    <row r="8" ht="15.75" customHeight="1">
      <c r="B8" s="98" t="s">
        <v>202</v>
      </c>
      <c r="C8" s="99"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100" t="s">
        <v>203</v>
      </c>
      <c r="G10" s="94" t="s">
        <v>162</v>
      </c>
      <c r="H10" s="101">
        <f>B13</f>
        <v>5</v>
      </c>
    </row>
    <row r="11" ht="15.75" customHeight="1">
      <c r="G11" s="86" t="s">
        <v>204</v>
      </c>
    </row>
    <row r="12" ht="15.75" customHeight="1">
      <c r="A12" s="89" t="s">
        <v>205</v>
      </c>
      <c r="B12" s="96" t="s">
        <v>251</v>
      </c>
      <c r="C12" s="34"/>
      <c r="D12" s="34"/>
      <c r="E12" s="34"/>
      <c r="F12" s="34"/>
      <c r="G12" s="34"/>
      <c r="H12" s="35"/>
    </row>
    <row r="13" ht="15.75" customHeight="1">
      <c r="A13" s="90" t="s">
        <v>162</v>
      </c>
      <c r="B13" s="91">
        <v>5.0</v>
      </c>
      <c r="C13" s="34"/>
      <c r="D13" s="34"/>
      <c r="E13" s="34"/>
      <c r="F13" s="34"/>
      <c r="G13" s="34"/>
      <c r="H13" s="35"/>
    </row>
    <row r="14" ht="15.75" customHeight="1">
      <c r="A14" s="102" t="s">
        <v>207</v>
      </c>
      <c r="B14" s="34"/>
      <c r="C14" s="34"/>
      <c r="D14" s="34"/>
      <c r="E14" s="34"/>
      <c r="F14" s="34"/>
      <c r="G14" s="34"/>
      <c r="H14" s="35"/>
    </row>
    <row r="15" ht="15.75" customHeight="1">
      <c r="A15" s="103" t="s">
        <v>252</v>
      </c>
      <c r="B15" s="62"/>
      <c r="C15" s="62"/>
      <c r="D15" s="62"/>
      <c r="E15" s="62"/>
      <c r="F15" s="62"/>
      <c r="G15" s="62"/>
      <c r="H15" s="63"/>
    </row>
    <row r="16" ht="15.75" customHeight="1">
      <c r="A16" s="64"/>
      <c r="B16" s="65"/>
      <c r="C16" s="65"/>
      <c r="D16" s="65"/>
      <c r="E16" s="65"/>
      <c r="F16" s="65"/>
      <c r="G16" s="65"/>
      <c r="H16" s="66"/>
    </row>
    <row r="17" ht="15.75" customHeight="1">
      <c r="A17" s="102" t="s">
        <v>209</v>
      </c>
      <c r="B17" s="34"/>
      <c r="C17" s="34"/>
      <c r="D17" s="34"/>
      <c r="E17" s="34"/>
      <c r="F17" s="34"/>
      <c r="G17" s="34"/>
      <c r="H17" s="35"/>
    </row>
    <row r="18" ht="15.75" customHeight="1">
      <c r="A18" s="103" t="s">
        <v>253</v>
      </c>
      <c r="B18" s="62"/>
      <c r="C18" s="62"/>
      <c r="D18" s="62"/>
      <c r="E18" s="62"/>
      <c r="F18" s="62"/>
      <c r="G18" s="62"/>
      <c r="H18" s="63"/>
    </row>
    <row r="19" ht="15.75" customHeight="1">
      <c r="A19" s="64"/>
      <c r="B19" s="65"/>
      <c r="C19" s="65"/>
      <c r="D19" s="65"/>
      <c r="E19" s="65"/>
      <c r="F19" s="65"/>
      <c r="G19" s="65"/>
      <c r="H19" s="66"/>
    </row>
    <row r="20" ht="15.75" customHeight="1"/>
    <row r="21" ht="15.75" customHeight="1">
      <c r="A21" s="100" t="s">
        <v>211</v>
      </c>
      <c r="G21" s="94" t="s">
        <v>162</v>
      </c>
      <c r="H21" s="101">
        <f>SUM(D39:H42)</f>
        <v>60</v>
      </c>
      <c r="I21" s="6"/>
    </row>
    <row r="22" ht="15.75" customHeight="1">
      <c r="G22" s="86" t="s">
        <v>212</v>
      </c>
    </row>
    <row r="23" ht="15.75" customHeight="1">
      <c r="A23" s="89" t="s">
        <v>213</v>
      </c>
      <c r="B23" s="91" t="s">
        <v>82</v>
      </c>
      <c r="C23" s="34"/>
      <c r="D23" s="34"/>
      <c r="E23" s="34"/>
      <c r="F23" s="34"/>
      <c r="G23" s="34"/>
      <c r="H23" s="35"/>
    </row>
    <row r="24" ht="15.75" customHeight="1">
      <c r="A24" s="89" t="s">
        <v>213</v>
      </c>
      <c r="B24" s="91" t="s">
        <v>109</v>
      </c>
      <c r="C24" s="34"/>
      <c r="D24" s="34"/>
      <c r="E24" s="34"/>
      <c r="F24" s="34"/>
      <c r="G24" s="34"/>
      <c r="H24" s="35"/>
    </row>
    <row r="25" ht="15.75" customHeight="1"/>
    <row r="26" ht="15.75" customHeight="1">
      <c r="A26" s="106" t="s">
        <v>215</v>
      </c>
      <c r="B26" s="6"/>
      <c r="C26" s="6"/>
      <c r="D26" s="6"/>
    </row>
    <row r="27" ht="15.75" customHeight="1">
      <c r="A27" s="107" t="s">
        <v>75</v>
      </c>
      <c r="B27" s="108" t="s">
        <v>216</v>
      </c>
      <c r="C27" s="35"/>
      <c r="D27" s="108" t="s">
        <v>217</v>
      </c>
      <c r="E27" s="35"/>
      <c r="F27" s="108" t="s">
        <v>218</v>
      </c>
      <c r="G27" s="34"/>
      <c r="H27" s="35"/>
    </row>
    <row r="28" ht="15.75" customHeight="1">
      <c r="A28" s="81">
        <v>1.0</v>
      </c>
      <c r="B28" s="80" t="str">
        <f>IFERROR(__xludf.DUMMYFUNCTION("FILTER('Diseño'!D:D,'Diseño'!H:H=$C$5)"),"Patrones de diseño")</f>
        <v>Patrones de diseño</v>
      </c>
      <c r="C28" s="35"/>
      <c r="D28" s="80" t="str">
        <f>IFERROR(__xludf.DUMMYFUNCTION("FILTER('Diseño'!E:E,'Diseño'!H:H=$C$5)"),"Elementos de diseño")</f>
        <v>Elementos de diseño</v>
      </c>
      <c r="E28" s="35"/>
      <c r="F28" s="80" t="str">
        <f>IFERROR(__xludf.DUMMYFUNCTION("FILTER('Diseño'!F:F,'Diseño'!H:H=$C$5)"),"Estructurales")</f>
        <v>Estructurales</v>
      </c>
      <c r="G28" s="34"/>
      <c r="H28" s="35"/>
    </row>
    <row r="29" ht="15.75" customHeight="1">
      <c r="A29" s="81">
        <v>2.0</v>
      </c>
      <c r="B29" s="80" t="str">
        <f>IFERROR(__xludf.DUMMYFUNCTION("""COMPUTED_VALUE"""),"Patrones de diseño")</f>
        <v>Patrones de diseño</v>
      </c>
      <c r="C29" s="35"/>
      <c r="D29" s="80" t="str">
        <f>IFERROR(__xludf.DUMMYFUNCTION("""COMPUTED_VALUE"""),"Elementos de diseño")</f>
        <v>Elementos de diseño</v>
      </c>
      <c r="E29" s="35"/>
      <c r="F29" s="80" t="str">
        <f>IFERROR(__xludf.DUMMYFUNCTION("""COMPUTED_VALUE"""),"Adapter")</f>
        <v>Adapter</v>
      </c>
      <c r="G29" s="34"/>
      <c r="H29" s="35"/>
    </row>
    <row r="30" ht="15.75" customHeight="1">
      <c r="A30" s="81">
        <v>3.0</v>
      </c>
      <c r="B30" s="80" t="str">
        <f>IFERROR(__xludf.DUMMYFUNCTION("""COMPUTED_VALUE"""),"Patrones de diseño")</f>
        <v>Patrones de diseño</v>
      </c>
      <c r="C30" s="35"/>
      <c r="D30" s="80" t="str">
        <f>IFERROR(__xludf.DUMMYFUNCTION("""COMPUTED_VALUE"""),"Elementos de diseño")</f>
        <v>Elementos de diseño</v>
      </c>
      <c r="E30" s="35"/>
      <c r="F30" s="80" t="str">
        <f>IFERROR(__xludf.DUMMYFUNCTION("""COMPUTED_VALUE"""),"Proxy")</f>
        <v>Proxy</v>
      </c>
      <c r="G30" s="34"/>
      <c r="H30" s="35"/>
    </row>
    <row r="31" ht="15.75" customHeight="1">
      <c r="A31" s="81">
        <v>4.0</v>
      </c>
      <c r="B31" s="80"/>
      <c r="C31" s="35"/>
      <c r="D31" s="80"/>
      <c r="E31" s="35"/>
      <c r="F31" s="80"/>
      <c r="G31" s="34"/>
      <c r="H31" s="35"/>
    </row>
    <row r="32" ht="15.75" customHeight="1">
      <c r="A32" s="81">
        <v>5.0</v>
      </c>
      <c r="B32" s="80"/>
      <c r="C32" s="35"/>
      <c r="D32" s="80"/>
      <c r="E32" s="35"/>
      <c r="F32" s="80"/>
      <c r="G32" s="34"/>
      <c r="H32" s="35"/>
    </row>
    <row r="33" ht="15.75" customHeight="1">
      <c r="A33" s="81">
        <v>6.0</v>
      </c>
      <c r="B33" s="80"/>
      <c r="C33" s="35"/>
      <c r="D33" s="80"/>
      <c r="E33" s="35"/>
      <c r="F33" s="80"/>
      <c r="G33" s="34"/>
      <c r="H33" s="35"/>
    </row>
    <row r="34" ht="15.75" customHeight="1">
      <c r="A34" s="81">
        <v>7.0</v>
      </c>
      <c r="B34" s="80"/>
      <c r="C34" s="35"/>
      <c r="D34" s="80"/>
      <c r="E34" s="35"/>
      <c r="F34" s="80"/>
      <c r="G34" s="34"/>
      <c r="H34" s="35"/>
    </row>
    <row r="35" ht="15.75" customHeight="1"/>
    <row r="36" ht="15.75" customHeight="1">
      <c r="A36" s="106" t="s">
        <v>220</v>
      </c>
    </row>
    <row r="37" ht="15.75" customHeight="1">
      <c r="A37" s="6"/>
      <c r="B37" s="6"/>
      <c r="C37" s="6"/>
      <c r="D37" s="6"/>
      <c r="E37" s="6"/>
      <c r="F37" s="6"/>
      <c r="G37" s="6"/>
      <c r="H37" s="6"/>
    </row>
    <row r="38">
      <c r="A38" s="107" t="s">
        <v>221</v>
      </c>
      <c r="B38" s="107" t="s">
        <v>29</v>
      </c>
      <c r="C38" s="111" t="s">
        <v>222</v>
      </c>
      <c r="D38" s="112" t="s">
        <v>223</v>
      </c>
      <c r="E38" s="34"/>
      <c r="F38" s="34"/>
      <c r="G38" s="34"/>
      <c r="H38" s="35"/>
      <c r="I38" s="113" t="s">
        <v>18</v>
      </c>
    </row>
    <row r="39" ht="15.75" customHeight="1">
      <c r="A39" s="81" t="s">
        <v>224</v>
      </c>
      <c r="B39" s="81" t="s">
        <v>225</v>
      </c>
      <c r="C39" s="81">
        <v>30.0</v>
      </c>
      <c r="D39" s="91">
        <v>30.0</v>
      </c>
      <c r="E39" s="34"/>
      <c r="F39" s="34"/>
      <c r="G39" s="34"/>
      <c r="H39" s="35"/>
      <c r="I39" s="81" t="str">
        <f t="shared" ref="I39:I42" si="1">IF(D39&lt;=C39,"Correcto", "Corregir")</f>
        <v>Correcto</v>
      </c>
    </row>
    <row r="40" ht="15.75" customHeight="1">
      <c r="A40" s="81" t="s">
        <v>226</v>
      </c>
      <c r="B40" s="81" t="s">
        <v>225</v>
      </c>
      <c r="C40" s="81">
        <v>6.0</v>
      </c>
      <c r="D40" s="91">
        <v>5.0</v>
      </c>
      <c r="E40" s="34"/>
      <c r="F40" s="34"/>
      <c r="G40" s="34"/>
      <c r="H40" s="35"/>
      <c r="I40" s="81" t="str">
        <f t="shared" si="1"/>
        <v>Correcto</v>
      </c>
    </row>
    <row r="41" ht="15.75" customHeight="1">
      <c r="A41" s="81" t="s">
        <v>227</v>
      </c>
      <c r="B41" s="81" t="s">
        <v>228</v>
      </c>
      <c r="C41" s="81">
        <v>10.0</v>
      </c>
      <c r="D41" s="91">
        <v>0.0</v>
      </c>
      <c r="E41" s="34"/>
      <c r="F41" s="34"/>
      <c r="G41" s="34"/>
      <c r="H41" s="35"/>
      <c r="I41" s="81" t="str">
        <f t="shared" si="1"/>
        <v>Correcto</v>
      </c>
    </row>
    <row r="42" ht="15.75" customHeight="1">
      <c r="A42" s="81" t="s">
        <v>229</v>
      </c>
      <c r="B42" s="81" t="s">
        <v>225</v>
      </c>
      <c r="C42" s="81">
        <v>30.0</v>
      </c>
      <c r="D42" s="91">
        <v>25.0</v>
      </c>
      <c r="E42" s="34"/>
      <c r="F42" s="34"/>
      <c r="G42" s="34"/>
      <c r="H42" s="35"/>
      <c r="I42" s="81" t="str">
        <f t="shared" si="1"/>
        <v>Correcto</v>
      </c>
    </row>
    <row r="43" ht="15.75" customHeight="1"/>
    <row r="44" ht="15.75" customHeight="1">
      <c r="A44" s="100" t="s">
        <v>230</v>
      </c>
      <c r="G44" s="94" t="s">
        <v>162</v>
      </c>
      <c r="H44" s="101">
        <f>B50</f>
        <v>35</v>
      </c>
    </row>
    <row r="45" ht="15.75" customHeight="1">
      <c r="G45" s="86" t="s">
        <v>231</v>
      </c>
    </row>
    <row r="46" ht="15.75" customHeight="1">
      <c r="A46" s="86" t="s">
        <v>232</v>
      </c>
    </row>
    <row r="47">
      <c r="A47" s="89" t="s">
        <v>233</v>
      </c>
      <c r="B47" s="91" t="s">
        <v>254</v>
      </c>
      <c r="C47" s="34"/>
      <c r="D47" s="34"/>
      <c r="E47" s="34"/>
      <c r="F47" s="34"/>
      <c r="G47" s="34"/>
      <c r="H47" s="35"/>
    </row>
    <row r="48" ht="15.75" customHeight="1">
      <c r="A48" s="89" t="s">
        <v>8</v>
      </c>
      <c r="B48" s="80" t="s">
        <v>234</v>
      </c>
      <c r="C48" s="34"/>
      <c r="D48" s="34"/>
      <c r="E48" s="34"/>
      <c r="F48" s="34"/>
      <c r="G48" s="34"/>
      <c r="H48" s="35"/>
    </row>
    <row r="49" ht="15.75" customHeight="1">
      <c r="A49" s="89" t="s">
        <v>201</v>
      </c>
      <c r="B49" s="114">
        <v>1.0</v>
      </c>
      <c r="C49" s="34"/>
      <c r="D49" s="34"/>
      <c r="E49" s="34"/>
      <c r="F49" s="34"/>
      <c r="G49" s="34"/>
      <c r="H49" s="35"/>
    </row>
    <row r="50" ht="15.75" customHeight="1">
      <c r="A50" s="89" t="s">
        <v>162</v>
      </c>
      <c r="B50" s="91">
        <v>35.0</v>
      </c>
      <c r="C50" s="34"/>
      <c r="D50" s="34"/>
      <c r="E50" s="34"/>
      <c r="F50" s="34"/>
      <c r="G50" s="34"/>
      <c r="H50" s="35"/>
    </row>
    <row r="51" ht="15.75" customHeight="1">
      <c r="A51" s="115" t="s">
        <v>235</v>
      </c>
      <c r="B51" s="6"/>
      <c r="C51" s="6"/>
      <c r="D51" s="6"/>
      <c r="E51" s="6"/>
      <c r="F51" s="6"/>
      <c r="G51" s="6"/>
      <c r="H51" s="6"/>
    </row>
    <row r="52" ht="15.75" customHeight="1">
      <c r="A52" s="102" t="s">
        <v>236</v>
      </c>
      <c r="B52" s="34"/>
      <c r="C52" s="34"/>
      <c r="D52" s="34"/>
      <c r="E52" s="34"/>
      <c r="F52" s="34"/>
      <c r="G52" s="34"/>
      <c r="H52" s="35"/>
    </row>
    <row r="53" ht="15.75" customHeight="1">
      <c r="A53" s="103" t="s">
        <v>255</v>
      </c>
      <c r="B53" s="62"/>
      <c r="C53" s="62"/>
      <c r="D53" s="62"/>
      <c r="E53" s="62"/>
      <c r="F53" s="62"/>
      <c r="G53" s="62"/>
      <c r="H53" s="63"/>
    </row>
    <row r="54" ht="15.75" customHeight="1">
      <c r="A54" s="116"/>
      <c r="H54" s="117"/>
    </row>
    <row r="55" ht="15.75" customHeight="1">
      <c r="A55" s="64"/>
      <c r="B55" s="65"/>
      <c r="C55" s="65"/>
      <c r="D55" s="65"/>
      <c r="E55" s="65"/>
      <c r="F55" s="65"/>
      <c r="G55" s="65"/>
      <c r="H55" s="66"/>
    </row>
    <row r="56" ht="15.75" customHeight="1"/>
    <row r="57" ht="15.75" customHeight="1">
      <c r="A57" s="86" t="s">
        <v>238</v>
      </c>
    </row>
    <row r="58">
      <c r="A58" s="89" t="s">
        <v>233</v>
      </c>
      <c r="B58" s="80"/>
      <c r="C58" s="34"/>
      <c r="D58" s="34"/>
      <c r="E58" s="34"/>
      <c r="F58" s="34"/>
      <c r="G58" s="34"/>
      <c r="H58" s="35"/>
    </row>
    <row r="59" ht="15.75" customHeight="1">
      <c r="A59" s="89" t="s">
        <v>8</v>
      </c>
      <c r="B59" s="80"/>
      <c r="C59" s="34"/>
      <c r="D59" s="34"/>
      <c r="E59" s="34"/>
      <c r="F59" s="34"/>
      <c r="G59" s="34"/>
      <c r="H59" s="35"/>
    </row>
    <row r="60" ht="15.75" customHeight="1">
      <c r="A60" s="89" t="s">
        <v>201</v>
      </c>
      <c r="B60" s="118"/>
      <c r="C60" s="34"/>
      <c r="D60" s="34"/>
      <c r="E60" s="34"/>
      <c r="F60" s="34"/>
      <c r="G60" s="34"/>
      <c r="H60" s="35"/>
    </row>
    <row r="61" ht="15.75" customHeight="1">
      <c r="A61" s="89" t="s">
        <v>162</v>
      </c>
      <c r="B61" s="118"/>
      <c r="C61" s="34"/>
      <c r="D61" s="34"/>
      <c r="E61" s="34"/>
      <c r="F61" s="34"/>
      <c r="G61" s="34"/>
      <c r="H61" s="35"/>
    </row>
    <row r="62" ht="15.75" customHeight="1">
      <c r="A62" s="119" t="s">
        <v>239</v>
      </c>
      <c r="B62" s="6"/>
      <c r="C62" s="6"/>
      <c r="D62" s="6"/>
      <c r="E62" s="6"/>
      <c r="F62" s="6"/>
      <c r="G62" s="6"/>
      <c r="H62" s="6"/>
    </row>
    <row r="63" ht="15.75" customHeight="1">
      <c r="A63" s="102" t="s">
        <v>236</v>
      </c>
      <c r="B63" s="34"/>
      <c r="C63" s="34"/>
      <c r="D63" s="34"/>
      <c r="E63" s="34"/>
      <c r="F63" s="34"/>
      <c r="G63" s="34"/>
      <c r="H63" s="35"/>
    </row>
    <row r="64" ht="15.75" customHeight="1">
      <c r="A64" s="104"/>
      <c r="B64" s="62"/>
      <c r="C64" s="62"/>
      <c r="D64" s="62"/>
      <c r="E64" s="62"/>
      <c r="F64" s="62"/>
      <c r="G64" s="62"/>
      <c r="H64" s="63"/>
    </row>
    <row r="65" ht="15.75" customHeight="1">
      <c r="A65" s="116"/>
      <c r="H65" s="117"/>
    </row>
    <row r="66" ht="15.75" customHeight="1">
      <c r="A66" s="64"/>
      <c r="B66" s="65"/>
      <c r="C66" s="65"/>
      <c r="D66" s="65"/>
      <c r="E66" s="65"/>
      <c r="F66" s="65"/>
      <c r="G66" s="65"/>
      <c r="H66" s="66"/>
    </row>
    <row r="67" ht="15.75" customHeight="1"/>
    <row r="68" ht="15.75" customHeight="1">
      <c r="A68" s="100" t="s">
        <v>240</v>
      </c>
      <c r="G68" s="94" t="s">
        <v>162</v>
      </c>
      <c r="H68" s="101">
        <f>B70</f>
        <v>10</v>
      </c>
    </row>
    <row r="69" ht="15.75" customHeight="1">
      <c r="G69" s="86" t="s">
        <v>241</v>
      </c>
    </row>
    <row r="70" ht="15.75" customHeight="1">
      <c r="A70" s="89" t="s">
        <v>162</v>
      </c>
      <c r="B70" s="114">
        <v>10.0</v>
      </c>
      <c r="C70" s="34"/>
      <c r="D70" s="34"/>
      <c r="E70" s="34"/>
      <c r="F70" s="34"/>
      <c r="G70" s="34"/>
      <c r="H70" s="35"/>
    </row>
    <row r="71" ht="15.75" customHeight="1">
      <c r="A71" s="112" t="s">
        <v>242</v>
      </c>
      <c r="B71" s="34"/>
      <c r="C71" s="34"/>
      <c r="D71" s="34"/>
      <c r="E71" s="34"/>
      <c r="F71" s="34"/>
      <c r="G71" s="34"/>
      <c r="H71" s="35"/>
    </row>
    <row r="72" ht="15.75" customHeight="1">
      <c r="A72" s="121" t="s">
        <v>256</v>
      </c>
      <c r="B72" s="62"/>
      <c r="C72" s="62"/>
      <c r="D72" s="62"/>
      <c r="E72" s="62"/>
      <c r="F72" s="62"/>
      <c r="G72" s="62"/>
      <c r="H72" s="63"/>
    </row>
    <row r="73" ht="15.75" customHeight="1">
      <c r="A73" s="64"/>
      <c r="B73" s="65"/>
      <c r="C73" s="65"/>
      <c r="D73" s="65"/>
      <c r="E73" s="65"/>
      <c r="F73" s="65"/>
      <c r="G73" s="65"/>
      <c r="H73" s="66"/>
    </row>
    <row r="74" ht="15.75" customHeight="1">
      <c r="A74" s="86" t="s">
        <v>244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200</v>
      </c>
    </row>
    <row r="3" ht="15.75" customHeight="1"/>
    <row r="4" ht="15.75" customHeight="1">
      <c r="B4" s="79" t="s">
        <v>1</v>
      </c>
      <c r="C4" s="97" t="str">
        <f>'Diseño'!C4</f>
        <v>785 - Análisis y Diseño de Sistemas 2</v>
      </c>
      <c r="D4" s="34"/>
      <c r="E4" s="34"/>
      <c r="F4" s="34"/>
      <c r="G4" s="35"/>
    </row>
    <row r="5" ht="15.75" customHeight="1">
      <c r="B5" s="81" t="s">
        <v>81</v>
      </c>
      <c r="C5" s="80">
        <v>5.0</v>
      </c>
      <c r="D5" s="34"/>
      <c r="E5" s="34"/>
      <c r="F5" s="34"/>
      <c r="G5" s="35"/>
    </row>
    <row r="6" ht="15.75" customHeight="1">
      <c r="B6" s="98" t="s">
        <v>159</v>
      </c>
      <c r="C6" s="80">
        <f>H10+H21+H44+H68</f>
        <v>105</v>
      </c>
      <c r="D6" s="34"/>
      <c r="E6" s="34"/>
      <c r="F6" s="34"/>
      <c r="G6" s="35"/>
      <c r="I6" s="6"/>
    </row>
    <row r="7" ht="15.75" customHeight="1">
      <c r="B7" s="98" t="s">
        <v>201</v>
      </c>
      <c r="C7" s="80">
        <f>B49+B60</f>
        <v>1</v>
      </c>
      <c r="D7" s="34"/>
      <c r="E7" s="34"/>
      <c r="F7" s="34"/>
      <c r="G7" s="35"/>
    </row>
    <row r="8" ht="15.75" customHeight="1">
      <c r="B8" s="98" t="s">
        <v>202</v>
      </c>
      <c r="C8" s="99" t="str">
        <f>IF(H44&lt;=0, "❌ ERROR: La Actividad 1 debe tener un tiempo mayor a 0.", IF(H21&gt;60, "❌ ERROR: El 'Área de Conocimiento' no puede exceder los 60 min.", IF((H10+H21+H44+H68)&lt;100, "❌ ERROR: El tiempo total debe ser de al menos 100 min.", "✅ VALIDACIÓN CORRECTA")))</f>
        <v>✅ VALIDACIÓN CORRECTA</v>
      </c>
      <c r="D8" s="34"/>
      <c r="E8" s="34"/>
      <c r="F8" s="34"/>
      <c r="G8" s="35"/>
      <c r="I8" s="6"/>
      <c r="J8" s="6"/>
      <c r="K8" s="6"/>
    </row>
    <row r="9" ht="15.75" customHeight="1"/>
    <row r="10" ht="15.75" customHeight="1">
      <c r="A10" s="100" t="s">
        <v>203</v>
      </c>
      <c r="G10" s="94" t="s">
        <v>162</v>
      </c>
      <c r="H10" s="101">
        <f>B13</f>
        <v>5</v>
      </c>
    </row>
    <row r="11" ht="15.75" customHeight="1">
      <c r="G11" s="86" t="s">
        <v>204</v>
      </c>
    </row>
    <row r="12" ht="15.75" customHeight="1">
      <c r="A12" s="89" t="s">
        <v>205</v>
      </c>
      <c r="B12" s="96" t="s">
        <v>257</v>
      </c>
      <c r="C12" s="34"/>
      <c r="D12" s="34"/>
      <c r="E12" s="34"/>
      <c r="F12" s="34"/>
      <c r="G12" s="34"/>
      <c r="H12" s="35"/>
    </row>
    <row r="13" ht="15.75" customHeight="1">
      <c r="A13" s="90" t="s">
        <v>162</v>
      </c>
      <c r="B13" s="91">
        <v>5.0</v>
      </c>
      <c r="C13" s="34"/>
      <c r="D13" s="34"/>
      <c r="E13" s="34"/>
      <c r="F13" s="34"/>
      <c r="G13" s="34"/>
      <c r="H13" s="35"/>
    </row>
    <row r="14" ht="15.75" customHeight="1">
      <c r="A14" s="102" t="s">
        <v>207</v>
      </c>
      <c r="B14" s="34"/>
      <c r="C14" s="34"/>
      <c r="D14" s="34"/>
      <c r="E14" s="34"/>
      <c r="F14" s="34"/>
      <c r="G14" s="34"/>
      <c r="H14" s="35"/>
    </row>
    <row r="15" ht="15.75" customHeight="1">
      <c r="A15" s="61" t="s">
        <v>258</v>
      </c>
      <c r="B15" s="62"/>
      <c r="C15" s="62"/>
      <c r="D15" s="62"/>
      <c r="E15" s="62"/>
      <c r="F15" s="62"/>
      <c r="G15" s="62"/>
      <c r="H15" s="63"/>
    </row>
    <row r="16" ht="15.75" customHeight="1">
      <c r="A16" s="64"/>
      <c r="B16" s="65"/>
      <c r="C16" s="65"/>
      <c r="D16" s="65"/>
      <c r="E16" s="65"/>
      <c r="F16" s="65"/>
      <c r="G16" s="65"/>
      <c r="H16" s="66"/>
    </row>
    <row r="17" ht="15.75" customHeight="1">
      <c r="A17" s="102" t="s">
        <v>209</v>
      </c>
      <c r="B17" s="34"/>
      <c r="C17" s="34"/>
      <c r="D17" s="34"/>
      <c r="E17" s="34"/>
      <c r="F17" s="34"/>
      <c r="G17" s="34"/>
      <c r="H17" s="35"/>
    </row>
    <row r="18" ht="15.75" customHeight="1">
      <c r="A18" s="61" t="s">
        <v>259</v>
      </c>
      <c r="B18" s="62"/>
      <c r="C18" s="62"/>
      <c r="D18" s="62"/>
      <c r="E18" s="62"/>
      <c r="F18" s="62"/>
      <c r="G18" s="62"/>
      <c r="H18" s="63"/>
    </row>
    <row r="19" ht="15.75" customHeight="1">
      <c r="A19" s="64"/>
      <c r="B19" s="65"/>
      <c r="C19" s="65"/>
      <c r="D19" s="65"/>
      <c r="E19" s="65"/>
      <c r="F19" s="65"/>
      <c r="G19" s="65"/>
      <c r="H19" s="66"/>
    </row>
    <row r="20" ht="15.75" customHeight="1"/>
    <row r="21" ht="15.75" customHeight="1">
      <c r="A21" s="100" t="s">
        <v>211</v>
      </c>
      <c r="G21" s="94" t="s">
        <v>162</v>
      </c>
      <c r="H21" s="101">
        <f>SUM(D39:H42)</f>
        <v>60</v>
      </c>
      <c r="I21" s="6"/>
    </row>
    <row r="22" ht="15.75" customHeight="1">
      <c r="G22" s="86" t="s">
        <v>212</v>
      </c>
    </row>
    <row r="23" ht="15.75" customHeight="1">
      <c r="A23" s="89" t="s">
        <v>213</v>
      </c>
      <c r="B23" s="91" t="s">
        <v>41</v>
      </c>
      <c r="C23" s="34"/>
      <c r="D23" s="34"/>
      <c r="E23" s="34"/>
      <c r="F23" s="34"/>
      <c r="G23" s="34"/>
      <c r="H23" s="35"/>
    </row>
    <row r="24" ht="15.75" customHeight="1">
      <c r="A24" s="89" t="s">
        <v>213</v>
      </c>
      <c r="B24" s="91" t="s">
        <v>82</v>
      </c>
      <c r="C24" s="34"/>
      <c r="D24" s="34"/>
      <c r="E24" s="34"/>
      <c r="F24" s="34"/>
      <c r="G24" s="34"/>
      <c r="H24" s="35"/>
    </row>
    <row r="25" ht="15.75" customHeight="1"/>
    <row r="26" ht="15.75" customHeight="1">
      <c r="A26" s="106" t="s">
        <v>215</v>
      </c>
      <c r="B26" s="6"/>
      <c r="C26" s="6"/>
      <c r="D26" s="6"/>
    </row>
    <row r="27" ht="15.75" customHeight="1">
      <c r="A27" s="107" t="s">
        <v>75</v>
      </c>
      <c r="B27" s="108" t="s">
        <v>216</v>
      </c>
      <c r="C27" s="35"/>
      <c r="D27" s="108" t="s">
        <v>217</v>
      </c>
      <c r="E27" s="35"/>
      <c r="F27" s="108" t="s">
        <v>218</v>
      </c>
      <c r="G27" s="34"/>
      <c r="H27" s="35"/>
    </row>
    <row r="28" ht="15.75" customHeight="1">
      <c r="A28" s="81">
        <v>1.0</v>
      </c>
      <c r="B28" s="91" t="s">
        <v>260</v>
      </c>
      <c r="C28" s="35"/>
      <c r="D28" s="91" t="s">
        <v>84</v>
      </c>
      <c r="E28" s="122"/>
      <c r="F28" s="91" t="s">
        <v>101</v>
      </c>
      <c r="G28" s="34"/>
      <c r="H28" s="35"/>
    </row>
    <row r="29" ht="15.75" customHeight="1">
      <c r="A29" s="81">
        <v>2.0</v>
      </c>
      <c r="B29" s="91" t="s">
        <v>260</v>
      </c>
      <c r="C29" s="35"/>
      <c r="D29" s="91" t="s">
        <v>84</v>
      </c>
      <c r="E29" s="122"/>
      <c r="F29" s="91" t="s">
        <v>102</v>
      </c>
      <c r="G29" s="34"/>
      <c r="H29" s="35"/>
    </row>
    <row r="30" ht="15.75" customHeight="1">
      <c r="A30" s="81">
        <v>3.0</v>
      </c>
      <c r="B30" s="91" t="s">
        <v>260</v>
      </c>
      <c r="C30" s="35"/>
      <c r="D30" s="91" t="s">
        <v>84</v>
      </c>
      <c r="E30" s="122"/>
      <c r="F30" s="91" t="s">
        <v>103</v>
      </c>
      <c r="G30" s="34"/>
      <c r="H30" s="35"/>
    </row>
    <row r="31" ht="15.75" customHeight="1">
      <c r="A31" s="81">
        <v>4.0</v>
      </c>
      <c r="B31" s="91" t="s">
        <v>260</v>
      </c>
      <c r="C31" s="35"/>
      <c r="D31" s="91" t="s">
        <v>84</v>
      </c>
      <c r="E31" s="122"/>
      <c r="F31" s="91" t="s">
        <v>104</v>
      </c>
      <c r="G31" s="34"/>
      <c r="H31" s="35"/>
    </row>
    <row r="32" ht="15.75" customHeight="1">
      <c r="A32" s="81">
        <v>5.0</v>
      </c>
      <c r="B32" s="80"/>
      <c r="C32" s="35"/>
      <c r="D32" s="80"/>
      <c r="E32" s="35"/>
      <c r="F32" s="80"/>
      <c r="G32" s="34"/>
      <c r="H32" s="35"/>
    </row>
    <row r="33" ht="15.75" customHeight="1">
      <c r="A33" s="81">
        <v>6.0</v>
      </c>
      <c r="B33" s="80"/>
      <c r="C33" s="35"/>
      <c r="D33" s="80"/>
      <c r="E33" s="35"/>
      <c r="F33" s="80"/>
      <c r="G33" s="34"/>
      <c r="H33" s="35"/>
    </row>
    <row r="34" ht="15.75" customHeight="1">
      <c r="A34" s="81">
        <v>7.0</v>
      </c>
      <c r="B34" s="80"/>
      <c r="C34" s="35"/>
      <c r="D34" s="80"/>
      <c r="E34" s="35"/>
      <c r="F34" s="80"/>
      <c r="G34" s="34"/>
      <c r="H34" s="35"/>
    </row>
    <row r="35" ht="15.75" customHeight="1"/>
    <row r="36" ht="15.75" customHeight="1">
      <c r="A36" s="106" t="s">
        <v>220</v>
      </c>
    </row>
    <row r="37" ht="15.75" customHeight="1">
      <c r="A37" s="6"/>
      <c r="B37" s="6"/>
      <c r="C37" s="6"/>
      <c r="D37" s="6"/>
      <c r="E37" s="6"/>
      <c r="F37" s="6"/>
      <c r="G37" s="6"/>
      <c r="H37" s="6"/>
    </row>
    <row r="38">
      <c r="A38" s="107" t="s">
        <v>221</v>
      </c>
      <c r="B38" s="107" t="s">
        <v>29</v>
      </c>
      <c r="C38" s="111" t="s">
        <v>222</v>
      </c>
      <c r="D38" s="112" t="s">
        <v>223</v>
      </c>
      <c r="E38" s="34"/>
      <c r="F38" s="34"/>
      <c r="G38" s="34"/>
      <c r="H38" s="35"/>
      <c r="I38" s="113" t="s">
        <v>18</v>
      </c>
    </row>
    <row r="39" ht="15.75" customHeight="1">
      <c r="A39" s="81" t="s">
        <v>224</v>
      </c>
      <c r="B39" s="81" t="s">
        <v>225</v>
      </c>
      <c r="C39" s="81">
        <v>30.0</v>
      </c>
      <c r="D39" s="91">
        <v>25.0</v>
      </c>
      <c r="E39" s="34"/>
      <c r="F39" s="34"/>
      <c r="G39" s="34"/>
      <c r="H39" s="35"/>
      <c r="I39" s="81" t="str">
        <f t="shared" ref="I39:I42" si="1">IF(D39&lt;=C39,"Correcto", "Corregir")</f>
        <v>Correcto</v>
      </c>
    </row>
    <row r="40" ht="15.75" customHeight="1">
      <c r="A40" s="81" t="s">
        <v>226</v>
      </c>
      <c r="B40" s="81" t="s">
        <v>225</v>
      </c>
      <c r="C40" s="81">
        <v>6.0</v>
      </c>
      <c r="D40" s="91">
        <v>5.0</v>
      </c>
      <c r="E40" s="34"/>
      <c r="F40" s="34"/>
      <c r="G40" s="34"/>
      <c r="H40" s="35"/>
      <c r="I40" s="81" t="str">
        <f t="shared" si="1"/>
        <v>Correcto</v>
      </c>
    </row>
    <row r="41" ht="15.75" customHeight="1">
      <c r="A41" s="81" t="s">
        <v>227</v>
      </c>
      <c r="B41" s="81" t="s">
        <v>228</v>
      </c>
      <c r="C41" s="81">
        <v>10.0</v>
      </c>
      <c r="D41" s="91">
        <v>15.0</v>
      </c>
      <c r="E41" s="34"/>
      <c r="F41" s="34"/>
      <c r="G41" s="34"/>
      <c r="H41" s="35"/>
      <c r="I41" s="81" t="str">
        <f t="shared" si="1"/>
        <v>Corregir</v>
      </c>
    </row>
    <row r="42" ht="15.75" customHeight="1">
      <c r="A42" s="81" t="s">
        <v>229</v>
      </c>
      <c r="B42" s="81" t="s">
        <v>225</v>
      </c>
      <c r="C42" s="81">
        <v>30.0</v>
      </c>
      <c r="D42" s="91">
        <v>15.0</v>
      </c>
      <c r="E42" s="34"/>
      <c r="F42" s="34"/>
      <c r="G42" s="34"/>
      <c r="H42" s="35"/>
      <c r="I42" s="81" t="str">
        <f t="shared" si="1"/>
        <v>Correcto</v>
      </c>
    </row>
    <row r="43" ht="15.75" customHeight="1"/>
    <row r="44" ht="15.75" customHeight="1">
      <c r="A44" s="100" t="s">
        <v>230</v>
      </c>
      <c r="G44" s="94" t="s">
        <v>162</v>
      </c>
      <c r="H44" s="101">
        <f>B50</f>
        <v>30</v>
      </c>
    </row>
    <row r="45" ht="15.75" customHeight="1">
      <c r="G45" s="86" t="s">
        <v>231</v>
      </c>
    </row>
    <row r="46" ht="15.75" customHeight="1">
      <c r="A46" s="86" t="s">
        <v>232</v>
      </c>
    </row>
    <row r="47">
      <c r="A47" s="89" t="s">
        <v>233</v>
      </c>
      <c r="B47" s="91" t="s">
        <v>82</v>
      </c>
      <c r="C47" s="34"/>
      <c r="D47" s="34"/>
      <c r="E47" s="34"/>
      <c r="F47" s="34"/>
      <c r="G47" s="34"/>
      <c r="H47" s="35"/>
    </row>
    <row r="48" ht="15.75" customHeight="1">
      <c r="A48" s="89" t="s">
        <v>8</v>
      </c>
      <c r="B48" s="80" t="s">
        <v>234</v>
      </c>
      <c r="C48" s="34"/>
      <c r="D48" s="34"/>
      <c r="E48" s="34"/>
      <c r="F48" s="34"/>
      <c r="G48" s="34"/>
      <c r="H48" s="35"/>
    </row>
    <row r="49" ht="15.75" customHeight="1">
      <c r="A49" s="89" t="s">
        <v>201</v>
      </c>
      <c r="B49" s="114">
        <v>1.0</v>
      </c>
      <c r="C49" s="34"/>
      <c r="D49" s="34"/>
      <c r="E49" s="34"/>
      <c r="F49" s="34"/>
      <c r="G49" s="34"/>
      <c r="H49" s="35"/>
    </row>
    <row r="50" ht="15.75" customHeight="1">
      <c r="A50" s="89" t="s">
        <v>162</v>
      </c>
      <c r="B50" s="91">
        <v>30.0</v>
      </c>
      <c r="C50" s="34"/>
      <c r="D50" s="34"/>
      <c r="E50" s="34"/>
      <c r="F50" s="34"/>
      <c r="G50" s="34"/>
      <c r="H50" s="35"/>
    </row>
    <row r="51" ht="15.75" customHeight="1">
      <c r="A51" s="115" t="s">
        <v>235</v>
      </c>
      <c r="B51" s="6"/>
      <c r="C51" s="6"/>
      <c r="D51" s="6"/>
      <c r="E51" s="6"/>
      <c r="F51" s="6"/>
      <c r="G51" s="6"/>
      <c r="H51" s="6"/>
    </row>
    <row r="52" ht="15.75" customHeight="1">
      <c r="A52" s="102" t="s">
        <v>236</v>
      </c>
      <c r="B52" s="34"/>
      <c r="C52" s="34"/>
      <c r="D52" s="34"/>
      <c r="E52" s="34"/>
      <c r="F52" s="34"/>
      <c r="G52" s="34"/>
      <c r="H52" s="35"/>
    </row>
    <row r="53" ht="15.75" customHeight="1">
      <c r="A53" s="61" t="s">
        <v>261</v>
      </c>
      <c r="B53" s="62"/>
      <c r="C53" s="62"/>
      <c r="D53" s="62"/>
      <c r="E53" s="62"/>
      <c r="F53" s="62"/>
      <c r="G53" s="62"/>
      <c r="H53" s="63"/>
    </row>
    <row r="54" ht="15.75" customHeight="1">
      <c r="A54" s="116"/>
      <c r="H54" s="117"/>
    </row>
    <row r="55" ht="15.75" customHeight="1">
      <c r="A55" s="64"/>
      <c r="B55" s="65"/>
      <c r="C55" s="65"/>
      <c r="D55" s="65"/>
      <c r="E55" s="65"/>
      <c r="F55" s="65"/>
      <c r="G55" s="65"/>
      <c r="H55" s="66"/>
    </row>
    <row r="56" ht="15.75" customHeight="1"/>
    <row r="57" ht="15.75" customHeight="1">
      <c r="A57" s="86" t="s">
        <v>238</v>
      </c>
    </row>
    <row r="58">
      <c r="A58" s="89" t="s">
        <v>233</v>
      </c>
      <c r="B58" s="80"/>
      <c r="C58" s="34"/>
      <c r="D58" s="34"/>
      <c r="E58" s="34"/>
      <c r="F58" s="34"/>
      <c r="G58" s="34"/>
      <c r="H58" s="35"/>
    </row>
    <row r="59" ht="15.75" customHeight="1">
      <c r="A59" s="89" t="s">
        <v>8</v>
      </c>
      <c r="B59" s="80"/>
      <c r="C59" s="34"/>
      <c r="D59" s="34"/>
      <c r="E59" s="34"/>
      <c r="F59" s="34"/>
      <c r="G59" s="34"/>
      <c r="H59" s="35"/>
    </row>
    <row r="60" ht="15.75" customHeight="1">
      <c r="A60" s="89" t="s">
        <v>201</v>
      </c>
      <c r="B60" s="118"/>
      <c r="C60" s="34"/>
      <c r="D60" s="34"/>
      <c r="E60" s="34"/>
      <c r="F60" s="34"/>
      <c r="G60" s="34"/>
      <c r="H60" s="35"/>
    </row>
    <row r="61" ht="15.75" customHeight="1">
      <c r="A61" s="89" t="s">
        <v>162</v>
      </c>
      <c r="B61" s="118"/>
      <c r="C61" s="34"/>
      <c r="D61" s="34"/>
      <c r="E61" s="34"/>
      <c r="F61" s="34"/>
      <c r="G61" s="34"/>
      <c r="H61" s="35"/>
    </row>
    <row r="62" ht="15.75" customHeight="1">
      <c r="A62" s="119" t="s">
        <v>239</v>
      </c>
      <c r="B62" s="6"/>
      <c r="C62" s="6"/>
      <c r="D62" s="6"/>
      <c r="E62" s="6"/>
      <c r="F62" s="6"/>
      <c r="G62" s="6"/>
      <c r="H62" s="6"/>
    </row>
    <row r="63" ht="15.75" customHeight="1">
      <c r="A63" s="102" t="s">
        <v>236</v>
      </c>
      <c r="B63" s="34"/>
      <c r="C63" s="34"/>
      <c r="D63" s="34"/>
      <c r="E63" s="34"/>
      <c r="F63" s="34"/>
      <c r="G63" s="34"/>
      <c r="H63" s="35"/>
    </row>
    <row r="64" ht="15.75" customHeight="1">
      <c r="A64" s="104"/>
      <c r="B64" s="62"/>
      <c r="C64" s="62"/>
      <c r="D64" s="62"/>
      <c r="E64" s="62"/>
      <c r="F64" s="62"/>
      <c r="G64" s="62"/>
      <c r="H64" s="63"/>
    </row>
    <row r="65" ht="15.75" customHeight="1">
      <c r="A65" s="116"/>
      <c r="H65" s="117"/>
    </row>
    <row r="66" ht="15.75" customHeight="1">
      <c r="A66" s="64"/>
      <c r="B66" s="65"/>
      <c r="C66" s="65"/>
      <c r="D66" s="65"/>
      <c r="E66" s="65"/>
      <c r="F66" s="65"/>
      <c r="G66" s="65"/>
      <c r="H66" s="66"/>
    </row>
    <row r="67" ht="15.75" customHeight="1"/>
    <row r="68" ht="15.75" customHeight="1">
      <c r="A68" s="100" t="s">
        <v>240</v>
      </c>
      <c r="G68" s="94" t="s">
        <v>162</v>
      </c>
      <c r="H68" s="105">
        <v>10.0</v>
      </c>
    </row>
    <row r="69" ht="15.75" customHeight="1">
      <c r="G69" s="86" t="s">
        <v>241</v>
      </c>
    </row>
    <row r="70" ht="15.75" customHeight="1">
      <c r="A70" s="89" t="s">
        <v>162</v>
      </c>
      <c r="B70" s="114">
        <v>10.0</v>
      </c>
      <c r="C70" s="34"/>
      <c r="D70" s="34"/>
      <c r="E70" s="34"/>
      <c r="F70" s="34"/>
      <c r="G70" s="34"/>
      <c r="H70" s="35"/>
    </row>
    <row r="71" ht="15.75" customHeight="1">
      <c r="A71" s="112" t="s">
        <v>242</v>
      </c>
      <c r="B71" s="34"/>
      <c r="C71" s="34"/>
      <c r="D71" s="34"/>
      <c r="E71" s="34"/>
      <c r="F71" s="34"/>
      <c r="G71" s="34"/>
      <c r="H71" s="35"/>
    </row>
    <row r="72" ht="15.75" customHeight="1">
      <c r="A72" s="104" t="s">
        <v>243</v>
      </c>
      <c r="B72" s="62"/>
      <c r="C72" s="62"/>
      <c r="D72" s="62"/>
      <c r="E72" s="62"/>
      <c r="F72" s="62"/>
      <c r="G72" s="62"/>
      <c r="H72" s="63"/>
    </row>
    <row r="73" ht="15.75" customHeight="1">
      <c r="A73" s="64"/>
      <c r="B73" s="65"/>
      <c r="C73" s="65"/>
      <c r="D73" s="65"/>
      <c r="E73" s="65"/>
      <c r="F73" s="65"/>
      <c r="G73" s="65"/>
      <c r="H73" s="66"/>
    </row>
    <row r="74" ht="15.75" customHeight="1">
      <c r="A74" s="86" t="s">
        <v>244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D42:H42"/>
    <mergeCell ref="A44:F44"/>
    <mergeCell ref="B47:H47"/>
    <mergeCell ref="B48:H48"/>
    <mergeCell ref="B49:H49"/>
    <mergeCell ref="B50:H50"/>
    <mergeCell ref="A52:H52"/>
    <mergeCell ref="A53:H55"/>
    <mergeCell ref="B58:H58"/>
    <mergeCell ref="B59:H59"/>
    <mergeCell ref="B60:H60"/>
    <mergeCell ref="B61:H61"/>
    <mergeCell ref="A63:H63"/>
    <mergeCell ref="A64:H66"/>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F30:H30"/>
    <mergeCell ref="F31:H31"/>
    <mergeCell ref="F32:H32"/>
    <mergeCell ref="F33:H33"/>
    <mergeCell ref="B24:H24"/>
    <mergeCell ref="B27:C27"/>
    <mergeCell ref="D27:E27"/>
    <mergeCell ref="F27:H27"/>
    <mergeCell ref="B28:C28"/>
    <mergeCell ref="F28:H28"/>
    <mergeCell ref="F29:H29"/>
    <mergeCell ref="B29:C29"/>
    <mergeCell ref="B30:C30"/>
    <mergeCell ref="B31:C31"/>
    <mergeCell ref="B32:C32"/>
    <mergeCell ref="D32:E32"/>
    <mergeCell ref="B33:C33"/>
    <mergeCell ref="D33:E33"/>
    <mergeCell ref="B34:C34"/>
    <mergeCell ref="D34:E34"/>
    <mergeCell ref="F34:H34"/>
    <mergeCell ref="D38:H38"/>
    <mergeCell ref="D39:H39"/>
    <mergeCell ref="D40:H40"/>
    <mergeCell ref="D41:H41"/>
    <mergeCell ref="A68:F68"/>
    <mergeCell ref="B70:H70"/>
    <mergeCell ref="A71:H71"/>
    <mergeCell ref="A72:H73"/>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2" max="2" width="15.38"/>
    <col customWidth="1" min="3" max="3" width="16.25"/>
  </cols>
  <sheetData>
    <row r="1" ht="15.75" customHeight="1"/>
    <row r="2" ht="15.75" customHeight="1">
      <c r="B2" s="2" t="s">
        <v>200</v>
      </c>
    </row>
    <row r="3" ht="15.75" customHeight="1"/>
    <row r="4" ht="15.75" customHeight="1">
      <c r="B4" s="79" t="s">
        <v>1</v>
      </c>
      <c r="C4" s="97" t="str">
        <f>'Diseño'!C4</f>
        <v>785 - Análisis y Diseño de Sistemas 2</v>
      </c>
      <c r="D4" s="34"/>
      <c r="E4" s="34"/>
      <c r="F4" s="34"/>
      <c r="G4" s="35"/>
    </row>
    <row r="5" ht="15.75" customHeight="1">
      <c r="B5" s="81" t="s">
        <v>81</v>
      </c>
      <c r="C5" s="80">
        <v>6.0</v>
      </c>
      <c r="D5" s="34"/>
      <c r="E5" s="34"/>
      <c r="F5" s="34"/>
      <c r="G5" s="35"/>
    </row>
    <row r="6" ht="15.75" customHeight="1">
      <c r="B6" s="98" t="s">
        <v>159</v>
      </c>
      <c r="C6" s="80">
        <f>H10+H21+H44+H68</f>
        <v>100</v>
      </c>
      <c r="D6" s="34"/>
      <c r="E6" s="34"/>
      <c r="F6" s="34"/>
      <c r="G6" s="35"/>
      <c r="I6" s="6"/>
    </row>
    <row r="7" ht="15.75" customHeight="1">
      <c r="B7" s="98" t="s">
        <v>201</v>
      </c>
      <c r="C7" s="80">
        <f>B49+B60</f>
        <v>1</v>
      </c>
      <c r="D7" s="34"/>
      <c r="E7" s="34"/>
      <c r="F7" s="34"/>
      <c r="G7" s="35"/>
    </row>
    <row r="8" ht="15.75" customHeight="1">
      <c r="B8" s="98" t="s">
        <v>202</v>
      </c>
      <c r="C8" s="99" t="str">
        <f>IF(H44&lt;=0, "❌ ERROR: La Actividad 1 debe tener un tiempo mayor a 0.", IF(H21&gt;60, "❌ ERROR: El 'Área de Conocimiento' no puede exceder los 60 min.", IF((H10+H21+H44+H68)&lt;100, "❌ ERROR: El tiempo total debe ser de al menos 100 min.", "✅ VALIDACIÓN CORRECTA")))</f>
        <v>✅ VALIDACIÓN CORRECTA</v>
      </c>
      <c r="D8" s="34"/>
      <c r="E8" s="34"/>
      <c r="F8" s="34"/>
      <c r="G8" s="35"/>
      <c r="I8" s="6"/>
      <c r="J8" s="6"/>
      <c r="K8" s="6"/>
    </row>
    <row r="9" ht="15.75" customHeight="1"/>
    <row r="10" ht="15.75" customHeight="1">
      <c r="A10" s="100" t="s">
        <v>203</v>
      </c>
      <c r="G10" s="94" t="s">
        <v>162</v>
      </c>
      <c r="H10" s="101">
        <f>B13</f>
        <v>5</v>
      </c>
    </row>
    <row r="11" ht="15.75" customHeight="1">
      <c r="G11" s="86" t="s">
        <v>204</v>
      </c>
    </row>
    <row r="12" ht="15.75" customHeight="1">
      <c r="A12" s="89" t="s">
        <v>205</v>
      </c>
      <c r="B12" s="91" t="s">
        <v>262</v>
      </c>
      <c r="C12" s="34"/>
      <c r="D12" s="34"/>
      <c r="E12" s="34"/>
      <c r="F12" s="34"/>
      <c r="G12" s="34"/>
      <c r="H12" s="35"/>
    </row>
    <row r="13" ht="15.75" customHeight="1">
      <c r="A13" s="90" t="s">
        <v>162</v>
      </c>
      <c r="B13" s="91">
        <v>5.0</v>
      </c>
      <c r="C13" s="34"/>
      <c r="D13" s="34"/>
      <c r="E13" s="34"/>
      <c r="F13" s="34"/>
      <c r="G13" s="34"/>
      <c r="H13" s="35"/>
    </row>
    <row r="14" ht="15.75" customHeight="1">
      <c r="A14" s="102" t="s">
        <v>207</v>
      </c>
      <c r="B14" s="34"/>
      <c r="C14" s="34"/>
      <c r="D14" s="34"/>
      <c r="E14" s="34"/>
      <c r="F14" s="34"/>
      <c r="G14" s="34"/>
      <c r="H14" s="35"/>
    </row>
    <row r="15" ht="15.75" customHeight="1">
      <c r="A15" s="120" t="s">
        <v>263</v>
      </c>
      <c r="B15" s="62"/>
      <c r="C15" s="62"/>
      <c r="D15" s="62"/>
      <c r="E15" s="62"/>
      <c r="F15" s="62"/>
      <c r="G15" s="62"/>
      <c r="H15" s="63"/>
    </row>
    <row r="16" ht="15.75" customHeight="1">
      <c r="A16" s="64"/>
      <c r="B16" s="65"/>
      <c r="C16" s="65"/>
      <c r="D16" s="65"/>
      <c r="E16" s="65"/>
      <c r="F16" s="65"/>
      <c r="G16" s="65"/>
      <c r="H16" s="66"/>
    </row>
    <row r="17" ht="15.75" customHeight="1">
      <c r="A17" s="102" t="s">
        <v>209</v>
      </c>
      <c r="B17" s="34"/>
      <c r="C17" s="34"/>
      <c r="D17" s="34"/>
      <c r="E17" s="34"/>
      <c r="F17" s="34"/>
      <c r="G17" s="34"/>
      <c r="H17" s="35"/>
    </row>
    <row r="18" ht="15.75" customHeight="1">
      <c r="A18" s="120" t="s">
        <v>264</v>
      </c>
      <c r="B18" s="62"/>
      <c r="C18" s="62"/>
      <c r="D18" s="62"/>
      <c r="E18" s="62"/>
      <c r="F18" s="62"/>
      <c r="G18" s="62"/>
      <c r="H18" s="63"/>
    </row>
    <row r="19" ht="15.75" customHeight="1">
      <c r="A19" s="64"/>
      <c r="B19" s="65"/>
      <c r="C19" s="65"/>
      <c r="D19" s="65"/>
      <c r="E19" s="65"/>
      <c r="F19" s="65"/>
      <c r="G19" s="65"/>
      <c r="H19" s="66"/>
    </row>
    <row r="20" ht="15.75" customHeight="1"/>
    <row r="21" ht="15.75" customHeight="1">
      <c r="A21" s="100" t="s">
        <v>211</v>
      </c>
      <c r="G21" s="94" t="s">
        <v>162</v>
      </c>
      <c r="H21" s="101">
        <f>SUM(D39:H42)</f>
        <v>55</v>
      </c>
      <c r="I21" s="6"/>
    </row>
    <row r="22" ht="15.75" customHeight="1">
      <c r="G22" s="86" t="s">
        <v>212</v>
      </c>
    </row>
    <row r="23" ht="15.75" customHeight="1">
      <c r="A23" s="89" t="s">
        <v>213</v>
      </c>
      <c r="B23" s="91" t="s">
        <v>105</v>
      </c>
      <c r="C23" s="34"/>
      <c r="D23" s="34"/>
      <c r="E23" s="34"/>
      <c r="F23" s="34"/>
      <c r="G23" s="34"/>
      <c r="H23" s="35"/>
    </row>
    <row r="24" ht="15.75" customHeight="1">
      <c r="A24" s="89" t="s">
        <v>213</v>
      </c>
      <c r="B24" s="91" t="s">
        <v>82</v>
      </c>
      <c r="C24" s="34"/>
      <c r="D24" s="34"/>
      <c r="E24" s="34"/>
      <c r="F24" s="34"/>
      <c r="G24" s="34"/>
      <c r="H24" s="35"/>
    </row>
    <row r="25" ht="15.75" customHeight="1"/>
    <row r="26" ht="15.75" customHeight="1">
      <c r="A26" s="106" t="s">
        <v>215</v>
      </c>
      <c r="B26" s="6"/>
      <c r="C26" s="6"/>
      <c r="D26" s="6"/>
    </row>
    <row r="27" ht="15.75" customHeight="1">
      <c r="A27" s="107" t="s">
        <v>75</v>
      </c>
      <c r="B27" s="108" t="s">
        <v>216</v>
      </c>
      <c r="C27" s="35"/>
      <c r="D27" s="108" t="s">
        <v>217</v>
      </c>
      <c r="E27" s="35"/>
      <c r="F27" s="108" t="s">
        <v>218</v>
      </c>
      <c r="G27" s="34"/>
      <c r="H27" s="35"/>
    </row>
    <row r="28" ht="15.75" customHeight="1">
      <c r="A28" s="81">
        <v>1.0</v>
      </c>
      <c r="B28" s="80" t="str">
        <f>IFERROR(__xludf.DUMMYFUNCTION("FILTER('Diseño'!D:D,'Diseño'!H:H=$C$5)")," Elementos de Diseño")</f>
        <v> Elementos de Diseño</v>
      </c>
      <c r="C28" s="35"/>
      <c r="D28" s="80" t="str">
        <f>IFERROR(__xludf.DUMMYFUNCTION("FILTER('Diseño'!E:E,'Diseño'!H:H=$C$5)"),"Estrategias en Diseño de Interfaces y Arquitectura de la Información")</f>
        <v>Estrategias en Diseño de Interfaces y Arquitectura de la Información</v>
      </c>
      <c r="E28" s="35"/>
      <c r="F28" s="80" t="str">
        <f>IFERROR(__xludf.DUMMYFUNCTION("FILTER('Diseño'!F:F,'Diseño'!H:H=$C$5)"),"Catálogode estilos")</f>
        <v>Catálogode estilos</v>
      </c>
      <c r="G28" s="34"/>
      <c r="H28" s="35"/>
    </row>
    <row r="29" ht="15.75" customHeight="1">
      <c r="A29" s="81">
        <v>2.0</v>
      </c>
      <c r="B29" s="80" t="str">
        <f>IFERROR(__xludf.DUMMYFUNCTION("""COMPUTED_VALUE""")," Elementos de Diseño")</f>
        <v> Elementos de Diseño</v>
      </c>
      <c r="C29" s="35"/>
      <c r="D29" s="80" t="str">
        <f>IFERROR(__xludf.DUMMYFUNCTION("""COMPUTED_VALUE"""),"Estrategias en Diseño de Interfaces y Arquitectura de la Información")</f>
        <v>Estrategias en Diseño de Interfaces y Arquitectura de la Información</v>
      </c>
      <c r="E29" s="35"/>
      <c r="F29" s="80" t="str">
        <f>IFERROR(__xludf.DUMMYFUNCTION("""COMPUTED_VALUE"""),"Arquitectura de la información")</f>
        <v>Arquitectura de la información</v>
      </c>
      <c r="G29" s="34"/>
      <c r="H29" s="35"/>
    </row>
    <row r="30" ht="15.75" customHeight="1">
      <c r="A30" s="81">
        <v>3.0</v>
      </c>
      <c r="B30" s="80" t="str">
        <f>IFERROR(__xludf.DUMMYFUNCTION("""COMPUTED_VALUE""")," Elementos de Diseño")</f>
        <v> Elementos de Diseño</v>
      </c>
      <c r="C30" s="35"/>
      <c r="D30" s="80" t="str">
        <f>IFERROR(__xludf.DUMMYFUNCTION("""COMPUTED_VALUE"""),"Estrategias en Diseño de Interfaces y Arquitectura de la Información")</f>
        <v>Estrategias en Diseño de Interfaces y Arquitectura de la Información</v>
      </c>
      <c r="E30" s="35"/>
      <c r="F30" s="80" t="str">
        <f>IFERROR(__xludf.DUMMYFUNCTION("""COMPUTED_VALUE"""),"Experiencia de usuario (UX)")</f>
        <v>Experiencia de usuario (UX)</v>
      </c>
      <c r="G30" s="34"/>
      <c r="H30" s="35"/>
    </row>
    <row r="31" ht="15.75" customHeight="1">
      <c r="A31" s="81">
        <v>4.0</v>
      </c>
      <c r="B31" s="80" t="str">
        <f>IFERROR(__xludf.DUMMYFUNCTION("""COMPUTED_VALUE""")," Elementos de Diseño")</f>
        <v> Elementos de Diseño</v>
      </c>
      <c r="C31" s="35"/>
      <c r="D31" s="80" t="str">
        <f>IFERROR(__xludf.DUMMYFUNCTION("""COMPUTED_VALUE"""),"Estrategias en Diseño de Interfaces y Arquitectura de la Información")</f>
        <v>Estrategias en Diseño de Interfaces y Arquitectura de la Información</v>
      </c>
      <c r="E31" s="35"/>
      <c r="F31" s="80" t="str">
        <f>IFERROR(__xludf.DUMMYFUNCTION("""COMPUTED_VALUE"""),"Diseño de interfaces de usuario (UI)")</f>
        <v>Diseño de interfaces de usuario (UI)</v>
      </c>
      <c r="G31" s="34"/>
      <c r="H31" s="35"/>
    </row>
    <row r="32" ht="15.75" customHeight="1">
      <c r="A32" s="81">
        <v>5.0</v>
      </c>
      <c r="B32" s="80"/>
      <c r="C32" s="35"/>
      <c r="D32" s="80"/>
      <c r="E32" s="35"/>
      <c r="F32" s="80"/>
      <c r="G32" s="34"/>
      <c r="H32" s="35"/>
    </row>
    <row r="33" ht="15.75" customHeight="1">
      <c r="A33" s="81">
        <v>6.0</v>
      </c>
      <c r="B33" s="80"/>
      <c r="C33" s="35"/>
      <c r="D33" s="80"/>
      <c r="E33" s="35"/>
      <c r="F33" s="80"/>
      <c r="G33" s="34"/>
      <c r="H33" s="35"/>
    </row>
    <row r="34" ht="15.75" customHeight="1">
      <c r="A34" s="81">
        <v>7.0</v>
      </c>
      <c r="B34" s="80"/>
      <c r="C34" s="35"/>
      <c r="D34" s="80"/>
      <c r="E34" s="35"/>
      <c r="F34" s="80"/>
      <c r="G34" s="34"/>
      <c r="H34" s="35"/>
    </row>
    <row r="35" ht="15.75" customHeight="1"/>
    <row r="36" ht="15.75" customHeight="1">
      <c r="A36" s="106" t="s">
        <v>220</v>
      </c>
    </row>
    <row r="37" ht="15.75" customHeight="1">
      <c r="A37" s="6"/>
      <c r="B37" s="6"/>
      <c r="C37" s="6"/>
      <c r="D37" s="6"/>
      <c r="E37" s="6"/>
      <c r="F37" s="6"/>
      <c r="G37" s="6"/>
      <c r="H37" s="6"/>
    </row>
    <row r="38">
      <c r="A38" s="107" t="s">
        <v>221</v>
      </c>
      <c r="B38" s="107" t="s">
        <v>29</v>
      </c>
      <c r="C38" s="111" t="s">
        <v>222</v>
      </c>
      <c r="D38" s="112" t="s">
        <v>223</v>
      </c>
      <c r="E38" s="34"/>
      <c r="F38" s="34"/>
      <c r="G38" s="34"/>
      <c r="H38" s="35"/>
      <c r="I38" s="113" t="s">
        <v>18</v>
      </c>
    </row>
    <row r="39" ht="15.75" customHeight="1">
      <c r="A39" s="81" t="s">
        <v>224</v>
      </c>
      <c r="B39" s="81" t="s">
        <v>225</v>
      </c>
      <c r="C39" s="81">
        <v>30.0</v>
      </c>
      <c r="D39" s="91">
        <v>20.0</v>
      </c>
      <c r="E39" s="34"/>
      <c r="F39" s="34"/>
      <c r="G39" s="34"/>
      <c r="H39" s="35"/>
      <c r="I39" s="81" t="str">
        <f t="shared" ref="I39:I42" si="1">IF(D39&lt;=C39,"Correcto", "Corregir")</f>
        <v>Correcto</v>
      </c>
    </row>
    <row r="40" ht="15.75" customHeight="1">
      <c r="A40" s="81" t="s">
        <v>226</v>
      </c>
      <c r="B40" s="81" t="s">
        <v>225</v>
      </c>
      <c r="C40" s="81">
        <v>6.0</v>
      </c>
      <c r="D40" s="91">
        <v>5.0</v>
      </c>
      <c r="E40" s="34"/>
      <c r="F40" s="34"/>
      <c r="G40" s="34"/>
      <c r="H40" s="35"/>
      <c r="I40" s="81" t="str">
        <f t="shared" si="1"/>
        <v>Correcto</v>
      </c>
    </row>
    <row r="41" ht="15.75" customHeight="1">
      <c r="A41" s="81" t="s">
        <v>227</v>
      </c>
      <c r="B41" s="81" t="s">
        <v>228</v>
      </c>
      <c r="C41" s="81">
        <v>10.0</v>
      </c>
      <c r="D41" s="91">
        <v>10.0</v>
      </c>
      <c r="E41" s="34"/>
      <c r="F41" s="34"/>
      <c r="G41" s="34"/>
      <c r="H41" s="35"/>
      <c r="I41" s="81" t="str">
        <f t="shared" si="1"/>
        <v>Correcto</v>
      </c>
    </row>
    <row r="42" ht="15.75" customHeight="1">
      <c r="A42" s="81" t="s">
        <v>229</v>
      </c>
      <c r="B42" s="81" t="s">
        <v>225</v>
      </c>
      <c r="C42" s="81">
        <v>30.0</v>
      </c>
      <c r="D42" s="91">
        <v>20.0</v>
      </c>
      <c r="E42" s="34"/>
      <c r="F42" s="34"/>
      <c r="G42" s="34"/>
      <c r="H42" s="35"/>
      <c r="I42" s="81" t="str">
        <f t="shared" si="1"/>
        <v>Correcto</v>
      </c>
    </row>
    <row r="43" ht="15.75" customHeight="1"/>
    <row r="44" ht="15.75" customHeight="1">
      <c r="A44" s="100" t="s">
        <v>230</v>
      </c>
      <c r="G44" s="94" t="s">
        <v>162</v>
      </c>
      <c r="H44" s="101">
        <f>B50</f>
        <v>30</v>
      </c>
    </row>
    <row r="45" ht="15.75" customHeight="1">
      <c r="G45" s="86" t="s">
        <v>231</v>
      </c>
    </row>
    <row r="46" ht="15.75" customHeight="1">
      <c r="A46" s="86" t="s">
        <v>232</v>
      </c>
    </row>
    <row r="47">
      <c r="A47" s="89" t="s">
        <v>233</v>
      </c>
      <c r="B47" s="91" t="s">
        <v>105</v>
      </c>
      <c r="C47" s="34"/>
      <c r="D47" s="34"/>
      <c r="E47" s="34"/>
      <c r="F47" s="34"/>
      <c r="G47" s="34"/>
      <c r="H47" s="35"/>
    </row>
    <row r="48" ht="15.75" customHeight="1">
      <c r="A48" s="89" t="s">
        <v>8</v>
      </c>
      <c r="B48" s="91" t="s">
        <v>248</v>
      </c>
      <c r="C48" s="34"/>
      <c r="D48" s="34"/>
      <c r="E48" s="34"/>
      <c r="F48" s="34"/>
      <c r="G48" s="34"/>
      <c r="H48" s="35"/>
    </row>
    <row r="49" ht="15.75" customHeight="1">
      <c r="A49" s="89" t="s">
        <v>201</v>
      </c>
      <c r="B49" s="114">
        <v>1.0</v>
      </c>
      <c r="C49" s="34"/>
      <c r="D49" s="34"/>
      <c r="E49" s="34"/>
      <c r="F49" s="34"/>
      <c r="G49" s="34"/>
      <c r="H49" s="35"/>
    </row>
    <row r="50" ht="15.75" customHeight="1">
      <c r="A50" s="89" t="s">
        <v>162</v>
      </c>
      <c r="B50" s="91">
        <v>30.0</v>
      </c>
      <c r="C50" s="34"/>
      <c r="D50" s="34"/>
      <c r="E50" s="34"/>
      <c r="F50" s="34"/>
      <c r="G50" s="34"/>
      <c r="H50" s="35"/>
    </row>
    <row r="51" ht="15.75" customHeight="1">
      <c r="A51" s="115" t="s">
        <v>235</v>
      </c>
      <c r="B51" s="6"/>
      <c r="C51" s="6"/>
      <c r="D51" s="6"/>
      <c r="E51" s="6"/>
      <c r="F51" s="6"/>
      <c r="G51" s="6"/>
      <c r="H51" s="6"/>
    </row>
    <row r="52" ht="15.75" customHeight="1">
      <c r="A52" s="102" t="s">
        <v>236</v>
      </c>
      <c r="B52" s="34"/>
      <c r="C52" s="34"/>
      <c r="D52" s="34"/>
      <c r="E52" s="34"/>
      <c r="F52" s="34"/>
      <c r="G52" s="34"/>
      <c r="H52" s="35"/>
    </row>
    <row r="53" ht="15.75" customHeight="1">
      <c r="A53" s="120" t="s">
        <v>265</v>
      </c>
      <c r="B53" s="62"/>
      <c r="C53" s="62"/>
      <c r="D53" s="62"/>
      <c r="E53" s="62"/>
      <c r="F53" s="62"/>
      <c r="G53" s="62"/>
      <c r="H53" s="63"/>
    </row>
    <row r="54" ht="15.75" customHeight="1">
      <c r="A54" s="116"/>
      <c r="H54" s="117"/>
    </row>
    <row r="55" ht="15.75" customHeight="1">
      <c r="A55" s="64"/>
      <c r="B55" s="65"/>
      <c r="C55" s="65"/>
      <c r="D55" s="65"/>
      <c r="E55" s="65"/>
      <c r="F55" s="65"/>
      <c r="G55" s="65"/>
      <c r="H55" s="66"/>
    </row>
    <row r="56" ht="15.75" customHeight="1"/>
    <row r="57" ht="15.75" customHeight="1">
      <c r="A57" s="86" t="s">
        <v>238</v>
      </c>
    </row>
    <row r="58">
      <c r="A58" s="89" t="s">
        <v>233</v>
      </c>
      <c r="B58" s="80"/>
      <c r="C58" s="34"/>
      <c r="D58" s="34"/>
      <c r="E58" s="34"/>
      <c r="F58" s="34"/>
      <c r="G58" s="34"/>
      <c r="H58" s="35"/>
    </row>
    <row r="59" ht="15.75" customHeight="1">
      <c r="A59" s="89" t="s">
        <v>8</v>
      </c>
      <c r="B59" s="80"/>
      <c r="C59" s="34"/>
      <c r="D59" s="34"/>
      <c r="E59" s="34"/>
      <c r="F59" s="34"/>
      <c r="G59" s="34"/>
      <c r="H59" s="35"/>
    </row>
    <row r="60" ht="15.75" customHeight="1">
      <c r="A60" s="89" t="s">
        <v>201</v>
      </c>
      <c r="B60" s="118"/>
      <c r="C60" s="34"/>
      <c r="D60" s="34"/>
      <c r="E60" s="34"/>
      <c r="F60" s="34"/>
      <c r="G60" s="34"/>
      <c r="H60" s="35"/>
    </row>
    <row r="61" ht="15.75" customHeight="1">
      <c r="A61" s="89" t="s">
        <v>162</v>
      </c>
      <c r="B61" s="118"/>
      <c r="C61" s="34"/>
      <c r="D61" s="34"/>
      <c r="E61" s="34"/>
      <c r="F61" s="34"/>
      <c r="G61" s="34"/>
      <c r="H61" s="35"/>
    </row>
    <row r="62" ht="15.75" customHeight="1">
      <c r="A62" s="119" t="s">
        <v>239</v>
      </c>
      <c r="B62" s="6"/>
      <c r="C62" s="6"/>
      <c r="D62" s="6"/>
      <c r="E62" s="6"/>
      <c r="F62" s="6"/>
      <c r="G62" s="6"/>
      <c r="H62" s="6"/>
    </row>
    <row r="63" ht="15.75" customHeight="1">
      <c r="A63" s="102" t="s">
        <v>236</v>
      </c>
      <c r="B63" s="34"/>
      <c r="C63" s="34"/>
      <c r="D63" s="34"/>
      <c r="E63" s="34"/>
      <c r="F63" s="34"/>
      <c r="G63" s="34"/>
      <c r="H63" s="35"/>
    </row>
    <row r="64" ht="15.75" customHeight="1">
      <c r="A64" s="104"/>
      <c r="B64" s="62"/>
      <c r="C64" s="62"/>
      <c r="D64" s="62"/>
      <c r="E64" s="62"/>
      <c r="F64" s="62"/>
      <c r="G64" s="62"/>
      <c r="H64" s="63"/>
    </row>
    <row r="65" ht="15.75" customHeight="1">
      <c r="A65" s="116"/>
      <c r="H65" s="117"/>
    </row>
    <row r="66" ht="15.75" customHeight="1">
      <c r="A66" s="64"/>
      <c r="B66" s="65"/>
      <c r="C66" s="65"/>
      <c r="D66" s="65"/>
      <c r="E66" s="65"/>
      <c r="F66" s="65"/>
      <c r="G66" s="65"/>
      <c r="H66" s="66"/>
    </row>
    <row r="67" ht="15.75" customHeight="1"/>
    <row r="68" ht="15.75" customHeight="1">
      <c r="A68" s="100" t="s">
        <v>240</v>
      </c>
      <c r="G68" s="94" t="s">
        <v>162</v>
      </c>
      <c r="H68" s="105">
        <f>B70</f>
        <v>10</v>
      </c>
    </row>
    <row r="69" ht="15.75" customHeight="1">
      <c r="G69" s="86" t="s">
        <v>241</v>
      </c>
    </row>
    <row r="70" ht="15.75" customHeight="1">
      <c r="A70" s="89" t="s">
        <v>162</v>
      </c>
      <c r="B70" s="114">
        <v>10.0</v>
      </c>
      <c r="C70" s="34"/>
      <c r="D70" s="34"/>
      <c r="E70" s="34"/>
      <c r="F70" s="34"/>
      <c r="G70" s="34"/>
      <c r="H70" s="35"/>
    </row>
    <row r="71" ht="15.75" customHeight="1">
      <c r="A71" s="112" t="s">
        <v>242</v>
      </c>
      <c r="B71" s="34"/>
      <c r="C71" s="34"/>
      <c r="D71" s="34"/>
      <c r="E71" s="34"/>
      <c r="F71" s="34"/>
      <c r="G71" s="34"/>
      <c r="H71" s="35"/>
    </row>
    <row r="72" ht="15.75" customHeight="1">
      <c r="A72" s="120" t="s">
        <v>250</v>
      </c>
      <c r="B72" s="62"/>
      <c r="C72" s="62"/>
      <c r="D72" s="62"/>
      <c r="E72" s="62"/>
      <c r="F72" s="62"/>
      <c r="G72" s="62"/>
      <c r="H72" s="63"/>
    </row>
    <row r="73" ht="15.75" customHeight="1">
      <c r="A73" s="64"/>
      <c r="B73" s="65"/>
      <c r="C73" s="65"/>
      <c r="D73" s="65"/>
      <c r="E73" s="65"/>
      <c r="F73" s="65"/>
      <c r="G73" s="65"/>
      <c r="H73" s="66"/>
    </row>
    <row r="74" ht="15.75" customHeight="1">
      <c r="A74" s="86" t="s">
        <v>244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200</v>
      </c>
    </row>
    <row r="3" ht="15.75" customHeight="1"/>
    <row r="4" ht="15.75" customHeight="1">
      <c r="B4" s="79" t="s">
        <v>1</v>
      </c>
      <c r="C4" s="97" t="str">
        <f>'Diseño'!C4</f>
        <v>785 - Análisis y Diseño de Sistemas 2</v>
      </c>
      <c r="D4" s="34"/>
      <c r="E4" s="34"/>
      <c r="F4" s="34"/>
      <c r="G4" s="35"/>
    </row>
    <row r="5" ht="15.75" customHeight="1">
      <c r="B5" s="81" t="s">
        <v>81</v>
      </c>
      <c r="C5" s="80">
        <v>7.0</v>
      </c>
      <c r="D5" s="34"/>
      <c r="E5" s="34"/>
      <c r="F5" s="34"/>
      <c r="G5" s="35"/>
    </row>
    <row r="6" ht="15.75" customHeight="1">
      <c r="B6" s="98" t="s">
        <v>159</v>
      </c>
      <c r="C6" s="80">
        <f>H10+H21+H44+H68</f>
        <v>110</v>
      </c>
      <c r="D6" s="34"/>
      <c r="E6" s="34"/>
      <c r="F6" s="34"/>
      <c r="G6" s="35"/>
      <c r="I6" s="6"/>
    </row>
    <row r="7" ht="15.75" customHeight="1">
      <c r="B7" s="98" t="s">
        <v>201</v>
      </c>
      <c r="C7" s="80">
        <f>B49+B60</f>
        <v>1</v>
      </c>
      <c r="D7" s="34"/>
      <c r="E7" s="34"/>
      <c r="F7" s="34"/>
      <c r="G7" s="35"/>
    </row>
    <row r="8" ht="15.75" customHeight="1">
      <c r="B8" s="98" t="s">
        <v>202</v>
      </c>
      <c r="C8" s="99"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100" t="s">
        <v>203</v>
      </c>
      <c r="G10" s="94" t="s">
        <v>162</v>
      </c>
      <c r="H10" s="101">
        <f>B13</f>
        <v>5</v>
      </c>
    </row>
    <row r="11" ht="15.75" customHeight="1">
      <c r="G11" s="86" t="s">
        <v>204</v>
      </c>
    </row>
    <row r="12" ht="15.75" customHeight="1">
      <c r="A12" s="89" t="s">
        <v>205</v>
      </c>
      <c r="B12" s="96" t="s">
        <v>266</v>
      </c>
      <c r="C12" s="34"/>
      <c r="D12" s="34"/>
      <c r="E12" s="34"/>
      <c r="F12" s="34"/>
      <c r="G12" s="34"/>
      <c r="H12" s="35"/>
    </row>
    <row r="13" ht="15.75" customHeight="1">
      <c r="A13" s="90" t="s">
        <v>162</v>
      </c>
      <c r="B13" s="91">
        <v>5.0</v>
      </c>
      <c r="C13" s="34"/>
      <c r="D13" s="34"/>
      <c r="E13" s="34"/>
      <c r="F13" s="34"/>
      <c r="G13" s="34"/>
      <c r="H13" s="35"/>
    </row>
    <row r="14" ht="15.75" customHeight="1">
      <c r="A14" s="102" t="s">
        <v>207</v>
      </c>
      <c r="B14" s="34"/>
      <c r="C14" s="34"/>
      <c r="D14" s="34"/>
      <c r="E14" s="34"/>
      <c r="F14" s="34"/>
      <c r="G14" s="34"/>
      <c r="H14" s="35"/>
    </row>
    <row r="15" ht="15.75" customHeight="1">
      <c r="A15" s="103" t="s">
        <v>267</v>
      </c>
      <c r="B15" s="62"/>
      <c r="C15" s="62"/>
      <c r="D15" s="62"/>
      <c r="E15" s="62"/>
      <c r="F15" s="62"/>
      <c r="G15" s="62"/>
      <c r="H15" s="63"/>
    </row>
    <row r="16" ht="15.75" customHeight="1">
      <c r="A16" s="64"/>
      <c r="B16" s="65"/>
      <c r="C16" s="65"/>
      <c r="D16" s="65"/>
      <c r="E16" s="65"/>
      <c r="F16" s="65"/>
      <c r="G16" s="65"/>
      <c r="H16" s="66"/>
    </row>
    <row r="17" ht="15.75" customHeight="1">
      <c r="A17" s="102" t="s">
        <v>209</v>
      </c>
      <c r="B17" s="34"/>
      <c r="C17" s="34"/>
      <c r="D17" s="34"/>
      <c r="E17" s="34"/>
      <c r="F17" s="34"/>
      <c r="G17" s="34"/>
      <c r="H17" s="35"/>
    </row>
    <row r="18" ht="15.75" customHeight="1">
      <c r="A18" s="123" t="s">
        <v>268</v>
      </c>
      <c r="B18" s="62"/>
      <c r="C18" s="62"/>
      <c r="D18" s="62"/>
      <c r="E18" s="62"/>
      <c r="F18" s="62"/>
      <c r="G18" s="62"/>
      <c r="H18" s="63"/>
    </row>
    <row r="19" ht="15.75" customHeight="1">
      <c r="A19" s="64"/>
      <c r="B19" s="65"/>
      <c r="C19" s="65"/>
      <c r="D19" s="65"/>
      <c r="E19" s="65"/>
      <c r="F19" s="65"/>
      <c r="G19" s="65"/>
      <c r="H19" s="66"/>
    </row>
    <row r="20" ht="15.75" customHeight="1"/>
    <row r="21" ht="15.75" customHeight="1">
      <c r="A21" s="100" t="s">
        <v>211</v>
      </c>
      <c r="G21" s="94" t="s">
        <v>162</v>
      </c>
      <c r="H21" s="101">
        <f>SUM(D39:H42)</f>
        <v>60</v>
      </c>
      <c r="I21" s="6"/>
    </row>
    <row r="22" ht="15.75" customHeight="1">
      <c r="G22" s="86" t="s">
        <v>212</v>
      </c>
    </row>
    <row r="23" ht="15.75" customHeight="1">
      <c r="A23" s="89" t="s">
        <v>213</v>
      </c>
      <c r="B23" s="91" t="s">
        <v>109</v>
      </c>
      <c r="C23" s="34"/>
      <c r="D23" s="34"/>
      <c r="E23" s="34"/>
      <c r="F23" s="34"/>
      <c r="G23" s="34"/>
      <c r="H23" s="35"/>
    </row>
    <row r="24" ht="15.75" customHeight="1">
      <c r="A24" s="89" t="s">
        <v>213</v>
      </c>
      <c r="B24" s="91" t="s">
        <v>149</v>
      </c>
      <c r="C24" s="34"/>
      <c r="D24" s="34"/>
      <c r="E24" s="34"/>
      <c r="F24" s="34"/>
      <c r="G24" s="34"/>
      <c r="H24" s="35"/>
    </row>
    <row r="25" ht="15.75" customHeight="1"/>
    <row r="26" ht="15.75" customHeight="1">
      <c r="A26" s="106" t="s">
        <v>215</v>
      </c>
      <c r="B26" s="6"/>
      <c r="C26" s="6"/>
      <c r="D26" s="6"/>
    </row>
    <row r="27" ht="15.75" customHeight="1">
      <c r="A27" s="107" t="s">
        <v>75</v>
      </c>
      <c r="B27" s="108" t="s">
        <v>216</v>
      </c>
      <c r="C27" s="35"/>
      <c r="D27" s="108" t="s">
        <v>217</v>
      </c>
      <c r="E27" s="35"/>
      <c r="F27" s="108" t="s">
        <v>218</v>
      </c>
      <c r="G27" s="34"/>
      <c r="H27" s="35"/>
    </row>
    <row r="28" ht="15.75" customHeight="1">
      <c r="A28" s="81">
        <v>1.0</v>
      </c>
      <c r="B28" s="80" t="str">
        <f>IFERROR(__xludf.DUMMYFUNCTION("FILTER('Diseño'!D:D,'Diseño'!H:H=$C$5)")," Elementos de Diseño")</f>
        <v> Elementos de Diseño</v>
      </c>
      <c r="C28" s="35"/>
      <c r="D28" s="80" t="str">
        <f>IFERROR(__xludf.DUMMYFUNCTION("FILTER('Diseño'!E:E,'Diseño'!H:H=$C$5)"),"Patrones de arquitectura")</f>
        <v>Patrones de arquitectura</v>
      </c>
      <c r="E28" s="35"/>
      <c r="F28" s="80" t="str">
        <f>IFERROR(__xludf.DUMMYFUNCTION("FILTER('Diseño'!F:F,'Diseño'!H:H=$C$5)"),"Centrada en Datos")</f>
        <v>Centrada en Datos</v>
      </c>
      <c r="G28" s="34"/>
      <c r="H28" s="35"/>
    </row>
    <row r="29" ht="15.75" customHeight="1">
      <c r="A29" s="81">
        <v>2.0</v>
      </c>
      <c r="B29" s="80" t="str">
        <f>IFERROR(__xludf.DUMMYFUNCTION("""COMPUTED_VALUE""")," Elementos de Diseño")</f>
        <v> Elementos de Diseño</v>
      </c>
      <c r="C29" s="35"/>
      <c r="D29" s="80" t="str">
        <f>IFERROR(__xludf.DUMMYFUNCTION("""COMPUTED_VALUE"""),"Patrones de arquitectura")</f>
        <v>Patrones de arquitectura</v>
      </c>
      <c r="E29" s="35"/>
      <c r="F29" s="80" t="str">
        <f>IFERROR(__xludf.DUMMYFUNCTION("""COMPUTED_VALUE"""),"Centrada en el flujo de datos")</f>
        <v>Centrada en el flujo de datos</v>
      </c>
      <c r="G29" s="34"/>
      <c r="H29" s="35"/>
    </row>
    <row r="30" ht="15.75" customHeight="1">
      <c r="A30" s="81">
        <v>3.0</v>
      </c>
      <c r="B30" s="80" t="str">
        <f>IFERROR(__xludf.DUMMYFUNCTION("""COMPUTED_VALUE""")," Elementos de Diseño")</f>
        <v> Elementos de Diseño</v>
      </c>
      <c r="C30" s="35"/>
      <c r="D30" s="80" t="str">
        <f>IFERROR(__xludf.DUMMYFUNCTION("""COMPUTED_VALUE"""),"Patrones de arquitectura")</f>
        <v>Patrones de arquitectura</v>
      </c>
      <c r="E30" s="35"/>
      <c r="F30" s="80" t="str">
        <f>IFERROR(__xludf.DUMMYFUNCTION("""COMPUTED_VALUE"""),"Arquitectura orientada a eventos")</f>
        <v>Arquitectura orientada a eventos</v>
      </c>
      <c r="G30" s="34"/>
      <c r="H30" s="35"/>
    </row>
    <row r="31" ht="15.75" customHeight="1">
      <c r="A31" s="81">
        <v>4.0</v>
      </c>
      <c r="B31" s="80" t="str">
        <f>IFERROR(__xludf.DUMMYFUNCTION("""COMPUTED_VALUE""")," Elementos de Diseño")</f>
        <v> Elementos de Diseño</v>
      </c>
      <c r="C31" s="35"/>
      <c r="D31" s="80" t="str">
        <f>IFERROR(__xludf.DUMMYFUNCTION("""COMPUTED_VALUE"""),"Patrones de arquitectura")</f>
        <v>Patrones de arquitectura</v>
      </c>
      <c r="E31" s="35"/>
      <c r="F31" s="80" t="str">
        <f>IFERROR(__xludf.DUMMYFUNCTION("""COMPUTED_VALUE"""),"Patrones de arquitectura empresarial")</f>
        <v>Patrones de arquitectura empresarial</v>
      </c>
      <c r="G31" s="34"/>
      <c r="H31" s="35"/>
    </row>
    <row r="32" ht="15.75" customHeight="1">
      <c r="A32" s="81">
        <v>5.0</v>
      </c>
      <c r="B32" s="80" t="str">
        <f>IFERROR(__xludf.DUMMYFUNCTION("""COMPUTED_VALUE""")," Elementos de Diseño")</f>
        <v> Elementos de Diseño</v>
      </c>
      <c r="C32" s="35"/>
      <c r="D32" s="80" t="str">
        <f>IFERROR(__xludf.DUMMYFUNCTION("""COMPUTED_VALUE"""),"Patrones de arquitectura")</f>
        <v>Patrones de arquitectura</v>
      </c>
      <c r="E32" s="35"/>
      <c r="F32" s="80" t="str">
        <f>IFERROR(__xludf.DUMMYFUNCTION("""COMPUTED_VALUE"""),"SOA (Service-Oriented Architecture)")</f>
        <v>SOA (Service-Oriented Architecture)</v>
      </c>
      <c r="G32" s="34"/>
      <c r="H32" s="35"/>
    </row>
    <row r="33" ht="15.75" customHeight="1">
      <c r="A33" s="81">
        <v>6.0</v>
      </c>
      <c r="B33" s="80" t="str">
        <f>IFERROR(__xludf.DUMMYFUNCTION("""COMPUTED_VALUE""")," Elementos de Diseño")</f>
        <v> Elementos de Diseño</v>
      </c>
      <c r="C33" s="35"/>
      <c r="D33" s="80" t="str">
        <f>IFERROR(__xludf.DUMMYFUNCTION("""COMPUTED_VALUE"""),"Patrones de arquitectura")</f>
        <v>Patrones de arquitectura</v>
      </c>
      <c r="E33" s="35"/>
      <c r="F33" s="80" t="str">
        <f>IFERROR(__xludf.DUMMYFUNCTION("""COMPUTED_VALUE"""),"EDA (Event-Driven Architecture)")</f>
        <v>EDA (Event-Driven Architecture)</v>
      </c>
      <c r="G33" s="34"/>
      <c r="H33" s="35"/>
    </row>
    <row r="34" ht="15.75" customHeight="1">
      <c r="A34" s="81">
        <v>7.0</v>
      </c>
      <c r="B34" s="80" t="str">
        <f>IFERROR(__xludf.DUMMYFUNCTION("""COMPUTED_VALUE""")," Elementos de Diseño")</f>
        <v> Elementos de Diseño</v>
      </c>
      <c r="C34" s="35"/>
      <c r="D34" s="80" t="str">
        <f>IFERROR(__xludf.DUMMYFUNCTION("""COMPUTED_VALUE"""),"Patrones de arquitectura")</f>
        <v>Patrones de arquitectura</v>
      </c>
      <c r="E34" s="35"/>
      <c r="F34" s="80" t="str">
        <f>IFERROR(__xludf.DUMMYFUNCTION("""COMPUTED_VALUE"""),"Arquitecturas híbridas")</f>
        <v>Arquitecturas híbridas</v>
      </c>
      <c r="G34" s="34"/>
      <c r="H34" s="35"/>
    </row>
    <row r="35" ht="15.75" customHeight="1"/>
    <row r="36" ht="15.75" customHeight="1">
      <c r="A36" s="106" t="s">
        <v>220</v>
      </c>
    </row>
    <row r="37" ht="15.75" customHeight="1">
      <c r="A37" s="6"/>
      <c r="B37" s="6"/>
      <c r="C37" s="6"/>
      <c r="D37" s="6"/>
      <c r="E37" s="6"/>
      <c r="F37" s="6"/>
      <c r="G37" s="6"/>
      <c r="H37" s="6"/>
    </row>
    <row r="38">
      <c r="A38" s="107" t="s">
        <v>221</v>
      </c>
      <c r="B38" s="107" t="s">
        <v>29</v>
      </c>
      <c r="C38" s="111" t="s">
        <v>222</v>
      </c>
      <c r="D38" s="112" t="s">
        <v>223</v>
      </c>
      <c r="E38" s="34"/>
      <c r="F38" s="34"/>
      <c r="G38" s="34"/>
      <c r="H38" s="35"/>
      <c r="I38" s="113" t="s">
        <v>18</v>
      </c>
    </row>
    <row r="39" ht="15.75" customHeight="1">
      <c r="A39" s="81" t="s">
        <v>224</v>
      </c>
      <c r="B39" s="81" t="s">
        <v>225</v>
      </c>
      <c r="C39" s="81">
        <v>30.0</v>
      </c>
      <c r="D39" s="91">
        <v>25.0</v>
      </c>
      <c r="E39" s="34"/>
      <c r="F39" s="34"/>
      <c r="G39" s="34"/>
      <c r="H39" s="35"/>
      <c r="I39" s="81" t="str">
        <f t="shared" ref="I39:I42" si="1">IF(D39&lt;=C39,"Correcto", "Corregir")</f>
        <v>Correcto</v>
      </c>
    </row>
    <row r="40" ht="15.75" customHeight="1">
      <c r="A40" s="81" t="s">
        <v>226</v>
      </c>
      <c r="B40" s="81" t="s">
        <v>225</v>
      </c>
      <c r="C40" s="81">
        <v>6.0</v>
      </c>
      <c r="D40" s="91">
        <v>5.0</v>
      </c>
      <c r="E40" s="34"/>
      <c r="F40" s="34"/>
      <c r="G40" s="34"/>
      <c r="H40" s="35"/>
      <c r="I40" s="81" t="str">
        <f t="shared" si="1"/>
        <v>Correcto</v>
      </c>
    </row>
    <row r="41" ht="15.75" customHeight="1">
      <c r="A41" s="81" t="s">
        <v>227</v>
      </c>
      <c r="B41" s="81" t="s">
        <v>228</v>
      </c>
      <c r="C41" s="81">
        <v>10.0</v>
      </c>
      <c r="D41" s="91">
        <v>10.0</v>
      </c>
      <c r="E41" s="34"/>
      <c r="F41" s="34"/>
      <c r="G41" s="34"/>
      <c r="H41" s="35"/>
      <c r="I41" s="81" t="str">
        <f t="shared" si="1"/>
        <v>Correcto</v>
      </c>
    </row>
    <row r="42" ht="15.75" customHeight="1">
      <c r="A42" s="81" t="s">
        <v>229</v>
      </c>
      <c r="B42" s="81" t="s">
        <v>225</v>
      </c>
      <c r="C42" s="81">
        <v>30.0</v>
      </c>
      <c r="D42" s="91">
        <v>20.0</v>
      </c>
      <c r="E42" s="34"/>
      <c r="F42" s="34"/>
      <c r="G42" s="34"/>
      <c r="H42" s="35"/>
      <c r="I42" s="81" t="str">
        <f t="shared" si="1"/>
        <v>Correcto</v>
      </c>
    </row>
    <row r="43" ht="15.75" customHeight="1"/>
    <row r="44" ht="15.75" customHeight="1">
      <c r="A44" s="100" t="s">
        <v>230</v>
      </c>
      <c r="G44" s="94" t="s">
        <v>162</v>
      </c>
      <c r="H44" s="101">
        <f>B50</f>
        <v>35</v>
      </c>
    </row>
    <row r="45" ht="15.75" customHeight="1">
      <c r="G45" s="86" t="s">
        <v>231</v>
      </c>
    </row>
    <row r="46" ht="15.75" customHeight="1">
      <c r="A46" s="86" t="s">
        <v>232</v>
      </c>
    </row>
    <row r="47">
      <c r="A47" s="89" t="s">
        <v>233</v>
      </c>
      <c r="B47" s="91" t="s">
        <v>82</v>
      </c>
      <c r="C47" s="34"/>
      <c r="D47" s="34"/>
      <c r="E47" s="34"/>
      <c r="F47" s="34"/>
      <c r="G47" s="34"/>
      <c r="H47" s="35"/>
    </row>
    <row r="48" ht="15.75" customHeight="1">
      <c r="A48" s="89" t="s">
        <v>8</v>
      </c>
      <c r="B48" s="80" t="s">
        <v>234</v>
      </c>
      <c r="C48" s="34"/>
      <c r="D48" s="34"/>
      <c r="E48" s="34"/>
      <c r="F48" s="34"/>
      <c r="G48" s="34"/>
      <c r="H48" s="35"/>
    </row>
    <row r="49" ht="15.75" customHeight="1">
      <c r="A49" s="89" t="s">
        <v>201</v>
      </c>
      <c r="B49" s="114">
        <v>1.0</v>
      </c>
      <c r="C49" s="34"/>
      <c r="D49" s="34"/>
      <c r="E49" s="34"/>
      <c r="F49" s="34"/>
      <c r="G49" s="34"/>
      <c r="H49" s="35"/>
    </row>
    <row r="50" ht="15.75" customHeight="1">
      <c r="A50" s="89" t="s">
        <v>162</v>
      </c>
      <c r="B50" s="91">
        <v>35.0</v>
      </c>
      <c r="C50" s="34"/>
      <c r="D50" s="34"/>
      <c r="E50" s="34"/>
      <c r="F50" s="34"/>
      <c r="G50" s="34"/>
      <c r="H50" s="35"/>
    </row>
    <row r="51" ht="15.75" customHeight="1">
      <c r="A51" s="115" t="s">
        <v>235</v>
      </c>
      <c r="B51" s="6"/>
      <c r="C51" s="6"/>
      <c r="D51" s="6"/>
      <c r="E51" s="6"/>
      <c r="F51" s="6"/>
      <c r="G51" s="6"/>
      <c r="H51" s="6"/>
    </row>
    <row r="52" ht="15.75" customHeight="1">
      <c r="A52" s="102" t="s">
        <v>236</v>
      </c>
      <c r="B52" s="34"/>
      <c r="C52" s="34"/>
      <c r="D52" s="34"/>
      <c r="E52" s="34"/>
      <c r="F52" s="34"/>
      <c r="G52" s="34"/>
      <c r="H52" s="35"/>
    </row>
    <row r="53" ht="15.75" customHeight="1">
      <c r="A53" s="124" t="s">
        <v>269</v>
      </c>
      <c r="B53" s="62"/>
      <c r="C53" s="62"/>
      <c r="D53" s="62"/>
      <c r="E53" s="62"/>
      <c r="F53" s="62"/>
      <c r="G53" s="62"/>
      <c r="H53" s="63"/>
    </row>
    <row r="54" ht="15.75" customHeight="1">
      <c r="A54" s="116"/>
      <c r="H54" s="117"/>
    </row>
    <row r="55" ht="15.75" customHeight="1">
      <c r="A55" s="64"/>
      <c r="B55" s="65"/>
      <c r="C55" s="65"/>
      <c r="D55" s="65"/>
      <c r="E55" s="65"/>
      <c r="F55" s="65"/>
      <c r="G55" s="65"/>
      <c r="H55" s="66"/>
    </row>
    <row r="56" ht="15.75" customHeight="1"/>
    <row r="57" ht="15.75" customHeight="1">
      <c r="A57" s="86" t="s">
        <v>238</v>
      </c>
    </row>
    <row r="58">
      <c r="A58" s="89" t="s">
        <v>233</v>
      </c>
      <c r="B58" s="80"/>
      <c r="C58" s="34"/>
      <c r="D58" s="34"/>
      <c r="E58" s="34"/>
      <c r="F58" s="34"/>
      <c r="G58" s="34"/>
      <c r="H58" s="35"/>
    </row>
    <row r="59" ht="15.75" customHeight="1">
      <c r="A59" s="89" t="s">
        <v>8</v>
      </c>
      <c r="B59" s="80"/>
      <c r="C59" s="34"/>
      <c r="D59" s="34"/>
      <c r="E59" s="34"/>
      <c r="F59" s="34"/>
      <c r="G59" s="34"/>
      <c r="H59" s="35"/>
    </row>
    <row r="60" ht="15.75" customHeight="1">
      <c r="A60" s="89" t="s">
        <v>201</v>
      </c>
      <c r="B60" s="118"/>
      <c r="C60" s="34"/>
      <c r="D60" s="34"/>
      <c r="E60" s="34"/>
      <c r="F60" s="34"/>
      <c r="G60" s="34"/>
      <c r="H60" s="35"/>
    </row>
    <row r="61" ht="15.75" customHeight="1">
      <c r="A61" s="89" t="s">
        <v>162</v>
      </c>
      <c r="B61" s="118"/>
      <c r="C61" s="34"/>
      <c r="D61" s="34"/>
      <c r="E61" s="34"/>
      <c r="F61" s="34"/>
      <c r="G61" s="34"/>
      <c r="H61" s="35"/>
    </row>
    <row r="62" ht="15.75" customHeight="1">
      <c r="A62" s="119" t="s">
        <v>239</v>
      </c>
      <c r="B62" s="6"/>
      <c r="C62" s="6"/>
      <c r="D62" s="6"/>
      <c r="E62" s="6"/>
      <c r="F62" s="6"/>
      <c r="G62" s="6"/>
      <c r="H62" s="6"/>
    </row>
    <row r="63" ht="15.75" customHeight="1">
      <c r="A63" s="102" t="s">
        <v>236</v>
      </c>
      <c r="B63" s="34"/>
      <c r="C63" s="34"/>
      <c r="D63" s="34"/>
      <c r="E63" s="34"/>
      <c r="F63" s="34"/>
      <c r="G63" s="34"/>
      <c r="H63" s="35"/>
    </row>
    <row r="64" ht="15.75" customHeight="1">
      <c r="A64" s="104"/>
      <c r="B64" s="62"/>
      <c r="C64" s="62"/>
      <c r="D64" s="62"/>
      <c r="E64" s="62"/>
      <c r="F64" s="62"/>
      <c r="G64" s="62"/>
      <c r="H64" s="63"/>
    </row>
    <row r="65" ht="15.75" customHeight="1">
      <c r="A65" s="116"/>
      <c r="H65" s="117"/>
    </row>
    <row r="66" ht="15.75" customHeight="1">
      <c r="A66" s="64"/>
      <c r="B66" s="65"/>
      <c r="C66" s="65"/>
      <c r="D66" s="65"/>
      <c r="E66" s="65"/>
      <c r="F66" s="65"/>
      <c r="G66" s="65"/>
      <c r="H66" s="66"/>
    </row>
    <row r="67" ht="15.75" customHeight="1"/>
    <row r="68" ht="15.75" customHeight="1">
      <c r="A68" s="100" t="s">
        <v>240</v>
      </c>
      <c r="G68" s="94" t="s">
        <v>162</v>
      </c>
      <c r="H68" s="105">
        <v>10.0</v>
      </c>
    </row>
    <row r="69" ht="15.75" customHeight="1">
      <c r="G69" s="86" t="s">
        <v>241</v>
      </c>
    </row>
    <row r="70" ht="15.75" customHeight="1">
      <c r="A70" s="89" t="s">
        <v>162</v>
      </c>
      <c r="B70" s="118"/>
      <c r="C70" s="34"/>
      <c r="D70" s="34"/>
      <c r="E70" s="34"/>
      <c r="F70" s="34"/>
      <c r="G70" s="34"/>
      <c r="H70" s="35"/>
    </row>
    <row r="71" ht="15.75" customHeight="1">
      <c r="A71" s="112" t="s">
        <v>242</v>
      </c>
      <c r="B71" s="34"/>
      <c r="C71" s="34"/>
      <c r="D71" s="34"/>
      <c r="E71" s="34"/>
      <c r="F71" s="34"/>
      <c r="G71" s="34"/>
      <c r="H71" s="35"/>
    </row>
    <row r="72" ht="15.75" customHeight="1">
      <c r="A72" s="61" t="s">
        <v>270</v>
      </c>
      <c r="B72" s="62"/>
      <c r="C72" s="62"/>
      <c r="D72" s="62"/>
      <c r="E72" s="62"/>
      <c r="F72" s="62"/>
      <c r="G72" s="62"/>
      <c r="H72" s="63"/>
    </row>
    <row r="73" ht="15.75" customHeight="1">
      <c r="A73" s="64"/>
      <c r="B73" s="65"/>
      <c r="C73" s="65"/>
      <c r="D73" s="65"/>
      <c r="E73" s="65"/>
      <c r="F73" s="65"/>
      <c r="G73" s="65"/>
      <c r="H73" s="66"/>
    </row>
    <row r="74" ht="15.75" customHeight="1">
      <c r="A74" s="86" t="s">
        <v>244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200</v>
      </c>
    </row>
    <row r="3" ht="15.75" customHeight="1"/>
    <row r="4" ht="15.75" customHeight="1">
      <c r="B4" s="79" t="s">
        <v>1</v>
      </c>
      <c r="C4" s="97" t="str">
        <f>'Diseño'!C4</f>
        <v>785 - Análisis y Diseño de Sistemas 2</v>
      </c>
      <c r="D4" s="34"/>
      <c r="E4" s="34"/>
      <c r="F4" s="34"/>
      <c r="G4" s="35"/>
    </row>
    <row r="5" ht="15.75" customHeight="1">
      <c r="B5" s="81" t="s">
        <v>81</v>
      </c>
      <c r="C5" s="80">
        <v>8.0</v>
      </c>
      <c r="D5" s="34"/>
      <c r="E5" s="34"/>
      <c r="F5" s="34"/>
      <c r="G5" s="35"/>
    </row>
    <row r="6" ht="15.75" customHeight="1">
      <c r="B6" s="98" t="s">
        <v>159</v>
      </c>
      <c r="C6" s="80">
        <f>H10+H21+H44+H68</f>
        <v>100</v>
      </c>
      <c r="D6" s="34"/>
      <c r="E6" s="34"/>
      <c r="F6" s="34"/>
      <c r="G6" s="35"/>
      <c r="I6" s="6"/>
    </row>
    <row r="7" ht="15.75" customHeight="1">
      <c r="B7" s="98" t="s">
        <v>201</v>
      </c>
      <c r="C7" s="80">
        <f>B49+B60</f>
        <v>1</v>
      </c>
      <c r="D7" s="34"/>
      <c r="E7" s="34"/>
      <c r="F7" s="34"/>
      <c r="G7" s="35"/>
    </row>
    <row r="8" ht="15.75" customHeight="1">
      <c r="B8" s="98" t="s">
        <v>202</v>
      </c>
      <c r="C8" s="99" t="str">
        <f>IF(H44&lt;=0, "❌ ERROR: La Actividad 1 debe tener un tiempo mayor a 0.", IF(H21&gt;60, "❌ ERROR: El 'Área de Conocimiento' no puede exceder los 60 min.", IF((H10+H21+H44+H68)&lt;100, "❌ ERROR: El tiempo total debe ser de al menos 100 min.", "✅ VALIDACIÓN CORRECTA")))</f>
        <v>✅ VALIDACIÓN CORRECTA</v>
      </c>
      <c r="D8" s="34"/>
      <c r="E8" s="34"/>
      <c r="F8" s="34"/>
      <c r="G8" s="35"/>
      <c r="I8" s="6"/>
      <c r="J8" s="6"/>
      <c r="K8" s="6"/>
    </row>
    <row r="9" ht="15.75" customHeight="1"/>
    <row r="10" ht="15.75" customHeight="1">
      <c r="A10" s="100" t="s">
        <v>203</v>
      </c>
      <c r="G10" s="94" t="s">
        <v>162</v>
      </c>
      <c r="H10" s="105">
        <v>5.0</v>
      </c>
    </row>
    <row r="11" ht="15.75" customHeight="1">
      <c r="G11" s="86" t="s">
        <v>204</v>
      </c>
    </row>
    <row r="12" ht="15.75" customHeight="1">
      <c r="A12" s="89" t="s">
        <v>205</v>
      </c>
      <c r="B12" s="96" t="s">
        <v>271</v>
      </c>
      <c r="C12" s="34"/>
      <c r="D12" s="34"/>
      <c r="E12" s="34"/>
      <c r="F12" s="34"/>
      <c r="G12" s="34"/>
      <c r="H12" s="35"/>
    </row>
    <row r="13" ht="15.75" customHeight="1">
      <c r="A13" s="90" t="s">
        <v>162</v>
      </c>
      <c r="B13" s="91">
        <v>5.0</v>
      </c>
      <c r="C13" s="34"/>
      <c r="D13" s="34"/>
      <c r="E13" s="34"/>
      <c r="F13" s="34"/>
      <c r="G13" s="34"/>
      <c r="H13" s="35"/>
    </row>
    <row r="14" ht="15.75" customHeight="1">
      <c r="A14" s="102" t="s">
        <v>207</v>
      </c>
      <c r="B14" s="34"/>
      <c r="C14" s="34"/>
      <c r="D14" s="34"/>
      <c r="E14" s="34"/>
      <c r="F14" s="34"/>
      <c r="G14" s="34"/>
      <c r="H14" s="35"/>
    </row>
    <row r="15" ht="15.75" customHeight="1">
      <c r="A15" s="103" t="s">
        <v>272</v>
      </c>
      <c r="B15" s="62"/>
      <c r="C15" s="62"/>
      <c r="D15" s="62"/>
      <c r="E15" s="62"/>
      <c r="F15" s="62"/>
      <c r="G15" s="62"/>
      <c r="H15" s="63"/>
    </row>
    <row r="16" ht="15.75" customHeight="1">
      <c r="A16" s="64"/>
      <c r="B16" s="65"/>
      <c r="C16" s="65"/>
      <c r="D16" s="65"/>
      <c r="E16" s="65"/>
      <c r="F16" s="65"/>
      <c r="G16" s="65"/>
      <c r="H16" s="66"/>
    </row>
    <row r="17" ht="15.75" customHeight="1">
      <c r="A17" s="102" t="s">
        <v>209</v>
      </c>
      <c r="B17" s="34"/>
      <c r="C17" s="34"/>
      <c r="D17" s="34"/>
      <c r="E17" s="34"/>
      <c r="F17" s="34"/>
      <c r="G17" s="34"/>
      <c r="H17" s="35"/>
    </row>
    <row r="18" ht="15.75" customHeight="1">
      <c r="A18" s="103" t="s">
        <v>273</v>
      </c>
      <c r="B18" s="62"/>
      <c r="C18" s="62"/>
      <c r="D18" s="62"/>
      <c r="E18" s="62"/>
      <c r="F18" s="62"/>
      <c r="G18" s="62"/>
      <c r="H18" s="63"/>
    </row>
    <row r="19" ht="15.75" customHeight="1">
      <c r="A19" s="64"/>
      <c r="B19" s="65"/>
      <c r="C19" s="65"/>
      <c r="D19" s="65"/>
      <c r="E19" s="65"/>
      <c r="F19" s="65"/>
      <c r="G19" s="65"/>
      <c r="H19" s="66"/>
    </row>
    <row r="20" ht="15.75" customHeight="1"/>
    <row r="21" ht="15.75" customHeight="1">
      <c r="A21" s="100" t="s">
        <v>211</v>
      </c>
      <c r="G21" s="94" t="s">
        <v>162</v>
      </c>
      <c r="H21" s="101">
        <f>SUM(D39:H42)</f>
        <v>55</v>
      </c>
      <c r="I21" s="6"/>
    </row>
    <row r="22" ht="15.75" customHeight="1">
      <c r="G22" s="86" t="s">
        <v>212</v>
      </c>
    </row>
    <row r="23" ht="15.75" customHeight="1">
      <c r="A23" s="89" t="s">
        <v>213</v>
      </c>
      <c r="B23" s="91" t="s">
        <v>109</v>
      </c>
      <c r="C23" s="34"/>
      <c r="D23" s="34"/>
      <c r="E23" s="34"/>
      <c r="F23" s="34"/>
      <c r="G23" s="34"/>
      <c r="H23" s="35"/>
    </row>
    <row r="24" ht="15.75" customHeight="1">
      <c r="A24" s="89" t="s">
        <v>213</v>
      </c>
      <c r="B24" s="91" t="s">
        <v>149</v>
      </c>
      <c r="C24" s="34"/>
      <c r="D24" s="34"/>
      <c r="E24" s="34"/>
      <c r="F24" s="34"/>
      <c r="G24" s="34"/>
      <c r="H24" s="35"/>
    </row>
    <row r="25" ht="15.75" customHeight="1"/>
    <row r="26" ht="15.75" customHeight="1">
      <c r="A26" s="106" t="s">
        <v>215</v>
      </c>
      <c r="B26" s="6"/>
      <c r="C26" s="6"/>
      <c r="D26" s="6"/>
    </row>
    <row r="27" ht="15.75" customHeight="1">
      <c r="A27" s="107" t="s">
        <v>75</v>
      </c>
      <c r="B27" s="108" t="s">
        <v>216</v>
      </c>
      <c r="C27" s="35"/>
      <c r="D27" s="108" t="s">
        <v>217</v>
      </c>
      <c r="E27" s="35"/>
      <c r="F27" s="108" t="s">
        <v>218</v>
      </c>
      <c r="G27" s="34"/>
      <c r="H27" s="35"/>
    </row>
    <row r="28" ht="15.75" customHeight="1">
      <c r="A28" s="81">
        <v>1.0</v>
      </c>
      <c r="B28" s="80" t="str">
        <f>IFERROR(__xludf.DUMMYFUNCTION("FILTER('Diseño'!D:D,'Diseño'!H:H=$C$5)"),"Pruebas de Software")</f>
        <v>Pruebas de Software</v>
      </c>
      <c r="C28" s="35"/>
      <c r="D28" s="80" t="str">
        <f>IFERROR(__xludf.DUMMYFUNCTION("FILTER('Diseño'!E:E,'Diseño'!H:H=$C$5)"),"Pruebas funcionales")</f>
        <v>Pruebas funcionales</v>
      </c>
      <c r="E28" s="35"/>
      <c r="F28" s="80" t="str">
        <f>IFERROR(__xludf.DUMMYFUNCTION("FILTER('Diseño'!F:F,'Diseño'!H:H=$C$5)"),"¿Qué son las pruebas funcionales?")</f>
        <v>¿Qué son las pruebas funcionales?</v>
      </c>
      <c r="G28" s="34"/>
      <c r="H28" s="35"/>
    </row>
    <row r="29" ht="15.75" customHeight="1">
      <c r="A29" s="81">
        <v>2.0</v>
      </c>
      <c r="B29" s="80" t="str">
        <f>IFERROR(__xludf.DUMMYFUNCTION("""COMPUTED_VALUE"""),"Pruebas de Software")</f>
        <v>Pruebas de Software</v>
      </c>
      <c r="C29" s="35"/>
      <c r="D29" s="80" t="str">
        <f>IFERROR(__xludf.DUMMYFUNCTION("""COMPUTED_VALUE"""),"Pruebas funcionales")</f>
        <v>Pruebas funcionales</v>
      </c>
      <c r="E29" s="35"/>
      <c r="F29" s="80" t="str">
        <f>IFERROR(__xludf.DUMMYFUNCTION("""COMPUTED_VALUE"""),"Conceptos y principios de las pruebas funcionales")</f>
        <v>Conceptos y principios de las pruebas funcionales</v>
      </c>
      <c r="G29" s="34"/>
      <c r="H29" s="35"/>
    </row>
    <row r="30" ht="15.75" customHeight="1">
      <c r="A30" s="81">
        <v>3.0</v>
      </c>
      <c r="B30" s="80" t="str">
        <f>IFERROR(__xludf.DUMMYFUNCTION("""COMPUTED_VALUE"""),"Pruebas de Software")</f>
        <v>Pruebas de Software</v>
      </c>
      <c r="C30" s="35"/>
      <c r="D30" s="80" t="str">
        <f>IFERROR(__xludf.DUMMYFUNCTION("""COMPUTED_VALUE"""),"Pruebas funcionales")</f>
        <v>Pruebas funcionales</v>
      </c>
      <c r="E30" s="35"/>
      <c r="F30" s="80" t="str">
        <f>IFERROR(__xludf.DUMMYFUNCTION("""COMPUTED_VALUE"""),"Importancia y aplicabilidad dentro de una arquitectura de software")</f>
        <v>Importancia y aplicabilidad dentro de una arquitectura de software</v>
      </c>
      <c r="G30" s="34"/>
      <c r="H30" s="35"/>
    </row>
    <row r="31" ht="15.75" customHeight="1">
      <c r="A31" s="81">
        <v>4.0</v>
      </c>
      <c r="B31" s="80" t="str">
        <f>IFERROR(__xludf.DUMMYFUNCTION("""COMPUTED_VALUE"""),"Pruebas de Software")</f>
        <v>Pruebas de Software</v>
      </c>
      <c r="C31" s="35"/>
      <c r="D31" s="80" t="str">
        <f>IFERROR(__xludf.DUMMYFUNCTION("""COMPUTED_VALUE"""),"Pruebas funcionales")</f>
        <v>Pruebas funcionales</v>
      </c>
      <c r="E31" s="35"/>
      <c r="F31" s="80" t="str">
        <f>IFERROR(__xludf.DUMMYFUNCTION("""COMPUTED_VALUE"""),"¿Qué son las pruebas unitarias?")</f>
        <v>¿Qué son las pruebas unitarias?</v>
      </c>
      <c r="G31" s="34"/>
      <c r="H31" s="35"/>
    </row>
    <row r="32" ht="15.75" customHeight="1">
      <c r="A32" s="81">
        <v>5.0</v>
      </c>
      <c r="B32" s="80" t="str">
        <f>IFERROR(__xludf.DUMMYFUNCTION("""COMPUTED_VALUE"""),"Pruebas de Software")</f>
        <v>Pruebas de Software</v>
      </c>
      <c r="C32" s="35"/>
      <c r="D32" s="80" t="str">
        <f>IFERROR(__xludf.DUMMYFUNCTION("""COMPUTED_VALUE"""),"Pruebas funcionales")</f>
        <v>Pruebas funcionales</v>
      </c>
      <c r="E32" s="35"/>
      <c r="F32" s="80" t="str">
        <f>IFERROR(__xludf.DUMMYFUNCTION("""COMPUTED_VALUE"""),"¿Qué son pruebas de aceptación?")</f>
        <v>¿Qué son pruebas de aceptación?</v>
      </c>
      <c r="G32" s="34"/>
      <c r="H32" s="35"/>
    </row>
    <row r="33" ht="15.75" customHeight="1">
      <c r="A33" s="81">
        <v>6.0</v>
      </c>
      <c r="B33" s="80" t="str">
        <f>IFERROR(__xludf.DUMMYFUNCTION("""COMPUTED_VALUE"""),"Pruebas de Software")</f>
        <v>Pruebas de Software</v>
      </c>
      <c r="C33" s="35"/>
      <c r="D33" s="80" t="str">
        <f>IFERROR(__xludf.DUMMYFUNCTION("""COMPUTED_VALUE"""),"Pruebas funcionales")</f>
        <v>Pruebas funcionales</v>
      </c>
      <c r="E33" s="35"/>
      <c r="F33" s="80" t="str">
        <f>IFERROR(__xludf.DUMMYFUNCTION("""COMPUTED_VALUE"""),"¿Qué son las pruebas de integración?")</f>
        <v>¿Qué son las pruebas de integración?</v>
      </c>
      <c r="G33" s="34"/>
      <c r="H33" s="35"/>
    </row>
    <row r="34" ht="15.75" customHeight="1">
      <c r="A34" s="81">
        <v>7.0</v>
      </c>
      <c r="B34" s="80" t="str">
        <f>IFERROR(__xludf.DUMMYFUNCTION("""COMPUTED_VALUE"""),"Pruebas de Software")</f>
        <v>Pruebas de Software</v>
      </c>
      <c r="C34" s="35"/>
      <c r="D34" s="80" t="str">
        <f>IFERROR(__xludf.DUMMYFUNCTION("""COMPUTED_VALUE"""),"Pruebas funcionales")</f>
        <v>Pruebas funcionales</v>
      </c>
      <c r="E34" s="35"/>
      <c r="F34" s="80" t="str">
        <f>IFERROR(__xludf.DUMMYFUNCTION("""COMPUTED_VALUE"""),"¿Qué son las pruebas de regresión?")</f>
        <v>¿Qué son las pruebas de regresión?</v>
      </c>
      <c r="G34" s="34"/>
      <c r="H34" s="35"/>
    </row>
    <row r="35" ht="15.75" customHeight="1"/>
    <row r="36" ht="15.75" customHeight="1">
      <c r="A36" s="106" t="s">
        <v>220</v>
      </c>
    </row>
    <row r="37" ht="15.75" customHeight="1">
      <c r="A37" s="6"/>
      <c r="B37" s="6"/>
      <c r="C37" s="6"/>
      <c r="D37" s="6"/>
      <c r="E37" s="6"/>
      <c r="F37" s="6"/>
      <c r="G37" s="6"/>
      <c r="H37" s="6"/>
    </row>
    <row r="38">
      <c r="A38" s="107" t="s">
        <v>221</v>
      </c>
      <c r="B38" s="107" t="s">
        <v>29</v>
      </c>
      <c r="C38" s="111" t="s">
        <v>222</v>
      </c>
      <c r="D38" s="112" t="s">
        <v>223</v>
      </c>
      <c r="E38" s="34"/>
      <c r="F38" s="34"/>
      <c r="G38" s="34"/>
      <c r="H38" s="35"/>
      <c r="I38" s="113" t="s">
        <v>18</v>
      </c>
    </row>
    <row r="39" ht="15.75" customHeight="1">
      <c r="A39" s="81" t="s">
        <v>224</v>
      </c>
      <c r="B39" s="81" t="s">
        <v>225</v>
      </c>
      <c r="C39" s="81">
        <v>30.0</v>
      </c>
      <c r="D39" s="91">
        <v>24.0</v>
      </c>
      <c r="E39" s="34"/>
      <c r="F39" s="34"/>
      <c r="G39" s="34"/>
      <c r="H39" s="35"/>
      <c r="I39" s="81" t="str">
        <f t="shared" ref="I39:I42" si="1">IF(D39&lt;=C39,"Correcto", "Corregir")</f>
        <v>Correcto</v>
      </c>
    </row>
    <row r="40" ht="15.75" customHeight="1">
      <c r="A40" s="81" t="s">
        <v>226</v>
      </c>
      <c r="B40" s="81" t="s">
        <v>225</v>
      </c>
      <c r="C40" s="81">
        <v>6.0</v>
      </c>
      <c r="D40" s="91">
        <v>6.0</v>
      </c>
      <c r="E40" s="34"/>
      <c r="F40" s="34"/>
      <c r="G40" s="34"/>
      <c r="H40" s="35"/>
      <c r="I40" s="81" t="str">
        <f t="shared" si="1"/>
        <v>Correcto</v>
      </c>
    </row>
    <row r="41" ht="15.75" customHeight="1">
      <c r="A41" s="81" t="s">
        <v>227</v>
      </c>
      <c r="B41" s="81" t="s">
        <v>228</v>
      </c>
      <c r="C41" s="81">
        <v>10.0</v>
      </c>
      <c r="D41" s="91">
        <v>0.0</v>
      </c>
      <c r="E41" s="34"/>
      <c r="F41" s="34"/>
      <c r="G41" s="34"/>
      <c r="H41" s="35"/>
      <c r="I41" s="81" t="str">
        <f t="shared" si="1"/>
        <v>Correcto</v>
      </c>
    </row>
    <row r="42" ht="15.75" customHeight="1">
      <c r="A42" s="81" t="s">
        <v>229</v>
      </c>
      <c r="B42" s="81" t="s">
        <v>225</v>
      </c>
      <c r="C42" s="81">
        <v>30.0</v>
      </c>
      <c r="D42" s="91">
        <v>25.0</v>
      </c>
      <c r="E42" s="34"/>
      <c r="F42" s="34"/>
      <c r="G42" s="34"/>
      <c r="H42" s="35"/>
      <c r="I42" s="81" t="str">
        <f t="shared" si="1"/>
        <v>Correcto</v>
      </c>
    </row>
    <row r="43" ht="15.75" customHeight="1"/>
    <row r="44" ht="15.75" customHeight="1">
      <c r="A44" s="100" t="s">
        <v>230</v>
      </c>
      <c r="G44" s="94" t="s">
        <v>162</v>
      </c>
      <c r="H44" s="101">
        <f>B50</f>
        <v>30</v>
      </c>
    </row>
    <row r="45" ht="15.75" customHeight="1">
      <c r="G45" s="86" t="s">
        <v>231</v>
      </c>
    </row>
    <row r="46" ht="15.75" customHeight="1">
      <c r="A46" s="86" t="s">
        <v>232</v>
      </c>
    </row>
    <row r="47">
      <c r="A47" s="89" t="s">
        <v>233</v>
      </c>
      <c r="B47" s="91" t="s">
        <v>109</v>
      </c>
      <c r="C47" s="34"/>
      <c r="D47" s="34"/>
      <c r="E47" s="34"/>
      <c r="F47" s="34"/>
      <c r="G47" s="34"/>
      <c r="H47" s="35"/>
    </row>
    <row r="48" ht="15.75" customHeight="1">
      <c r="A48" s="89" t="s">
        <v>8</v>
      </c>
      <c r="B48" s="80" t="s">
        <v>234</v>
      </c>
      <c r="C48" s="34"/>
      <c r="D48" s="34"/>
      <c r="E48" s="34"/>
      <c r="F48" s="34"/>
      <c r="G48" s="34"/>
      <c r="H48" s="35"/>
    </row>
    <row r="49" ht="15.75" customHeight="1">
      <c r="A49" s="89" t="s">
        <v>201</v>
      </c>
      <c r="B49" s="114">
        <v>1.0</v>
      </c>
      <c r="C49" s="34"/>
      <c r="D49" s="34"/>
      <c r="E49" s="34"/>
      <c r="F49" s="34"/>
      <c r="G49" s="34"/>
      <c r="H49" s="35"/>
    </row>
    <row r="50" ht="15.75" customHeight="1">
      <c r="A50" s="89" t="s">
        <v>162</v>
      </c>
      <c r="B50" s="91">
        <v>30.0</v>
      </c>
      <c r="C50" s="34"/>
      <c r="D50" s="34"/>
      <c r="E50" s="34"/>
      <c r="F50" s="34"/>
      <c r="G50" s="34"/>
      <c r="H50" s="35"/>
    </row>
    <row r="51" ht="15.75" customHeight="1">
      <c r="A51" s="115" t="s">
        <v>235</v>
      </c>
      <c r="B51" s="6"/>
      <c r="C51" s="6"/>
      <c r="D51" s="6"/>
      <c r="E51" s="6"/>
      <c r="F51" s="6"/>
      <c r="G51" s="6"/>
      <c r="H51" s="6"/>
    </row>
    <row r="52" ht="15.75" customHeight="1">
      <c r="A52" s="102" t="s">
        <v>236</v>
      </c>
      <c r="B52" s="34"/>
      <c r="C52" s="34"/>
      <c r="D52" s="34"/>
      <c r="E52" s="34"/>
      <c r="F52" s="34"/>
      <c r="G52" s="34"/>
      <c r="H52" s="35"/>
    </row>
    <row r="53" ht="15.75" customHeight="1">
      <c r="A53" s="104"/>
      <c r="B53" s="62"/>
      <c r="C53" s="62"/>
      <c r="D53" s="62"/>
      <c r="E53" s="62"/>
      <c r="F53" s="62"/>
      <c r="G53" s="62"/>
      <c r="H53" s="63"/>
    </row>
    <row r="54" ht="15.75" customHeight="1">
      <c r="A54" s="116"/>
      <c r="H54" s="117"/>
    </row>
    <row r="55" ht="15.75" customHeight="1">
      <c r="A55" s="64"/>
      <c r="B55" s="65"/>
      <c r="C55" s="65"/>
      <c r="D55" s="65"/>
      <c r="E55" s="65"/>
      <c r="F55" s="65"/>
      <c r="G55" s="65"/>
      <c r="H55" s="66"/>
    </row>
    <row r="56" ht="15.75" customHeight="1"/>
    <row r="57" ht="15.75" customHeight="1">
      <c r="A57" s="86" t="s">
        <v>238</v>
      </c>
    </row>
    <row r="58">
      <c r="A58" s="89" t="s">
        <v>233</v>
      </c>
      <c r="B58" s="80"/>
      <c r="C58" s="34"/>
      <c r="D58" s="34"/>
      <c r="E58" s="34"/>
      <c r="F58" s="34"/>
      <c r="G58" s="34"/>
      <c r="H58" s="35"/>
    </row>
    <row r="59" ht="15.75" customHeight="1">
      <c r="A59" s="89" t="s">
        <v>8</v>
      </c>
      <c r="B59" s="80"/>
      <c r="C59" s="34"/>
      <c r="D59" s="34"/>
      <c r="E59" s="34"/>
      <c r="F59" s="34"/>
      <c r="G59" s="34"/>
      <c r="H59" s="35"/>
    </row>
    <row r="60" ht="15.75" customHeight="1">
      <c r="A60" s="89" t="s">
        <v>201</v>
      </c>
      <c r="B60" s="118"/>
      <c r="C60" s="34"/>
      <c r="D60" s="34"/>
      <c r="E60" s="34"/>
      <c r="F60" s="34"/>
      <c r="G60" s="34"/>
      <c r="H60" s="35"/>
    </row>
    <row r="61" ht="15.75" customHeight="1">
      <c r="A61" s="89" t="s">
        <v>162</v>
      </c>
      <c r="B61" s="118"/>
      <c r="C61" s="34"/>
      <c r="D61" s="34"/>
      <c r="E61" s="34"/>
      <c r="F61" s="34"/>
      <c r="G61" s="34"/>
      <c r="H61" s="35"/>
    </row>
    <row r="62" ht="15.75" customHeight="1">
      <c r="A62" s="119" t="s">
        <v>239</v>
      </c>
      <c r="B62" s="6"/>
      <c r="C62" s="6"/>
      <c r="D62" s="6"/>
      <c r="E62" s="6"/>
      <c r="F62" s="6"/>
      <c r="G62" s="6"/>
      <c r="H62" s="6"/>
    </row>
    <row r="63" ht="15.75" customHeight="1">
      <c r="A63" s="102" t="s">
        <v>236</v>
      </c>
      <c r="B63" s="34"/>
      <c r="C63" s="34"/>
      <c r="D63" s="34"/>
      <c r="E63" s="34"/>
      <c r="F63" s="34"/>
      <c r="G63" s="34"/>
      <c r="H63" s="35"/>
    </row>
    <row r="64" ht="15.75" customHeight="1">
      <c r="A64" s="103" t="s">
        <v>274</v>
      </c>
      <c r="B64" s="62"/>
      <c r="C64" s="62"/>
      <c r="D64" s="62"/>
      <c r="E64" s="62"/>
      <c r="F64" s="62"/>
      <c r="G64" s="62"/>
      <c r="H64" s="63"/>
    </row>
    <row r="65" ht="15.75" customHeight="1">
      <c r="A65" s="116"/>
      <c r="H65" s="117"/>
    </row>
    <row r="66" ht="15.75" customHeight="1">
      <c r="A66" s="64"/>
      <c r="B66" s="65"/>
      <c r="C66" s="65"/>
      <c r="D66" s="65"/>
      <c r="E66" s="65"/>
      <c r="F66" s="65"/>
      <c r="G66" s="65"/>
      <c r="H66" s="66"/>
    </row>
    <row r="67" ht="15.75" customHeight="1"/>
    <row r="68" ht="15.75" customHeight="1">
      <c r="A68" s="100" t="s">
        <v>240</v>
      </c>
      <c r="G68" s="94" t="s">
        <v>162</v>
      </c>
      <c r="H68" s="101">
        <f>B70</f>
        <v>10</v>
      </c>
    </row>
    <row r="69" ht="15.75" customHeight="1">
      <c r="G69" s="86" t="s">
        <v>241</v>
      </c>
    </row>
    <row r="70" ht="15.75" customHeight="1">
      <c r="A70" s="89" t="s">
        <v>162</v>
      </c>
      <c r="B70" s="114">
        <v>10.0</v>
      </c>
      <c r="C70" s="34"/>
      <c r="D70" s="34"/>
      <c r="E70" s="34"/>
      <c r="F70" s="34"/>
      <c r="G70" s="34"/>
      <c r="H70" s="35"/>
    </row>
    <row r="71" ht="15.75" customHeight="1">
      <c r="A71" s="112" t="s">
        <v>242</v>
      </c>
      <c r="B71" s="34"/>
      <c r="C71" s="34"/>
      <c r="D71" s="34"/>
      <c r="E71" s="34"/>
      <c r="F71" s="34"/>
      <c r="G71" s="34"/>
      <c r="H71" s="35"/>
    </row>
    <row r="72" ht="15.75" customHeight="1">
      <c r="A72" s="103" t="s">
        <v>275</v>
      </c>
      <c r="B72" s="62"/>
      <c r="C72" s="62"/>
      <c r="D72" s="62"/>
      <c r="E72" s="62"/>
      <c r="F72" s="62"/>
      <c r="G72" s="62"/>
      <c r="H72" s="63"/>
    </row>
    <row r="73" ht="15.75" customHeight="1">
      <c r="A73" s="64"/>
      <c r="B73" s="65"/>
      <c r="C73" s="65"/>
      <c r="D73" s="65"/>
      <c r="E73" s="65"/>
      <c r="F73" s="65"/>
      <c r="G73" s="65"/>
      <c r="H73" s="66"/>
    </row>
    <row r="74" ht="15.75" customHeight="1">
      <c r="A74" s="86" t="s">
        <v>244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200</v>
      </c>
    </row>
    <row r="3" ht="15.75" customHeight="1"/>
    <row r="4" ht="15.75" customHeight="1">
      <c r="B4" s="79" t="s">
        <v>1</v>
      </c>
      <c r="C4" s="97" t="str">
        <f>'Diseño'!C4</f>
        <v>785 - Análisis y Diseño de Sistemas 2</v>
      </c>
      <c r="D4" s="34"/>
      <c r="E4" s="34"/>
      <c r="F4" s="34"/>
      <c r="G4" s="35"/>
    </row>
    <row r="5" ht="15.75" customHeight="1">
      <c r="B5" s="81" t="s">
        <v>81</v>
      </c>
      <c r="C5" s="80">
        <v>9.0</v>
      </c>
      <c r="D5" s="34"/>
      <c r="E5" s="34"/>
      <c r="F5" s="34"/>
      <c r="G5" s="35"/>
    </row>
    <row r="6" ht="15.75" customHeight="1">
      <c r="B6" s="98" t="s">
        <v>159</v>
      </c>
      <c r="C6" s="80">
        <f>H10+H21+H44+H68</f>
        <v>100</v>
      </c>
      <c r="D6" s="34"/>
      <c r="E6" s="34"/>
      <c r="F6" s="34"/>
      <c r="G6" s="35"/>
      <c r="I6" s="6"/>
    </row>
    <row r="7" ht="15.75" customHeight="1">
      <c r="B7" s="98" t="s">
        <v>201</v>
      </c>
      <c r="C7" s="80">
        <f>B49+B60</f>
        <v>1</v>
      </c>
      <c r="D7" s="34"/>
      <c r="E7" s="34"/>
      <c r="F7" s="34"/>
      <c r="G7" s="35"/>
    </row>
    <row r="8" ht="15.75" customHeight="1">
      <c r="B8" s="98" t="s">
        <v>202</v>
      </c>
      <c r="C8" s="99" t="str">
        <f>IF(H44&lt;=0, "❌ ERROR: La Actividad 1 debe tener un tiempo mayor a 0.", IF(H21&gt;60, "❌ ERROR: El 'Área de Conocimiento' no puede exceder los 60 min.", IF((H10+H21+H44+H68)&lt;100, "❌ ERROR: El tiempo total debe ser de al menos 100 min.", "✅ VALIDACIÓN CORRECTA")))</f>
        <v>✅ VALIDACIÓN CORRECTA</v>
      </c>
      <c r="D8" s="34"/>
      <c r="E8" s="34"/>
      <c r="F8" s="34"/>
      <c r="G8" s="35"/>
      <c r="I8" s="6"/>
      <c r="J8" s="6"/>
      <c r="K8" s="6"/>
    </row>
    <row r="9" ht="15.75" customHeight="1"/>
    <row r="10" ht="15.75" customHeight="1">
      <c r="A10" s="100" t="s">
        <v>203</v>
      </c>
      <c r="G10" s="94" t="s">
        <v>162</v>
      </c>
      <c r="H10" s="101">
        <f>B13</f>
        <v>5</v>
      </c>
    </row>
    <row r="11" ht="15.75" customHeight="1">
      <c r="G11" s="86" t="s">
        <v>204</v>
      </c>
    </row>
    <row r="12" ht="15.75" customHeight="1">
      <c r="A12" s="89" t="s">
        <v>205</v>
      </c>
      <c r="B12" s="91" t="s">
        <v>276</v>
      </c>
      <c r="C12" s="34"/>
      <c r="D12" s="34"/>
      <c r="E12" s="34"/>
      <c r="F12" s="34"/>
      <c r="G12" s="34"/>
      <c r="H12" s="35"/>
    </row>
    <row r="13" ht="15.75" customHeight="1">
      <c r="A13" s="90" t="s">
        <v>162</v>
      </c>
      <c r="B13" s="91">
        <v>5.0</v>
      </c>
      <c r="C13" s="34"/>
      <c r="D13" s="34"/>
      <c r="E13" s="34"/>
      <c r="F13" s="34"/>
      <c r="G13" s="34"/>
      <c r="H13" s="35"/>
    </row>
    <row r="14" ht="15.75" customHeight="1">
      <c r="A14" s="102" t="s">
        <v>207</v>
      </c>
      <c r="B14" s="34"/>
      <c r="C14" s="34"/>
      <c r="D14" s="34"/>
      <c r="E14" s="34"/>
      <c r="F14" s="34"/>
      <c r="G14" s="34"/>
      <c r="H14" s="35"/>
    </row>
    <row r="15" ht="15.75" customHeight="1">
      <c r="A15" s="120" t="s">
        <v>277</v>
      </c>
      <c r="B15" s="62"/>
      <c r="C15" s="62"/>
      <c r="D15" s="62"/>
      <c r="E15" s="62"/>
      <c r="F15" s="62"/>
      <c r="G15" s="62"/>
      <c r="H15" s="63"/>
    </row>
    <row r="16" ht="15.75" customHeight="1">
      <c r="A16" s="64"/>
      <c r="B16" s="65"/>
      <c r="C16" s="65"/>
      <c r="D16" s="65"/>
      <c r="E16" s="65"/>
      <c r="F16" s="65"/>
      <c r="G16" s="65"/>
      <c r="H16" s="66"/>
    </row>
    <row r="17" ht="15.75" customHeight="1">
      <c r="A17" s="102" t="s">
        <v>209</v>
      </c>
      <c r="B17" s="34"/>
      <c r="C17" s="34"/>
      <c r="D17" s="34"/>
      <c r="E17" s="34"/>
      <c r="F17" s="34"/>
      <c r="G17" s="34"/>
      <c r="H17" s="35"/>
    </row>
    <row r="18" ht="15.75" customHeight="1">
      <c r="A18" s="120" t="s">
        <v>278</v>
      </c>
      <c r="B18" s="62"/>
      <c r="C18" s="62"/>
      <c r="D18" s="62"/>
      <c r="E18" s="62"/>
      <c r="F18" s="62"/>
      <c r="G18" s="62"/>
      <c r="H18" s="63"/>
    </row>
    <row r="19" ht="15.75" customHeight="1">
      <c r="A19" s="64"/>
      <c r="B19" s="65"/>
      <c r="C19" s="65"/>
      <c r="D19" s="65"/>
      <c r="E19" s="65"/>
      <c r="F19" s="65"/>
      <c r="G19" s="65"/>
      <c r="H19" s="66"/>
    </row>
    <row r="20" ht="15.75" customHeight="1"/>
    <row r="21" ht="15.75" customHeight="1">
      <c r="A21" s="100" t="s">
        <v>211</v>
      </c>
      <c r="G21" s="94" t="s">
        <v>162</v>
      </c>
      <c r="H21" s="101">
        <f>SUM(D39:H42)</f>
        <v>55</v>
      </c>
      <c r="I21" s="6"/>
    </row>
    <row r="22" ht="15.75" customHeight="1">
      <c r="G22" s="86" t="s">
        <v>212</v>
      </c>
    </row>
    <row r="23" ht="15.75" customHeight="1">
      <c r="A23" s="89" t="s">
        <v>213</v>
      </c>
      <c r="B23" s="91" t="s">
        <v>123</v>
      </c>
      <c r="C23" s="34"/>
      <c r="D23" s="34"/>
      <c r="E23" s="34"/>
      <c r="F23" s="34"/>
      <c r="G23" s="34"/>
      <c r="H23" s="35"/>
    </row>
    <row r="24" ht="15.75" customHeight="1">
      <c r="A24" s="89" t="s">
        <v>213</v>
      </c>
      <c r="B24" s="91" t="s">
        <v>149</v>
      </c>
      <c r="C24" s="34"/>
      <c r="D24" s="34"/>
      <c r="E24" s="34"/>
      <c r="F24" s="34"/>
      <c r="G24" s="34"/>
      <c r="H24" s="35"/>
    </row>
    <row r="25" ht="15.75" customHeight="1"/>
    <row r="26" ht="15.75" customHeight="1">
      <c r="A26" s="106" t="s">
        <v>215</v>
      </c>
      <c r="B26" s="6"/>
      <c r="C26" s="6"/>
      <c r="D26" s="6"/>
    </row>
    <row r="27" ht="15.75" customHeight="1">
      <c r="A27" s="107" t="s">
        <v>75</v>
      </c>
      <c r="B27" s="108" t="s">
        <v>216</v>
      </c>
      <c r="C27" s="35"/>
      <c r="D27" s="108" t="s">
        <v>217</v>
      </c>
      <c r="E27" s="35"/>
      <c r="F27" s="108" t="s">
        <v>218</v>
      </c>
      <c r="G27" s="34"/>
      <c r="H27" s="35"/>
    </row>
    <row r="28" ht="15.75" customHeight="1">
      <c r="A28" s="81">
        <v>1.0</v>
      </c>
      <c r="B28" s="80" t="str">
        <f>IFERROR(__xludf.DUMMYFUNCTION("FILTER('Diseño'!D:D,'Diseño'!H:H=$C$5)"),"Pruebas de Software")</f>
        <v>Pruebas de Software</v>
      </c>
      <c r="C28" s="35"/>
      <c r="D28" s="80" t="str">
        <f>IFERROR(__xludf.DUMMYFUNCTION("FILTER('Diseño'!E:E,'Diseño'!H:H=$C$5)"),"Pruebas no funcionales")</f>
        <v>Pruebas no funcionales</v>
      </c>
      <c r="E28" s="35"/>
      <c r="F28" s="80" t="str">
        <f>IFERROR(__xludf.DUMMYFUNCTION("FILTER('Diseño'!F:F,'Diseño'!H:H=$C$5)"),"¿Qué son las pruebas no funcionales?")</f>
        <v>¿Qué son las pruebas no funcionales?</v>
      </c>
      <c r="G28" s="34"/>
      <c r="H28" s="35"/>
    </row>
    <row r="29" ht="15.75" customHeight="1">
      <c r="A29" s="81">
        <v>2.0</v>
      </c>
      <c r="B29" s="80" t="str">
        <f>IFERROR(__xludf.DUMMYFUNCTION("""COMPUTED_VALUE"""),"Pruebas de Software")</f>
        <v>Pruebas de Software</v>
      </c>
      <c r="C29" s="35"/>
      <c r="D29" s="80" t="str">
        <f>IFERROR(__xludf.DUMMYFUNCTION("""COMPUTED_VALUE"""),"Pruebas no funcionales")</f>
        <v>Pruebas no funcionales</v>
      </c>
      <c r="E29" s="35"/>
      <c r="F29" s="80" t="str">
        <f>IFERROR(__xludf.DUMMYFUNCTION("""COMPUTED_VALUE"""),"Conceptos y principios de las pruebas no funcionales")</f>
        <v>Conceptos y principios de las pruebas no funcionales</v>
      </c>
      <c r="G29" s="34"/>
      <c r="H29" s="35"/>
    </row>
    <row r="30" ht="15.75" customHeight="1">
      <c r="A30" s="81">
        <v>3.0</v>
      </c>
      <c r="B30" s="80" t="str">
        <f>IFERROR(__xludf.DUMMYFUNCTION("""COMPUTED_VALUE"""),"Pruebas de Software")</f>
        <v>Pruebas de Software</v>
      </c>
      <c r="C30" s="35"/>
      <c r="D30" s="80" t="str">
        <f>IFERROR(__xludf.DUMMYFUNCTION("""COMPUTED_VALUE"""),"Pruebas no funcionales")</f>
        <v>Pruebas no funcionales</v>
      </c>
      <c r="E30" s="35"/>
      <c r="F30" s="80" t="str">
        <f>IFERROR(__xludf.DUMMYFUNCTION("""COMPUTED_VALUE"""),"Importancia y aplicabilidad dentro de una arquitectura de software")</f>
        <v>Importancia y aplicabilidad dentro de una arquitectura de software</v>
      </c>
      <c r="G30" s="34"/>
      <c r="H30" s="35"/>
    </row>
    <row r="31" ht="15.75" customHeight="1">
      <c r="A31" s="81">
        <v>4.0</v>
      </c>
      <c r="B31" s="80" t="str">
        <f>IFERROR(__xludf.DUMMYFUNCTION("""COMPUTED_VALUE"""),"Pruebas de Software")</f>
        <v>Pruebas de Software</v>
      </c>
      <c r="C31" s="35"/>
      <c r="D31" s="80" t="str">
        <f>IFERROR(__xludf.DUMMYFUNCTION("""COMPUTED_VALUE"""),"Pruebas no funcionales")</f>
        <v>Pruebas no funcionales</v>
      </c>
      <c r="E31" s="35"/>
      <c r="F31" s="80" t="str">
        <f>IFERROR(__xludf.DUMMYFUNCTION("""COMPUTED_VALUE"""),"¿Qué son las pruebas de carga?")</f>
        <v>¿Qué son las pruebas de carga?</v>
      </c>
      <c r="G31" s="34"/>
      <c r="H31" s="35"/>
    </row>
    <row r="32" ht="15.75" customHeight="1">
      <c r="A32" s="81">
        <v>5.0</v>
      </c>
      <c r="B32" s="80" t="str">
        <f>IFERROR(__xludf.DUMMYFUNCTION("""COMPUTED_VALUE"""),"Pruebas de Software")</f>
        <v>Pruebas de Software</v>
      </c>
      <c r="C32" s="35"/>
      <c r="D32" s="80" t="str">
        <f>IFERROR(__xludf.DUMMYFUNCTION("""COMPUTED_VALUE"""),"Pruebas no funcionales")</f>
        <v>Pruebas no funcionales</v>
      </c>
      <c r="E32" s="35"/>
      <c r="F32" s="80" t="str">
        <f>IFERROR(__xludf.DUMMYFUNCTION("""COMPUTED_VALUE"""),"¿Qué son las pruebas de estres?")</f>
        <v>¿Qué son las pruebas de estres?</v>
      </c>
      <c r="G32" s="34"/>
      <c r="H32" s="35"/>
    </row>
    <row r="33" ht="15.75" customHeight="1">
      <c r="A33" s="81">
        <v>6.0</v>
      </c>
      <c r="B33" s="80" t="str">
        <f>IFERROR(__xludf.DUMMYFUNCTION("""COMPUTED_VALUE"""),"Pruebas de Software")</f>
        <v>Pruebas de Software</v>
      </c>
      <c r="C33" s="35"/>
      <c r="D33" s="80" t="str">
        <f>IFERROR(__xludf.DUMMYFUNCTION("""COMPUTED_VALUE"""),"Pruebas no funcionales")</f>
        <v>Pruebas no funcionales</v>
      </c>
      <c r="E33" s="35"/>
      <c r="F33" s="80" t="str">
        <f>IFERROR(__xludf.DUMMYFUNCTION("""COMPUTED_VALUE"""),"¿Qué son las pruebas de escalabilidad?")</f>
        <v>¿Qué son las pruebas de escalabilidad?</v>
      </c>
      <c r="G33" s="34"/>
      <c r="H33" s="35"/>
    </row>
    <row r="34" ht="15.75" customHeight="1">
      <c r="A34" s="81">
        <v>7.0</v>
      </c>
      <c r="B34" s="80" t="str">
        <f>IFERROR(__xludf.DUMMYFUNCTION("""COMPUTED_VALUE"""),"Pruebas de Software")</f>
        <v>Pruebas de Software</v>
      </c>
      <c r="C34" s="35"/>
      <c r="D34" s="80" t="str">
        <f>IFERROR(__xludf.DUMMYFUNCTION("""COMPUTED_VALUE"""),"Pruebas no funcionales")</f>
        <v>Pruebas no funcionales</v>
      </c>
      <c r="E34" s="35"/>
      <c r="F34" s="80" t="str">
        <f>IFERROR(__xludf.DUMMYFUNCTION("""COMPUTED_VALUE"""),"¿Qué son las pruebas de portabilidad?")</f>
        <v>¿Qué son las pruebas de portabilidad?</v>
      </c>
      <c r="G34" s="34"/>
      <c r="H34" s="35"/>
    </row>
    <row r="35" ht="15.75" customHeight="1"/>
    <row r="36" ht="15.75" customHeight="1">
      <c r="A36" s="106" t="s">
        <v>220</v>
      </c>
    </row>
    <row r="37" ht="15.75" customHeight="1">
      <c r="A37" s="6"/>
      <c r="B37" s="6"/>
      <c r="C37" s="6"/>
      <c r="D37" s="6"/>
      <c r="E37" s="6"/>
      <c r="F37" s="6"/>
      <c r="G37" s="6"/>
      <c r="H37" s="6"/>
    </row>
    <row r="38">
      <c r="A38" s="107" t="s">
        <v>221</v>
      </c>
      <c r="B38" s="107" t="s">
        <v>29</v>
      </c>
      <c r="C38" s="111" t="s">
        <v>222</v>
      </c>
      <c r="D38" s="112" t="s">
        <v>223</v>
      </c>
      <c r="E38" s="34"/>
      <c r="F38" s="34"/>
      <c r="G38" s="34"/>
      <c r="H38" s="35"/>
      <c r="I38" s="113" t="s">
        <v>18</v>
      </c>
    </row>
    <row r="39" ht="15.75" customHeight="1">
      <c r="A39" s="81" t="s">
        <v>224</v>
      </c>
      <c r="B39" s="81" t="s">
        <v>225</v>
      </c>
      <c r="C39" s="81">
        <v>30.0</v>
      </c>
      <c r="D39" s="91">
        <v>20.0</v>
      </c>
      <c r="E39" s="34"/>
      <c r="F39" s="34"/>
      <c r="G39" s="34"/>
      <c r="H39" s="35"/>
      <c r="I39" s="81" t="str">
        <f t="shared" ref="I39:I42" si="1">IF(D39&lt;=C39,"Correcto", "Corregir")</f>
        <v>Correcto</v>
      </c>
    </row>
    <row r="40" ht="15.75" customHeight="1">
      <c r="A40" s="81" t="s">
        <v>226</v>
      </c>
      <c r="B40" s="81" t="s">
        <v>225</v>
      </c>
      <c r="C40" s="81">
        <v>6.0</v>
      </c>
      <c r="D40" s="91">
        <v>5.0</v>
      </c>
      <c r="E40" s="34"/>
      <c r="F40" s="34"/>
      <c r="G40" s="34"/>
      <c r="H40" s="35"/>
      <c r="I40" s="81" t="str">
        <f t="shared" si="1"/>
        <v>Correcto</v>
      </c>
    </row>
    <row r="41" ht="15.75" customHeight="1">
      <c r="A41" s="81" t="s">
        <v>227</v>
      </c>
      <c r="B41" s="81" t="s">
        <v>228</v>
      </c>
      <c r="C41" s="81">
        <v>10.0</v>
      </c>
      <c r="D41" s="91">
        <v>10.0</v>
      </c>
      <c r="E41" s="34"/>
      <c r="F41" s="34"/>
      <c r="G41" s="34"/>
      <c r="H41" s="35"/>
      <c r="I41" s="81" t="str">
        <f t="shared" si="1"/>
        <v>Correcto</v>
      </c>
    </row>
    <row r="42" ht="15.75" customHeight="1">
      <c r="A42" s="81" t="s">
        <v>229</v>
      </c>
      <c r="B42" s="81" t="s">
        <v>225</v>
      </c>
      <c r="C42" s="81">
        <v>30.0</v>
      </c>
      <c r="D42" s="91">
        <v>20.0</v>
      </c>
      <c r="E42" s="34"/>
      <c r="F42" s="34"/>
      <c r="G42" s="34"/>
      <c r="H42" s="35"/>
      <c r="I42" s="81" t="str">
        <f t="shared" si="1"/>
        <v>Correcto</v>
      </c>
    </row>
    <row r="43" ht="15.75" customHeight="1"/>
    <row r="44" ht="15.75" customHeight="1">
      <c r="A44" s="100" t="s">
        <v>230</v>
      </c>
      <c r="G44" s="94" t="s">
        <v>162</v>
      </c>
      <c r="H44" s="101">
        <f>B50</f>
        <v>30</v>
      </c>
    </row>
    <row r="45" ht="15.75" customHeight="1">
      <c r="G45" s="86" t="s">
        <v>231</v>
      </c>
    </row>
    <row r="46" ht="15.75" customHeight="1">
      <c r="A46" s="86" t="s">
        <v>232</v>
      </c>
    </row>
    <row r="47">
      <c r="A47" s="89" t="s">
        <v>233</v>
      </c>
      <c r="B47" s="91" t="s">
        <v>123</v>
      </c>
      <c r="C47" s="34"/>
      <c r="D47" s="34"/>
      <c r="E47" s="34"/>
      <c r="F47" s="34"/>
      <c r="G47" s="34"/>
      <c r="H47" s="35"/>
    </row>
    <row r="48" ht="15.75" customHeight="1">
      <c r="A48" s="89" t="s">
        <v>8</v>
      </c>
      <c r="B48" s="91" t="s">
        <v>279</v>
      </c>
      <c r="C48" s="34"/>
      <c r="D48" s="34"/>
      <c r="E48" s="34"/>
      <c r="F48" s="34"/>
      <c r="G48" s="34"/>
      <c r="H48" s="35"/>
    </row>
    <row r="49" ht="15.75" customHeight="1">
      <c r="A49" s="89" t="s">
        <v>201</v>
      </c>
      <c r="B49" s="114">
        <v>1.0</v>
      </c>
      <c r="C49" s="34"/>
      <c r="D49" s="34"/>
      <c r="E49" s="34"/>
      <c r="F49" s="34"/>
      <c r="G49" s="34"/>
      <c r="H49" s="35"/>
    </row>
    <row r="50" ht="15.75" customHeight="1">
      <c r="A50" s="89" t="s">
        <v>162</v>
      </c>
      <c r="B50" s="91">
        <v>30.0</v>
      </c>
      <c r="C50" s="34"/>
      <c r="D50" s="34"/>
      <c r="E50" s="34"/>
      <c r="F50" s="34"/>
      <c r="G50" s="34"/>
      <c r="H50" s="35"/>
    </row>
    <row r="51" ht="15.75" customHeight="1">
      <c r="A51" s="115" t="s">
        <v>235</v>
      </c>
      <c r="B51" s="6"/>
      <c r="C51" s="6"/>
      <c r="D51" s="6"/>
      <c r="E51" s="6"/>
      <c r="F51" s="6"/>
      <c r="G51" s="6"/>
      <c r="H51" s="6"/>
    </row>
    <row r="52" ht="15.75" customHeight="1">
      <c r="A52" s="102" t="s">
        <v>236</v>
      </c>
      <c r="B52" s="34"/>
      <c r="C52" s="34"/>
      <c r="D52" s="34"/>
      <c r="E52" s="34"/>
      <c r="F52" s="34"/>
      <c r="G52" s="34"/>
      <c r="H52" s="35"/>
    </row>
    <row r="53" ht="15.75" customHeight="1">
      <c r="A53" s="120" t="s">
        <v>280</v>
      </c>
      <c r="B53" s="62"/>
      <c r="C53" s="62"/>
      <c r="D53" s="62"/>
      <c r="E53" s="62"/>
      <c r="F53" s="62"/>
      <c r="G53" s="62"/>
      <c r="H53" s="63"/>
    </row>
    <row r="54" ht="15.75" customHeight="1">
      <c r="A54" s="116"/>
      <c r="H54" s="117"/>
    </row>
    <row r="55" ht="15.75" customHeight="1">
      <c r="A55" s="64"/>
      <c r="B55" s="65"/>
      <c r="C55" s="65"/>
      <c r="D55" s="65"/>
      <c r="E55" s="65"/>
      <c r="F55" s="65"/>
      <c r="G55" s="65"/>
      <c r="H55" s="66"/>
    </row>
    <row r="56" ht="15.75" customHeight="1"/>
    <row r="57" ht="15.75" customHeight="1">
      <c r="A57" s="86" t="s">
        <v>238</v>
      </c>
    </row>
    <row r="58">
      <c r="A58" s="89" t="s">
        <v>233</v>
      </c>
      <c r="B58" s="91"/>
      <c r="C58" s="34"/>
      <c r="D58" s="34"/>
      <c r="E58" s="34"/>
      <c r="F58" s="34"/>
      <c r="G58" s="34"/>
      <c r="H58" s="35"/>
    </row>
    <row r="59" ht="15.75" customHeight="1">
      <c r="A59" s="89" t="s">
        <v>8</v>
      </c>
      <c r="B59" s="80"/>
      <c r="C59" s="34"/>
      <c r="D59" s="34"/>
      <c r="E59" s="34"/>
      <c r="F59" s="34"/>
      <c r="G59" s="34"/>
      <c r="H59" s="35"/>
    </row>
    <row r="60" ht="15.75" customHeight="1">
      <c r="A60" s="89" t="s">
        <v>201</v>
      </c>
      <c r="B60" s="118"/>
      <c r="C60" s="34"/>
      <c r="D60" s="34"/>
      <c r="E60" s="34"/>
      <c r="F60" s="34"/>
      <c r="G60" s="34"/>
      <c r="H60" s="35"/>
    </row>
    <row r="61" ht="15.75" customHeight="1">
      <c r="A61" s="89" t="s">
        <v>162</v>
      </c>
      <c r="B61" s="118"/>
      <c r="C61" s="34"/>
      <c r="D61" s="34"/>
      <c r="E61" s="34"/>
      <c r="F61" s="34"/>
      <c r="G61" s="34"/>
      <c r="H61" s="35"/>
    </row>
    <row r="62" ht="15.75" customHeight="1">
      <c r="A62" s="119" t="s">
        <v>239</v>
      </c>
      <c r="B62" s="6"/>
      <c r="C62" s="6"/>
      <c r="D62" s="6"/>
      <c r="E62" s="6"/>
      <c r="F62" s="6"/>
      <c r="G62" s="6"/>
      <c r="H62" s="6"/>
    </row>
    <row r="63" ht="15.75" customHeight="1">
      <c r="A63" s="102" t="s">
        <v>236</v>
      </c>
      <c r="B63" s="34"/>
      <c r="C63" s="34"/>
      <c r="D63" s="34"/>
      <c r="E63" s="34"/>
      <c r="F63" s="34"/>
      <c r="G63" s="34"/>
      <c r="H63" s="35"/>
    </row>
    <row r="64" ht="15.75" customHeight="1">
      <c r="A64" s="104"/>
      <c r="B64" s="62"/>
      <c r="C64" s="62"/>
      <c r="D64" s="62"/>
      <c r="E64" s="62"/>
      <c r="F64" s="62"/>
      <c r="G64" s="62"/>
      <c r="H64" s="63"/>
    </row>
    <row r="65" ht="15.75" customHeight="1">
      <c r="A65" s="116"/>
      <c r="H65" s="117"/>
    </row>
    <row r="66" ht="15.75" customHeight="1">
      <c r="A66" s="64"/>
      <c r="B66" s="65"/>
      <c r="C66" s="65"/>
      <c r="D66" s="65"/>
      <c r="E66" s="65"/>
      <c r="F66" s="65"/>
      <c r="G66" s="65"/>
      <c r="H66" s="66"/>
    </row>
    <row r="67" ht="15.75" customHeight="1"/>
    <row r="68" ht="15.75" customHeight="1">
      <c r="A68" s="100" t="s">
        <v>240</v>
      </c>
      <c r="G68" s="94" t="s">
        <v>162</v>
      </c>
      <c r="H68" s="101">
        <f>B70</f>
        <v>10</v>
      </c>
    </row>
    <row r="69" ht="15.75" customHeight="1">
      <c r="G69" s="86" t="s">
        <v>241</v>
      </c>
    </row>
    <row r="70" ht="15.75" customHeight="1">
      <c r="A70" s="89" t="s">
        <v>162</v>
      </c>
      <c r="B70" s="114">
        <v>10.0</v>
      </c>
      <c r="C70" s="34"/>
      <c r="D70" s="34"/>
      <c r="E70" s="34"/>
      <c r="F70" s="34"/>
      <c r="G70" s="34"/>
      <c r="H70" s="35"/>
    </row>
    <row r="71" ht="15.75" customHeight="1">
      <c r="A71" s="112" t="s">
        <v>242</v>
      </c>
      <c r="B71" s="34"/>
      <c r="C71" s="34"/>
      <c r="D71" s="34"/>
      <c r="E71" s="34"/>
      <c r="F71" s="34"/>
      <c r="G71" s="34"/>
      <c r="H71" s="35"/>
    </row>
    <row r="72" ht="15.75" customHeight="1">
      <c r="A72" s="120" t="s">
        <v>250</v>
      </c>
      <c r="B72" s="62"/>
      <c r="C72" s="62"/>
      <c r="D72" s="62"/>
      <c r="E72" s="62"/>
      <c r="F72" s="62"/>
      <c r="G72" s="62"/>
      <c r="H72" s="63"/>
    </row>
    <row r="73" ht="15.75" customHeight="1">
      <c r="A73" s="64"/>
      <c r="B73" s="65"/>
      <c r="C73" s="65"/>
      <c r="D73" s="65"/>
      <c r="E73" s="65"/>
      <c r="F73" s="65"/>
      <c r="G73" s="65"/>
      <c r="H73" s="66"/>
    </row>
    <row r="74" ht="15.75" customHeight="1">
      <c r="A74" s="86" t="s">
        <v>244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200</v>
      </c>
    </row>
    <row r="3" ht="15.75" customHeight="1"/>
    <row r="4" ht="15.75" customHeight="1">
      <c r="B4" s="79" t="s">
        <v>1</v>
      </c>
      <c r="C4" s="97" t="str">
        <f>'Diseño'!C4</f>
        <v>785 - Análisis y Diseño de Sistemas 2</v>
      </c>
      <c r="D4" s="34"/>
      <c r="E4" s="34"/>
      <c r="F4" s="34"/>
      <c r="G4" s="35"/>
    </row>
    <row r="5" ht="15.75" customHeight="1">
      <c r="B5" s="81" t="s">
        <v>81</v>
      </c>
      <c r="C5" s="80">
        <v>10.0</v>
      </c>
      <c r="D5" s="34"/>
      <c r="E5" s="34"/>
      <c r="F5" s="34"/>
      <c r="G5" s="35"/>
    </row>
    <row r="6" ht="15.75" customHeight="1">
      <c r="B6" s="98" t="s">
        <v>159</v>
      </c>
      <c r="C6" s="80">
        <f>H10+H21+H44+H68</f>
        <v>110</v>
      </c>
      <c r="D6" s="34"/>
      <c r="E6" s="34"/>
      <c r="F6" s="34"/>
      <c r="G6" s="35"/>
      <c r="I6" s="6"/>
    </row>
    <row r="7" ht="15.75" customHeight="1">
      <c r="B7" s="98" t="s">
        <v>201</v>
      </c>
      <c r="C7" s="80">
        <f>B49+B60</f>
        <v>1</v>
      </c>
      <c r="D7" s="34"/>
      <c r="E7" s="34"/>
      <c r="F7" s="34"/>
      <c r="G7" s="35"/>
    </row>
    <row r="8" ht="15.75" customHeight="1">
      <c r="B8" s="98" t="s">
        <v>202</v>
      </c>
      <c r="C8" s="99"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100" t="s">
        <v>203</v>
      </c>
      <c r="G10" s="94" t="s">
        <v>162</v>
      </c>
      <c r="H10" s="101">
        <f>B13</f>
        <v>5</v>
      </c>
    </row>
    <row r="11" ht="15.75" customHeight="1">
      <c r="G11" s="86" t="s">
        <v>204</v>
      </c>
    </row>
    <row r="12" ht="15.75" customHeight="1">
      <c r="A12" s="89" t="s">
        <v>205</v>
      </c>
      <c r="B12" s="96" t="s">
        <v>281</v>
      </c>
      <c r="C12" s="34"/>
      <c r="D12" s="34"/>
      <c r="E12" s="34"/>
      <c r="F12" s="34"/>
      <c r="G12" s="34"/>
      <c r="H12" s="35"/>
    </row>
    <row r="13" ht="15.75" customHeight="1">
      <c r="A13" s="90" t="s">
        <v>162</v>
      </c>
      <c r="B13" s="91">
        <v>5.0</v>
      </c>
      <c r="C13" s="34"/>
      <c r="D13" s="34"/>
      <c r="E13" s="34"/>
      <c r="F13" s="34"/>
      <c r="G13" s="34"/>
      <c r="H13" s="35"/>
    </row>
    <row r="14" ht="15.75" customHeight="1">
      <c r="A14" s="102" t="s">
        <v>207</v>
      </c>
      <c r="B14" s="34"/>
      <c r="C14" s="34"/>
      <c r="D14" s="34"/>
      <c r="E14" s="34"/>
      <c r="F14" s="34"/>
      <c r="G14" s="34"/>
      <c r="H14" s="35"/>
    </row>
    <row r="15" ht="15.75" customHeight="1">
      <c r="A15" s="103" t="s">
        <v>282</v>
      </c>
      <c r="B15" s="62"/>
      <c r="C15" s="62"/>
      <c r="D15" s="62"/>
      <c r="E15" s="62"/>
      <c r="F15" s="62"/>
      <c r="G15" s="62"/>
      <c r="H15" s="63"/>
    </row>
    <row r="16" ht="15.75" customHeight="1">
      <c r="A16" s="64"/>
      <c r="B16" s="65"/>
      <c r="C16" s="65"/>
      <c r="D16" s="65"/>
      <c r="E16" s="65"/>
      <c r="F16" s="65"/>
      <c r="G16" s="65"/>
      <c r="H16" s="66"/>
    </row>
    <row r="17" ht="15.75" customHeight="1">
      <c r="A17" s="102" t="s">
        <v>209</v>
      </c>
      <c r="B17" s="34"/>
      <c r="C17" s="34"/>
      <c r="D17" s="34"/>
      <c r="E17" s="34"/>
      <c r="F17" s="34"/>
      <c r="G17" s="34"/>
      <c r="H17" s="35"/>
    </row>
    <row r="18" ht="15.75" customHeight="1">
      <c r="A18" s="103" t="s">
        <v>283</v>
      </c>
      <c r="B18" s="62"/>
      <c r="C18" s="62"/>
      <c r="D18" s="62"/>
      <c r="E18" s="62"/>
      <c r="F18" s="62"/>
      <c r="G18" s="62"/>
      <c r="H18" s="63"/>
    </row>
    <row r="19" ht="15.75" customHeight="1">
      <c r="A19" s="64"/>
      <c r="B19" s="65"/>
      <c r="C19" s="65"/>
      <c r="D19" s="65"/>
      <c r="E19" s="65"/>
      <c r="F19" s="65"/>
      <c r="G19" s="65"/>
      <c r="H19" s="66"/>
    </row>
    <row r="20" ht="15.75" customHeight="1"/>
    <row r="21" ht="15.75" customHeight="1">
      <c r="A21" s="100" t="s">
        <v>211</v>
      </c>
      <c r="G21" s="94" t="s">
        <v>162</v>
      </c>
      <c r="H21" s="101">
        <f>SUM(D39:H42)</f>
        <v>60</v>
      </c>
      <c r="I21" s="6"/>
    </row>
    <row r="22" ht="15.75" customHeight="1">
      <c r="G22" s="86" t="s">
        <v>212</v>
      </c>
    </row>
    <row r="23" ht="15.75" customHeight="1">
      <c r="A23" s="89" t="s">
        <v>213</v>
      </c>
      <c r="B23" s="91" t="s">
        <v>82</v>
      </c>
      <c r="C23" s="34"/>
      <c r="D23" s="34"/>
      <c r="E23" s="34"/>
      <c r="F23" s="34"/>
      <c r="G23" s="34"/>
      <c r="H23" s="35"/>
    </row>
    <row r="24" ht="15.75" customHeight="1">
      <c r="A24" s="89" t="s">
        <v>213</v>
      </c>
      <c r="B24" s="91" t="s">
        <v>113</v>
      </c>
      <c r="C24" s="34"/>
      <c r="D24" s="34"/>
      <c r="E24" s="34"/>
      <c r="F24" s="34"/>
      <c r="G24" s="34"/>
      <c r="H24" s="35"/>
    </row>
    <row r="25" ht="15.75" customHeight="1"/>
    <row r="26" ht="15.75" customHeight="1">
      <c r="A26" s="106" t="s">
        <v>215</v>
      </c>
      <c r="B26" s="6"/>
      <c r="C26" s="6"/>
      <c r="D26" s="6"/>
    </row>
    <row r="27" ht="15.75" customHeight="1">
      <c r="A27" s="107" t="s">
        <v>75</v>
      </c>
      <c r="B27" s="108" t="s">
        <v>216</v>
      </c>
      <c r="C27" s="35"/>
      <c r="D27" s="108" t="s">
        <v>217</v>
      </c>
      <c r="E27" s="35"/>
      <c r="F27" s="108" t="s">
        <v>218</v>
      </c>
      <c r="G27" s="34"/>
      <c r="H27" s="35"/>
    </row>
    <row r="28" ht="15.75" customHeight="1">
      <c r="A28" s="81">
        <v>1.0</v>
      </c>
      <c r="B28" s="80" t="str">
        <f>IFERROR(__xludf.DUMMYFUNCTION("FILTER('Diseño'!D:D,'Diseño'!H:H=$C$5)"),"Seguridad")</f>
        <v>Seguridad</v>
      </c>
      <c r="C28" s="35"/>
      <c r="D28" s="80" t="str">
        <f>IFERROR(__xludf.DUMMYFUNCTION("FILTER('Diseño'!E:E,'Diseño'!H:H=$C$5)"),"Pruebas no funcionales")</f>
        <v>Pruebas no funcionales</v>
      </c>
      <c r="E28" s="35"/>
      <c r="F28" s="80" t="str">
        <f>IFERROR(__xludf.DUMMYFUNCTION("FILTER('Diseño'!F:F,'Diseño'!H:H=$C$5)"),"Introducción a la seguridad de sistemas")</f>
        <v>Introducción a la seguridad de sistemas</v>
      </c>
      <c r="G28" s="34"/>
      <c r="H28" s="35"/>
    </row>
    <row r="29" ht="15.75" customHeight="1">
      <c r="A29" s="81">
        <v>2.0</v>
      </c>
      <c r="B29" s="80" t="str">
        <f>IFERROR(__xludf.DUMMYFUNCTION("""COMPUTED_VALUE"""),"Seguridad")</f>
        <v>Seguridad</v>
      </c>
      <c r="C29" s="35"/>
      <c r="D29" s="80" t="str">
        <f>IFERROR(__xludf.DUMMYFUNCTION("""COMPUTED_VALUE"""),"Introducción a la seguridad de sistemas")</f>
        <v>Introducción a la seguridad de sistemas</v>
      </c>
      <c r="E29" s="35"/>
      <c r="F29" s="80" t="str">
        <f>IFERROR(__xludf.DUMMYFUNCTION("""COMPUTED_VALUE"""),"Modelado de Amenazas")</f>
        <v>Modelado de Amenazas</v>
      </c>
      <c r="G29" s="34"/>
      <c r="H29" s="35"/>
    </row>
    <row r="30" ht="15.75" customHeight="1">
      <c r="A30" s="81">
        <v>3.0</v>
      </c>
      <c r="B30" s="80" t="str">
        <f>IFERROR(__xludf.DUMMYFUNCTION("""COMPUTED_VALUE"""),"Seguridad")</f>
        <v>Seguridad</v>
      </c>
      <c r="C30" s="35"/>
      <c r="D30" s="80" t="str">
        <f>IFERROR(__xludf.DUMMYFUNCTION("""COMPUTED_VALUE"""),"Introducción a la seguridad de sistemas")</f>
        <v>Introducción a la seguridad de sistemas</v>
      </c>
      <c r="E30" s="35"/>
      <c r="F30" s="80" t="str">
        <f>IFERROR(__xludf.DUMMYFUNCTION("""COMPUTED_VALUE"""),"Diseño seguro de Software")</f>
        <v>Diseño seguro de Software</v>
      </c>
      <c r="G30" s="34"/>
      <c r="H30" s="35"/>
    </row>
    <row r="31" ht="15.75" customHeight="1">
      <c r="A31" s="81">
        <v>4.0</v>
      </c>
      <c r="B31" s="80" t="str">
        <f>IFERROR(__xludf.DUMMYFUNCTION("""COMPUTED_VALUE"""),"Seguridad")</f>
        <v>Seguridad</v>
      </c>
      <c r="C31" s="35"/>
      <c r="D31" s="80" t="str">
        <f>IFERROR(__xludf.DUMMYFUNCTION("""COMPUTED_VALUE"""),"Introducción a la seguridad de sistemas")</f>
        <v>Introducción a la seguridad de sistemas</v>
      </c>
      <c r="E31" s="35"/>
      <c r="F31" s="80" t="str">
        <f>IFERROR(__xludf.DUMMYFUNCTION("""COMPUTED_VALUE"""),"Criptografía y Protección de Datos")</f>
        <v>Criptografía y Protección de Datos</v>
      </c>
      <c r="G31" s="34"/>
      <c r="H31" s="35"/>
    </row>
    <row r="32" ht="15.75" customHeight="1">
      <c r="A32" s="81">
        <v>5.0</v>
      </c>
      <c r="B32" s="80" t="str">
        <f>IFERROR(__xludf.DUMMYFUNCTION("""COMPUTED_VALUE"""),"Seguridad")</f>
        <v>Seguridad</v>
      </c>
      <c r="C32" s="35"/>
      <c r="D32" s="80" t="str">
        <f>IFERROR(__xludf.DUMMYFUNCTION("""COMPUTED_VALUE"""),"Introducción a la seguridad de sistemas")</f>
        <v>Introducción a la seguridad de sistemas</v>
      </c>
      <c r="E32" s="35"/>
      <c r="F32" s="80" t="str">
        <f>IFERROR(__xludf.DUMMYFUNCTION("""COMPUTED_VALUE"""),"Monitorización y Respuesta a Incidentes de Seguridad")</f>
        <v>Monitorización y Respuesta a Incidentes de Seguridad</v>
      </c>
      <c r="G32" s="34"/>
      <c r="H32" s="35"/>
    </row>
    <row r="33" ht="15.75" customHeight="1">
      <c r="A33" s="81">
        <v>6.0</v>
      </c>
      <c r="B33" s="80" t="str">
        <f>IFERROR(__xludf.DUMMYFUNCTION("""COMPUTED_VALUE"""),"Seguridad")</f>
        <v>Seguridad</v>
      </c>
      <c r="C33" s="35"/>
      <c r="D33" s="80" t="str">
        <f>IFERROR(__xludf.DUMMYFUNCTION("""COMPUTED_VALUE"""),"Introducción a la seguridad de sistemas")</f>
        <v>Introducción a la seguridad de sistemas</v>
      </c>
      <c r="E33" s="35"/>
      <c r="F33" s="80" t="str">
        <f>IFERROR(__xludf.DUMMYFUNCTION("""COMPUTED_VALUE"""),"Pruebas de seguridad")</f>
        <v>Pruebas de seguridad</v>
      </c>
      <c r="G33" s="34"/>
      <c r="H33" s="35"/>
    </row>
    <row r="34" ht="15.75" customHeight="1">
      <c r="A34" s="81">
        <v>7.0</v>
      </c>
      <c r="B34" s="80" t="str">
        <f>IFERROR(__xludf.DUMMYFUNCTION("""COMPUTED_VALUE"""),"Seguridad")</f>
        <v>Seguridad</v>
      </c>
      <c r="C34" s="35"/>
      <c r="D34" s="80" t="str">
        <f>IFERROR(__xludf.DUMMYFUNCTION("""COMPUTED_VALUE"""),"Introducción a la seguridad de sistemas")</f>
        <v>Introducción a la seguridad de sistemas</v>
      </c>
      <c r="E34" s="35"/>
      <c r="F34" s="80" t="str">
        <f>IFERROR(__xludf.DUMMYFUNCTION("""COMPUTED_VALUE"""),"Cumplimiento y Normativas de Seguridad")</f>
        <v>Cumplimiento y Normativas de Seguridad</v>
      </c>
      <c r="G34" s="34"/>
      <c r="H34" s="35"/>
    </row>
    <row r="35" ht="15.75" customHeight="1"/>
    <row r="36" ht="15.75" customHeight="1">
      <c r="A36" s="106" t="s">
        <v>220</v>
      </c>
    </row>
    <row r="37" ht="15.75" customHeight="1">
      <c r="A37" s="6"/>
      <c r="B37" s="6"/>
      <c r="C37" s="6"/>
      <c r="D37" s="6"/>
      <c r="E37" s="6"/>
      <c r="F37" s="6"/>
      <c r="G37" s="6"/>
      <c r="H37" s="6"/>
    </row>
    <row r="38">
      <c r="A38" s="107" t="s">
        <v>221</v>
      </c>
      <c r="B38" s="107" t="s">
        <v>29</v>
      </c>
      <c r="C38" s="111" t="s">
        <v>222</v>
      </c>
      <c r="D38" s="112" t="s">
        <v>223</v>
      </c>
      <c r="E38" s="34"/>
      <c r="F38" s="34"/>
      <c r="G38" s="34"/>
      <c r="H38" s="35"/>
      <c r="I38" s="113" t="s">
        <v>18</v>
      </c>
    </row>
    <row r="39" ht="15.75" customHeight="1">
      <c r="A39" s="81" t="s">
        <v>224</v>
      </c>
      <c r="B39" s="81" t="s">
        <v>225</v>
      </c>
      <c r="C39" s="81">
        <v>30.0</v>
      </c>
      <c r="D39" s="91">
        <v>25.0</v>
      </c>
      <c r="E39" s="34"/>
      <c r="F39" s="34"/>
      <c r="G39" s="34"/>
      <c r="H39" s="35"/>
      <c r="I39" s="81" t="str">
        <f t="shared" ref="I39:I42" si="1">IF(D39&lt;=C39,"Correcto", "Corregir")</f>
        <v>Correcto</v>
      </c>
    </row>
    <row r="40" ht="15.75" customHeight="1">
      <c r="A40" s="81" t="s">
        <v>226</v>
      </c>
      <c r="B40" s="81" t="s">
        <v>225</v>
      </c>
      <c r="C40" s="81">
        <v>6.0</v>
      </c>
      <c r="D40" s="91">
        <v>5.0</v>
      </c>
      <c r="E40" s="34"/>
      <c r="F40" s="34"/>
      <c r="G40" s="34"/>
      <c r="H40" s="35"/>
      <c r="I40" s="81" t="str">
        <f t="shared" si="1"/>
        <v>Correcto</v>
      </c>
    </row>
    <row r="41" ht="15.75" customHeight="1">
      <c r="A41" s="81" t="s">
        <v>227</v>
      </c>
      <c r="B41" s="81" t="s">
        <v>228</v>
      </c>
      <c r="C41" s="81">
        <v>10.0</v>
      </c>
      <c r="D41" s="91">
        <v>0.0</v>
      </c>
      <c r="E41" s="34"/>
      <c r="F41" s="34"/>
      <c r="G41" s="34"/>
      <c r="H41" s="35"/>
      <c r="I41" s="81" t="str">
        <f t="shared" si="1"/>
        <v>Correcto</v>
      </c>
    </row>
    <row r="42" ht="15.75" customHeight="1">
      <c r="A42" s="81" t="s">
        <v>229</v>
      </c>
      <c r="B42" s="81" t="s">
        <v>225</v>
      </c>
      <c r="C42" s="81">
        <v>30.0</v>
      </c>
      <c r="D42" s="91">
        <v>30.0</v>
      </c>
      <c r="E42" s="34"/>
      <c r="F42" s="34"/>
      <c r="G42" s="34"/>
      <c r="H42" s="35"/>
      <c r="I42" s="81" t="str">
        <f t="shared" si="1"/>
        <v>Correcto</v>
      </c>
    </row>
    <row r="43" ht="15.75" customHeight="1"/>
    <row r="44" ht="15.75" customHeight="1">
      <c r="A44" s="100" t="s">
        <v>230</v>
      </c>
      <c r="G44" s="94" t="s">
        <v>162</v>
      </c>
      <c r="H44" s="101">
        <f>B50</f>
        <v>35</v>
      </c>
    </row>
    <row r="45" ht="15.75" customHeight="1">
      <c r="G45" s="86" t="s">
        <v>231</v>
      </c>
    </row>
    <row r="46" ht="15.75" customHeight="1">
      <c r="A46" s="86" t="s">
        <v>232</v>
      </c>
    </row>
    <row r="47">
      <c r="A47" s="89" t="s">
        <v>233</v>
      </c>
      <c r="B47" s="91" t="s">
        <v>113</v>
      </c>
      <c r="C47" s="34"/>
      <c r="D47" s="34"/>
      <c r="E47" s="34"/>
      <c r="F47" s="34"/>
      <c r="G47" s="34"/>
      <c r="H47" s="35"/>
    </row>
    <row r="48" ht="15.75" customHeight="1">
      <c r="A48" s="89" t="s">
        <v>8</v>
      </c>
      <c r="B48" s="91" t="s">
        <v>284</v>
      </c>
      <c r="C48" s="34"/>
      <c r="D48" s="34"/>
      <c r="E48" s="34"/>
      <c r="F48" s="34"/>
      <c r="G48" s="34"/>
      <c r="H48" s="35"/>
    </row>
    <row r="49" ht="15.75" customHeight="1">
      <c r="A49" s="89" t="s">
        <v>201</v>
      </c>
      <c r="B49" s="114">
        <v>1.0</v>
      </c>
      <c r="C49" s="34"/>
      <c r="D49" s="34"/>
      <c r="E49" s="34"/>
      <c r="F49" s="34"/>
      <c r="G49" s="34"/>
      <c r="H49" s="35"/>
    </row>
    <row r="50" ht="15.75" customHeight="1">
      <c r="A50" s="89" t="s">
        <v>162</v>
      </c>
      <c r="B50" s="91">
        <v>35.0</v>
      </c>
      <c r="C50" s="34"/>
      <c r="D50" s="34"/>
      <c r="E50" s="34"/>
      <c r="F50" s="34"/>
      <c r="G50" s="34"/>
      <c r="H50" s="35"/>
    </row>
    <row r="51" ht="15.75" customHeight="1">
      <c r="A51" s="115" t="s">
        <v>235</v>
      </c>
      <c r="B51" s="6"/>
      <c r="C51" s="6"/>
      <c r="D51" s="6"/>
      <c r="E51" s="6"/>
      <c r="F51" s="6"/>
      <c r="G51" s="6"/>
      <c r="H51" s="6"/>
    </row>
    <row r="52" ht="15.75" customHeight="1">
      <c r="A52" s="102" t="s">
        <v>236</v>
      </c>
      <c r="B52" s="34"/>
      <c r="C52" s="34"/>
      <c r="D52" s="34"/>
      <c r="E52" s="34"/>
      <c r="F52" s="34"/>
      <c r="G52" s="34"/>
      <c r="H52" s="35"/>
    </row>
    <row r="53" ht="15.75" customHeight="1">
      <c r="A53" s="103" t="s">
        <v>285</v>
      </c>
      <c r="B53" s="62"/>
      <c r="C53" s="62"/>
      <c r="D53" s="62"/>
      <c r="E53" s="62"/>
      <c r="F53" s="62"/>
      <c r="G53" s="62"/>
      <c r="H53" s="63"/>
    </row>
    <row r="54" ht="15.75" customHeight="1">
      <c r="A54" s="116"/>
      <c r="H54" s="117"/>
    </row>
    <row r="55" ht="15.75" customHeight="1">
      <c r="A55" s="64"/>
      <c r="B55" s="65"/>
      <c r="C55" s="65"/>
      <c r="D55" s="65"/>
      <c r="E55" s="65"/>
      <c r="F55" s="65"/>
      <c r="G55" s="65"/>
      <c r="H55" s="66"/>
    </row>
    <row r="56" ht="15.75" customHeight="1"/>
    <row r="57" ht="15.75" customHeight="1">
      <c r="A57" s="86" t="s">
        <v>238</v>
      </c>
    </row>
    <row r="58">
      <c r="A58" s="89" t="s">
        <v>233</v>
      </c>
      <c r="B58" s="80"/>
      <c r="C58" s="34"/>
      <c r="D58" s="34"/>
      <c r="E58" s="34"/>
      <c r="F58" s="34"/>
      <c r="G58" s="34"/>
      <c r="H58" s="35"/>
    </row>
    <row r="59" ht="15.75" customHeight="1">
      <c r="A59" s="89" t="s">
        <v>8</v>
      </c>
      <c r="B59" s="80"/>
      <c r="C59" s="34"/>
      <c r="D59" s="34"/>
      <c r="E59" s="34"/>
      <c r="F59" s="34"/>
      <c r="G59" s="34"/>
      <c r="H59" s="35"/>
    </row>
    <row r="60" ht="15.75" customHeight="1">
      <c r="A60" s="89" t="s">
        <v>201</v>
      </c>
      <c r="B60" s="118"/>
      <c r="C60" s="34"/>
      <c r="D60" s="34"/>
      <c r="E60" s="34"/>
      <c r="F60" s="34"/>
      <c r="G60" s="34"/>
      <c r="H60" s="35"/>
    </row>
    <row r="61" ht="15.75" customHeight="1">
      <c r="A61" s="89" t="s">
        <v>162</v>
      </c>
      <c r="B61" s="118"/>
      <c r="C61" s="34"/>
      <c r="D61" s="34"/>
      <c r="E61" s="34"/>
      <c r="F61" s="34"/>
      <c r="G61" s="34"/>
      <c r="H61" s="35"/>
    </row>
    <row r="62" ht="15.75" customHeight="1">
      <c r="A62" s="119" t="s">
        <v>239</v>
      </c>
      <c r="B62" s="6"/>
      <c r="C62" s="6"/>
      <c r="D62" s="6"/>
      <c r="E62" s="6"/>
      <c r="F62" s="6"/>
      <c r="G62" s="6"/>
      <c r="H62" s="6"/>
    </row>
    <row r="63" ht="15.75" customHeight="1">
      <c r="A63" s="102" t="s">
        <v>236</v>
      </c>
      <c r="B63" s="34"/>
      <c r="C63" s="34"/>
      <c r="D63" s="34"/>
      <c r="E63" s="34"/>
      <c r="F63" s="34"/>
      <c r="G63" s="34"/>
      <c r="H63" s="35"/>
    </row>
    <row r="64" ht="15.75" customHeight="1">
      <c r="A64" s="104"/>
      <c r="B64" s="62"/>
      <c r="C64" s="62"/>
      <c r="D64" s="62"/>
      <c r="E64" s="62"/>
      <c r="F64" s="62"/>
      <c r="G64" s="62"/>
      <c r="H64" s="63"/>
    </row>
    <row r="65" ht="15.75" customHeight="1">
      <c r="A65" s="116"/>
      <c r="H65" s="117"/>
    </row>
    <row r="66" ht="15.75" customHeight="1">
      <c r="A66" s="64"/>
      <c r="B66" s="65"/>
      <c r="C66" s="65"/>
      <c r="D66" s="65"/>
      <c r="E66" s="65"/>
      <c r="F66" s="65"/>
      <c r="G66" s="65"/>
      <c r="H66" s="66"/>
    </row>
    <row r="67" ht="15.75" customHeight="1"/>
    <row r="68" ht="15.75" customHeight="1">
      <c r="A68" s="100" t="s">
        <v>240</v>
      </c>
      <c r="G68" s="94" t="s">
        <v>162</v>
      </c>
      <c r="H68" s="101">
        <f>B70</f>
        <v>10</v>
      </c>
    </row>
    <row r="69" ht="15.75" customHeight="1">
      <c r="G69" s="86" t="s">
        <v>241</v>
      </c>
    </row>
    <row r="70" ht="15.75" customHeight="1">
      <c r="A70" s="89" t="s">
        <v>162</v>
      </c>
      <c r="B70" s="114">
        <v>10.0</v>
      </c>
      <c r="C70" s="34"/>
      <c r="D70" s="34"/>
      <c r="E70" s="34"/>
      <c r="F70" s="34"/>
      <c r="G70" s="34"/>
      <c r="H70" s="35"/>
    </row>
    <row r="71" ht="15.75" customHeight="1">
      <c r="A71" s="112" t="s">
        <v>242</v>
      </c>
      <c r="B71" s="34"/>
      <c r="C71" s="34"/>
      <c r="D71" s="34"/>
      <c r="E71" s="34"/>
      <c r="F71" s="34"/>
      <c r="G71" s="34"/>
      <c r="H71" s="35"/>
    </row>
    <row r="72" ht="15.75" customHeight="1">
      <c r="A72" s="61" t="s">
        <v>270</v>
      </c>
      <c r="B72" s="62"/>
      <c r="C72" s="62"/>
      <c r="D72" s="62"/>
      <c r="E72" s="62"/>
      <c r="F72" s="62"/>
      <c r="G72" s="62"/>
      <c r="H72" s="63"/>
    </row>
    <row r="73" ht="15.75" customHeight="1">
      <c r="A73" s="64"/>
      <c r="B73" s="65"/>
      <c r="C73" s="65"/>
      <c r="D73" s="65"/>
      <c r="E73" s="65"/>
      <c r="F73" s="65"/>
      <c r="G73" s="65"/>
      <c r="H73" s="66"/>
    </row>
    <row r="74" ht="15.75" customHeight="1">
      <c r="A74" s="86" t="s">
        <v>244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200</v>
      </c>
    </row>
    <row r="3" ht="15.75" customHeight="1"/>
    <row r="4" ht="15.75" customHeight="1">
      <c r="B4" s="79" t="s">
        <v>1</v>
      </c>
      <c r="C4" s="97" t="str">
        <f>'Diseño'!C4</f>
        <v>785 - Análisis y Diseño de Sistemas 2</v>
      </c>
      <c r="D4" s="34"/>
      <c r="E4" s="34"/>
      <c r="F4" s="34"/>
      <c r="G4" s="35"/>
    </row>
    <row r="5" ht="15.75" customHeight="1">
      <c r="B5" s="81" t="s">
        <v>81</v>
      </c>
      <c r="C5" s="80">
        <v>11.0</v>
      </c>
      <c r="D5" s="34"/>
      <c r="E5" s="34"/>
      <c r="F5" s="34"/>
      <c r="G5" s="35"/>
    </row>
    <row r="6" ht="15.75" customHeight="1">
      <c r="B6" s="98" t="s">
        <v>159</v>
      </c>
      <c r="C6" s="80">
        <f>H10+H21+H44+H68</f>
        <v>120</v>
      </c>
      <c r="D6" s="34"/>
      <c r="E6" s="34"/>
      <c r="F6" s="34"/>
      <c r="G6" s="35"/>
      <c r="I6" s="6"/>
    </row>
    <row r="7" ht="15.75" customHeight="1">
      <c r="B7" s="98" t="s">
        <v>201</v>
      </c>
      <c r="C7" s="80">
        <f>B49+B60</f>
        <v>1</v>
      </c>
      <c r="D7" s="34"/>
      <c r="E7" s="34"/>
      <c r="F7" s="34"/>
      <c r="G7" s="35"/>
    </row>
    <row r="8" ht="15.75" customHeight="1">
      <c r="B8" s="98" t="s">
        <v>202</v>
      </c>
      <c r="C8" s="99" t="str">
        <f>IF(H44&lt;=0, "❌ ERROR: La Actividad 1 debe tener un tiempo mayor a 0.", IF(H21&gt;60, "❌ ERROR: El 'Área de Conocimiento' no puede exceder los 60 min.", IF((H10+H21+H44+H68)&lt;100, "❌ ERROR: El tiempo total debe ser de al menos 100 min.", "✅ VALIDACIÓN CORRECTA")))</f>
        <v>✅ VALIDACIÓN CORRECTA</v>
      </c>
      <c r="D8" s="34"/>
      <c r="E8" s="34"/>
      <c r="F8" s="34"/>
      <c r="G8" s="35"/>
      <c r="I8" s="6"/>
      <c r="J8" s="6"/>
      <c r="K8" s="6"/>
    </row>
    <row r="9" ht="15.75" customHeight="1"/>
    <row r="10" ht="15.75" customHeight="1">
      <c r="A10" s="100" t="s">
        <v>203</v>
      </c>
      <c r="G10" s="94" t="s">
        <v>162</v>
      </c>
      <c r="H10" s="101">
        <f>B13</f>
        <v>5</v>
      </c>
    </row>
    <row r="11" ht="15.75" customHeight="1">
      <c r="G11" s="86" t="s">
        <v>204</v>
      </c>
    </row>
    <row r="12" ht="15.75" customHeight="1">
      <c r="A12" s="89" t="s">
        <v>205</v>
      </c>
      <c r="B12" s="96" t="s">
        <v>286</v>
      </c>
      <c r="C12" s="34"/>
      <c r="D12" s="34"/>
      <c r="E12" s="34"/>
      <c r="F12" s="34"/>
      <c r="G12" s="34"/>
      <c r="H12" s="35"/>
    </row>
    <row r="13" ht="15.75" customHeight="1">
      <c r="A13" s="90" t="s">
        <v>162</v>
      </c>
      <c r="B13" s="91">
        <v>5.0</v>
      </c>
      <c r="C13" s="34"/>
      <c r="D13" s="34"/>
      <c r="E13" s="34"/>
      <c r="F13" s="34"/>
      <c r="G13" s="34"/>
      <c r="H13" s="35"/>
    </row>
    <row r="14" ht="15.75" customHeight="1">
      <c r="A14" s="102" t="s">
        <v>207</v>
      </c>
      <c r="B14" s="34"/>
      <c r="C14" s="34"/>
      <c r="D14" s="34"/>
      <c r="E14" s="34"/>
      <c r="F14" s="34"/>
      <c r="G14" s="34"/>
      <c r="H14" s="35"/>
    </row>
    <row r="15" ht="15.75" customHeight="1">
      <c r="A15" s="123" t="s">
        <v>287</v>
      </c>
      <c r="B15" s="62"/>
      <c r="C15" s="62"/>
      <c r="D15" s="62"/>
      <c r="E15" s="62"/>
      <c r="F15" s="62"/>
      <c r="G15" s="62"/>
      <c r="H15" s="63"/>
    </row>
    <row r="16" ht="15.75" customHeight="1">
      <c r="A16" s="64"/>
      <c r="B16" s="65"/>
      <c r="C16" s="65"/>
      <c r="D16" s="65"/>
      <c r="E16" s="65"/>
      <c r="F16" s="65"/>
      <c r="G16" s="65"/>
      <c r="H16" s="66"/>
    </row>
    <row r="17" ht="15.75" customHeight="1">
      <c r="A17" s="102" t="s">
        <v>209</v>
      </c>
      <c r="B17" s="34"/>
      <c r="C17" s="34"/>
      <c r="D17" s="34"/>
      <c r="E17" s="34"/>
      <c r="F17" s="34"/>
      <c r="G17" s="34"/>
      <c r="H17" s="35"/>
    </row>
    <row r="18" ht="15.75" customHeight="1">
      <c r="A18" s="123" t="s">
        <v>288</v>
      </c>
      <c r="B18" s="62"/>
      <c r="C18" s="62"/>
      <c r="D18" s="62"/>
      <c r="E18" s="62"/>
      <c r="F18" s="62"/>
      <c r="G18" s="62"/>
      <c r="H18" s="63"/>
    </row>
    <row r="19" ht="15.75" customHeight="1">
      <c r="A19" s="64"/>
      <c r="B19" s="65"/>
      <c r="C19" s="65"/>
      <c r="D19" s="65"/>
      <c r="E19" s="65"/>
      <c r="F19" s="65"/>
      <c r="G19" s="65"/>
      <c r="H19" s="66"/>
    </row>
    <row r="20" ht="15.75" customHeight="1"/>
    <row r="21" ht="15.75" customHeight="1">
      <c r="A21" s="100" t="s">
        <v>211</v>
      </c>
      <c r="G21" s="94" t="s">
        <v>162</v>
      </c>
      <c r="H21" s="101">
        <f>SUM(D39:H42)</f>
        <v>60</v>
      </c>
      <c r="I21" s="6"/>
    </row>
    <row r="22" ht="15.75" customHeight="1">
      <c r="G22" s="86" t="s">
        <v>212</v>
      </c>
    </row>
    <row r="23" ht="15.75" customHeight="1">
      <c r="A23" s="89" t="s">
        <v>213</v>
      </c>
      <c r="B23" s="37" t="s">
        <v>82</v>
      </c>
      <c r="C23" s="34"/>
      <c r="D23" s="34"/>
      <c r="E23" s="34"/>
      <c r="F23" s="34"/>
      <c r="G23" s="34"/>
      <c r="H23" s="35"/>
    </row>
    <row r="24" ht="15.75" customHeight="1">
      <c r="A24" s="89" t="s">
        <v>213</v>
      </c>
      <c r="B24" s="91" t="s">
        <v>123</v>
      </c>
      <c r="C24" s="34"/>
      <c r="D24" s="34"/>
      <c r="E24" s="34"/>
      <c r="F24" s="34"/>
      <c r="G24" s="34"/>
      <c r="H24" s="35"/>
    </row>
    <row r="25" ht="15.75" customHeight="1"/>
    <row r="26" ht="15.75" customHeight="1">
      <c r="A26" s="106" t="s">
        <v>215</v>
      </c>
      <c r="B26" s="6"/>
      <c r="C26" s="6"/>
      <c r="D26" s="6"/>
    </row>
    <row r="27" ht="15.75" customHeight="1">
      <c r="A27" s="107" t="s">
        <v>75</v>
      </c>
      <c r="B27" s="108" t="s">
        <v>216</v>
      </c>
      <c r="C27" s="35"/>
      <c r="D27" s="108" t="s">
        <v>217</v>
      </c>
      <c r="E27" s="35"/>
      <c r="F27" s="108" t="s">
        <v>218</v>
      </c>
      <c r="G27" s="34"/>
      <c r="H27" s="35"/>
    </row>
    <row r="28" ht="15.75" customHeight="1">
      <c r="A28" s="81">
        <v>1.0</v>
      </c>
      <c r="B28" s="80" t="str">
        <f>IFERROR(__xludf.DUMMYFUNCTION("FILTER('Diseño'!D:D,'Diseño'!H:H=$C$5)"),"Despliegue en la nube (Cloud)")</f>
        <v>Despliegue en la nube (Cloud)</v>
      </c>
      <c r="C28" s="35"/>
      <c r="D28" s="80" t="str">
        <f>IFERROR(__xludf.DUMMYFUNCTION("FILTER('Diseño'!E:E,'Diseño'!H:H=$C$5)"),"Despligue en la nube (cloud)")</f>
        <v>Despligue en la nube (cloud)</v>
      </c>
      <c r="E28" s="35"/>
      <c r="F28" s="80" t="str">
        <f>IFERROR(__xludf.DUMMYFUNCTION("FILTER('Diseño'!F:F,'Diseño'!H:H=$C$5)"),"Introducción a la nube")</f>
        <v>Introducción a la nube</v>
      </c>
      <c r="G28" s="34"/>
      <c r="H28" s="35"/>
    </row>
    <row r="29" ht="15.75" customHeight="1">
      <c r="A29" s="81">
        <v>2.0</v>
      </c>
      <c r="B29" s="80" t="str">
        <f>IFERROR(__xludf.DUMMYFUNCTION("""COMPUTED_VALUE"""),"Despliegue en la nube (Cloud)")</f>
        <v>Despliegue en la nube (Cloud)</v>
      </c>
      <c r="C29" s="35"/>
      <c r="D29" s="80" t="str">
        <f>IFERROR(__xludf.DUMMYFUNCTION("""COMPUTED_VALUE"""),"Despligue en la nube (cloud)")</f>
        <v>Despligue en la nube (cloud)</v>
      </c>
      <c r="E29" s="35"/>
      <c r="F29" s="80" t="str">
        <f>IFERROR(__xludf.DUMMYFUNCTION("""COMPUTED_VALUE"""),"Modelos de servicio: IaaS, PaaS, SaaS")</f>
        <v>Modelos de servicio: IaaS, PaaS, SaaS</v>
      </c>
      <c r="G29" s="34"/>
      <c r="H29" s="35"/>
    </row>
    <row r="30" ht="15.75" customHeight="1">
      <c r="A30" s="81">
        <v>3.0</v>
      </c>
      <c r="B30" s="80" t="str">
        <f>IFERROR(__xludf.DUMMYFUNCTION("""COMPUTED_VALUE"""),"Despliegue en la nube (Cloud)")</f>
        <v>Despliegue en la nube (Cloud)</v>
      </c>
      <c r="C30" s="35"/>
      <c r="D30" s="80" t="str">
        <f>IFERROR(__xludf.DUMMYFUNCTION("""COMPUTED_VALUE"""),"Despligue en la nube (cloud)")</f>
        <v>Despligue en la nube (cloud)</v>
      </c>
      <c r="E30" s="35"/>
      <c r="F30" s="80" t="str">
        <f>IFERROR(__xludf.DUMMYFUNCTION("""COMPUTED_VALUE"""),"Contenedores y Docker")</f>
        <v>Contenedores y Docker</v>
      </c>
      <c r="G30" s="34"/>
      <c r="H30" s="35"/>
    </row>
    <row r="31" ht="15.75" customHeight="1">
      <c r="A31" s="81">
        <v>4.0</v>
      </c>
      <c r="B31" s="80" t="str">
        <f>IFERROR(__xludf.DUMMYFUNCTION("""COMPUTED_VALUE"""),"Despliegue en la nube (Cloud)")</f>
        <v>Despliegue en la nube (Cloud)</v>
      </c>
      <c r="C31" s="35"/>
      <c r="D31" s="80" t="str">
        <f>IFERROR(__xludf.DUMMYFUNCTION("""COMPUTED_VALUE"""),"Despligue en la nube (cloud)")</f>
        <v>Despligue en la nube (cloud)</v>
      </c>
      <c r="E31" s="35"/>
      <c r="F31" s="80" t="str">
        <f>IFERROR(__xludf.DUMMYFUNCTION("""COMPUTED_VALUE"""),"CDN (Content Delivery Network)")</f>
        <v>CDN (Content Delivery Network)</v>
      </c>
      <c r="G31" s="34"/>
      <c r="H31" s="35"/>
    </row>
    <row r="32" ht="15.75" customHeight="1">
      <c r="A32" s="81">
        <v>5.0</v>
      </c>
      <c r="B32" s="80" t="str">
        <f>IFERROR(__xludf.DUMMYFUNCTION("""COMPUTED_VALUE"""),"Despliegue en la nube (Cloud)")</f>
        <v>Despliegue en la nube (Cloud)</v>
      </c>
      <c r="C32" s="35"/>
      <c r="D32" s="80" t="str">
        <f>IFERROR(__xludf.DUMMYFUNCTION("""COMPUTED_VALUE"""),"Despligue en la nube (cloud)")</f>
        <v>Despligue en la nube (cloud)</v>
      </c>
      <c r="E32" s="35"/>
      <c r="F32" s="80" t="str">
        <f>IFERROR(__xludf.DUMMYFUNCTION("""COMPUTED_VALUE"""),"Análisis de Costos en Nube (Cost Management)")</f>
        <v>Análisis de Costos en Nube (Cost Management)</v>
      </c>
      <c r="G32" s="34"/>
      <c r="H32" s="35"/>
    </row>
    <row r="33" ht="15.75" customHeight="1">
      <c r="A33" s="81">
        <v>6.0</v>
      </c>
      <c r="B33" s="80" t="str">
        <f>IFERROR(__xludf.DUMMYFUNCTION("""COMPUTED_VALUE"""),"Despliegue en la nube (Cloud)")</f>
        <v>Despliegue en la nube (Cloud)</v>
      </c>
      <c r="C33" s="35"/>
      <c r="D33" s="80" t="str">
        <f>IFERROR(__xludf.DUMMYFUNCTION("""COMPUTED_VALUE"""),"Despligue en la nube (cloud)")</f>
        <v>Despligue en la nube (cloud)</v>
      </c>
      <c r="E33" s="35"/>
      <c r="F33" s="80" t="str">
        <f>IFERROR(__xludf.DUMMYFUNCTION("""COMPUTED_VALUE"""),"Módulos y Reutilización de Código en Terraform")</f>
        <v>Módulos y Reutilización de Código en Terraform</v>
      </c>
      <c r="G33" s="34"/>
      <c r="H33" s="35"/>
    </row>
    <row r="34" ht="15.75" customHeight="1">
      <c r="A34" s="81">
        <v>7.0</v>
      </c>
      <c r="B34" s="80" t="str">
        <f>IFERROR(__xludf.DUMMYFUNCTION("""COMPUTED_VALUE"""),"Despliegue en la nube (Cloud)")</f>
        <v>Despliegue en la nube (Cloud)</v>
      </c>
      <c r="C34" s="35"/>
      <c r="D34" s="80" t="str">
        <f>IFERROR(__xludf.DUMMYFUNCTION("""COMPUTED_VALUE"""),"Despligue en la nube (cloud)")</f>
        <v>Despligue en la nube (cloud)</v>
      </c>
      <c r="E34" s="35"/>
      <c r="F34" s="80" t="str">
        <f>IFERROR(__xludf.DUMMYFUNCTION("""COMPUTED_VALUE"""),"Ansible Playbooks y Roles para Automatización Compleja")</f>
        <v>Ansible Playbooks y Roles para Automatización Compleja</v>
      </c>
      <c r="G34" s="34"/>
      <c r="H34" s="35"/>
    </row>
    <row r="35" ht="15.75" customHeight="1"/>
    <row r="36" ht="15.75" customHeight="1">
      <c r="A36" s="106" t="s">
        <v>220</v>
      </c>
    </row>
    <row r="37" ht="15.75" customHeight="1">
      <c r="A37" s="6"/>
      <c r="B37" s="6"/>
      <c r="C37" s="6"/>
      <c r="D37" s="6"/>
      <c r="E37" s="6"/>
      <c r="F37" s="6"/>
      <c r="G37" s="6"/>
      <c r="H37" s="6"/>
    </row>
    <row r="38">
      <c r="A38" s="107" t="s">
        <v>221</v>
      </c>
      <c r="B38" s="107" t="s">
        <v>29</v>
      </c>
      <c r="C38" s="111" t="s">
        <v>222</v>
      </c>
      <c r="D38" s="112" t="s">
        <v>223</v>
      </c>
      <c r="E38" s="34"/>
      <c r="F38" s="34"/>
      <c r="G38" s="34"/>
      <c r="H38" s="35"/>
      <c r="I38" s="113" t="s">
        <v>18</v>
      </c>
    </row>
    <row r="39" ht="15.75" customHeight="1">
      <c r="A39" s="81" t="s">
        <v>224</v>
      </c>
      <c r="B39" s="81" t="s">
        <v>225</v>
      </c>
      <c r="C39" s="81">
        <v>30.0</v>
      </c>
      <c r="D39" s="91">
        <v>25.0</v>
      </c>
      <c r="E39" s="34"/>
      <c r="F39" s="34"/>
      <c r="G39" s="34"/>
      <c r="H39" s="35"/>
      <c r="I39" s="81" t="str">
        <f t="shared" ref="I39:I42" si="1">IF(D39&lt;=C39,"Correcto", "Corregir")</f>
        <v>Correcto</v>
      </c>
    </row>
    <row r="40" ht="15.75" customHeight="1">
      <c r="A40" s="81" t="s">
        <v>226</v>
      </c>
      <c r="B40" s="81" t="s">
        <v>225</v>
      </c>
      <c r="C40" s="81">
        <v>6.0</v>
      </c>
      <c r="D40" s="91">
        <v>5.0</v>
      </c>
      <c r="E40" s="34"/>
      <c r="F40" s="34"/>
      <c r="G40" s="34"/>
      <c r="H40" s="35"/>
      <c r="I40" s="81" t="str">
        <f t="shared" si="1"/>
        <v>Correcto</v>
      </c>
    </row>
    <row r="41" ht="15.75" customHeight="1">
      <c r="A41" s="81" t="s">
        <v>227</v>
      </c>
      <c r="B41" s="81" t="s">
        <v>228</v>
      </c>
      <c r="C41" s="81">
        <v>10.0</v>
      </c>
      <c r="D41" s="91">
        <v>0.0</v>
      </c>
      <c r="E41" s="34"/>
      <c r="F41" s="34"/>
      <c r="G41" s="34"/>
      <c r="H41" s="35"/>
      <c r="I41" s="81" t="str">
        <f t="shared" si="1"/>
        <v>Correcto</v>
      </c>
    </row>
    <row r="42" ht="15.75" customHeight="1">
      <c r="A42" s="81" t="s">
        <v>229</v>
      </c>
      <c r="B42" s="81" t="s">
        <v>225</v>
      </c>
      <c r="C42" s="81">
        <v>30.0</v>
      </c>
      <c r="D42" s="91">
        <v>30.0</v>
      </c>
      <c r="E42" s="34"/>
      <c r="F42" s="34"/>
      <c r="G42" s="34"/>
      <c r="H42" s="35"/>
      <c r="I42" s="81" t="str">
        <f t="shared" si="1"/>
        <v>Correcto</v>
      </c>
    </row>
    <row r="43" ht="15.75" customHeight="1"/>
    <row r="44" ht="15.75" customHeight="1">
      <c r="A44" s="100" t="s">
        <v>230</v>
      </c>
      <c r="G44" s="94" t="s">
        <v>162</v>
      </c>
      <c r="H44" s="101">
        <f>B50</f>
        <v>45</v>
      </c>
    </row>
    <row r="45" ht="15.75" customHeight="1">
      <c r="G45" s="86" t="s">
        <v>231</v>
      </c>
    </row>
    <row r="46" ht="15.75" customHeight="1">
      <c r="A46" s="86" t="s">
        <v>232</v>
      </c>
    </row>
    <row r="47">
      <c r="A47" s="89" t="s">
        <v>233</v>
      </c>
      <c r="B47" s="91" t="s">
        <v>82</v>
      </c>
      <c r="C47" s="34"/>
      <c r="D47" s="34"/>
      <c r="E47" s="34"/>
      <c r="F47" s="34"/>
      <c r="G47" s="34"/>
      <c r="H47" s="35"/>
    </row>
    <row r="48" ht="15.75" customHeight="1">
      <c r="A48" s="89" t="s">
        <v>8</v>
      </c>
      <c r="B48" s="80" t="s">
        <v>234</v>
      </c>
      <c r="C48" s="34"/>
      <c r="D48" s="34"/>
      <c r="E48" s="34"/>
      <c r="F48" s="34"/>
      <c r="G48" s="34"/>
      <c r="H48" s="35"/>
    </row>
    <row r="49" ht="15.75" customHeight="1">
      <c r="A49" s="89" t="s">
        <v>201</v>
      </c>
      <c r="B49" s="114">
        <v>1.0</v>
      </c>
      <c r="C49" s="34"/>
      <c r="D49" s="34"/>
      <c r="E49" s="34"/>
      <c r="F49" s="34"/>
      <c r="G49" s="34"/>
      <c r="H49" s="35"/>
    </row>
    <row r="50" ht="15.75" customHeight="1">
      <c r="A50" s="89" t="s">
        <v>162</v>
      </c>
      <c r="B50" s="91">
        <v>45.0</v>
      </c>
      <c r="C50" s="34"/>
      <c r="D50" s="34"/>
      <c r="E50" s="34"/>
      <c r="F50" s="34"/>
      <c r="G50" s="34"/>
      <c r="H50" s="35"/>
    </row>
    <row r="51" ht="15.75" customHeight="1">
      <c r="A51" s="115" t="s">
        <v>235</v>
      </c>
      <c r="B51" s="6"/>
      <c r="C51" s="6"/>
      <c r="D51" s="6"/>
      <c r="E51" s="6"/>
      <c r="F51" s="6"/>
      <c r="G51" s="6"/>
      <c r="H51" s="6"/>
    </row>
    <row r="52" ht="15.75" customHeight="1">
      <c r="A52" s="102" t="s">
        <v>236</v>
      </c>
      <c r="B52" s="34"/>
      <c r="C52" s="34"/>
      <c r="D52" s="34"/>
      <c r="E52" s="34"/>
      <c r="F52" s="34"/>
      <c r="G52" s="34"/>
      <c r="H52" s="35"/>
    </row>
    <row r="53" ht="15.75" customHeight="1">
      <c r="A53" s="61" t="s">
        <v>289</v>
      </c>
      <c r="B53" s="62"/>
      <c r="C53" s="62"/>
      <c r="D53" s="62"/>
      <c r="E53" s="62"/>
      <c r="F53" s="62"/>
      <c r="G53" s="62"/>
      <c r="H53" s="63"/>
    </row>
    <row r="54" ht="15.75" customHeight="1">
      <c r="A54" s="116"/>
      <c r="H54" s="117"/>
    </row>
    <row r="55" ht="15.75" customHeight="1">
      <c r="A55" s="64"/>
      <c r="B55" s="65"/>
      <c r="C55" s="65"/>
      <c r="D55" s="65"/>
      <c r="E55" s="65"/>
      <c r="F55" s="65"/>
      <c r="G55" s="65"/>
      <c r="H55" s="66"/>
    </row>
    <row r="56" ht="15.75" customHeight="1"/>
    <row r="57" ht="15.75" customHeight="1">
      <c r="A57" s="86" t="s">
        <v>238</v>
      </c>
    </row>
    <row r="58">
      <c r="A58" s="89" t="s">
        <v>233</v>
      </c>
      <c r="B58" s="80"/>
      <c r="C58" s="34"/>
      <c r="D58" s="34"/>
      <c r="E58" s="34"/>
      <c r="F58" s="34"/>
      <c r="G58" s="34"/>
      <c r="H58" s="35"/>
    </row>
    <row r="59" ht="15.75" customHeight="1">
      <c r="A59" s="89" t="s">
        <v>8</v>
      </c>
      <c r="B59" s="80"/>
      <c r="C59" s="34"/>
      <c r="D59" s="34"/>
      <c r="E59" s="34"/>
      <c r="F59" s="34"/>
      <c r="G59" s="34"/>
      <c r="H59" s="35"/>
    </row>
    <row r="60" ht="15.75" customHeight="1">
      <c r="A60" s="89" t="s">
        <v>201</v>
      </c>
      <c r="B60" s="118"/>
      <c r="C60" s="34"/>
      <c r="D60" s="34"/>
      <c r="E60" s="34"/>
      <c r="F60" s="34"/>
      <c r="G60" s="34"/>
      <c r="H60" s="35"/>
    </row>
    <row r="61" ht="15.75" customHeight="1">
      <c r="A61" s="89" t="s">
        <v>162</v>
      </c>
      <c r="B61" s="118"/>
      <c r="C61" s="34"/>
      <c r="D61" s="34"/>
      <c r="E61" s="34"/>
      <c r="F61" s="34"/>
      <c r="G61" s="34"/>
      <c r="H61" s="35"/>
    </row>
    <row r="62" ht="15.75" customHeight="1">
      <c r="A62" s="119" t="s">
        <v>239</v>
      </c>
      <c r="B62" s="6"/>
      <c r="C62" s="6"/>
      <c r="D62" s="6"/>
      <c r="E62" s="6"/>
      <c r="F62" s="6"/>
      <c r="G62" s="6"/>
      <c r="H62" s="6"/>
    </row>
    <row r="63" ht="15.75" customHeight="1">
      <c r="A63" s="102" t="s">
        <v>236</v>
      </c>
      <c r="B63" s="34"/>
      <c r="C63" s="34"/>
      <c r="D63" s="34"/>
      <c r="E63" s="34"/>
      <c r="F63" s="34"/>
      <c r="G63" s="34"/>
      <c r="H63" s="35"/>
    </row>
    <row r="64" ht="15.75" customHeight="1">
      <c r="A64" s="104"/>
      <c r="B64" s="62"/>
      <c r="C64" s="62"/>
      <c r="D64" s="62"/>
      <c r="E64" s="62"/>
      <c r="F64" s="62"/>
      <c r="G64" s="62"/>
      <c r="H64" s="63"/>
    </row>
    <row r="65" ht="15.75" customHeight="1">
      <c r="A65" s="116"/>
      <c r="H65" s="117"/>
    </row>
    <row r="66" ht="15.75" customHeight="1">
      <c r="A66" s="64"/>
      <c r="B66" s="65"/>
      <c r="C66" s="65"/>
      <c r="D66" s="65"/>
      <c r="E66" s="65"/>
      <c r="F66" s="65"/>
      <c r="G66" s="65"/>
      <c r="H66" s="66"/>
    </row>
    <row r="67" ht="15.75" customHeight="1"/>
    <row r="68" ht="15.75" customHeight="1">
      <c r="A68" s="100" t="s">
        <v>240</v>
      </c>
      <c r="G68" s="94" t="s">
        <v>162</v>
      </c>
      <c r="H68" s="101">
        <f>B70</f>
        <v>10</v>
      </c>
    </row>
    <row r="69" ht="15.75" customHeight="1">
      <c r="G69" s="86" t="s">
        <v>241</v>
      </c>
    </row>
    <row r="70" ht="15.75" customHeight="1">
      <c r="A70" s="89" t="s">
        <v>162</v>
      </c>
      <c r="B70" s="114">
        <v>10.0</v>
      </c>
      <c r="C70" s="34"/>
      <c r="D70" s="34"/>
      <c r="E70" s="34"/>
      <c r="F70" s="34"/>
      <c r="G70" s="34"/>
      <c r="H70" s="35"/>
    </row>
    <row r="71" ht="15.75" customHeight="1">
      <c r="A71" s="112" t="s">
        <v>242</v>
      </c>
      <c r="B71" s="34"/>
      <c r="C71" s="34"/>
      <c r="D71" s="34"/>
      <c r="E71" s="34"/>
      <c r="F71" s="34"/>
      <c r="G71" s="34"/>
      <c r="H71" s="35"/>
    </row>
    <row r="72" ht="15.75" customHeight="1">
      <c r="A72" s="104" t="s">
        <v>243</v>
      </c>
      <c r="B72" s="62"/>
      <c r="C72" s="62"/>
      <c r="D72" s="62"/>
      <c r="E72" s="62"/>
      <c r="F72" s="62"/>
      <c r="G72" s="62"/>
      <c r="H72" s="63"/>
    </row>
    <row r="73" ht="15.75" customHeight="1">
      <c r="A73" s="64"/>
      <c r="B73" s="65"/>
      <c r="C73" s="65"/>
      <c r="D73" s="65"/>
      <c r="E73" s="65"/>
      <c r="F73" s="65"/>
      <c r="G73" s="65"/>
      <c r="H73" s="66"/>
    </row>
    <row r="74" ht="15.75" customHeight="1">
      <c r="A74" s="86" t="s">
        <v>244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5" t="s">
        <v>14</v>
      </c>
    </row>
    <row r="3" ht="15.75" customHeight="1"/>
    <row r="4" ht="15.75" customHeight="1">
      <c r="B4" s="79" t="s">
        <v>1</v>
      </c>
      <c r="C4" s="80" t="str">
        <f>'Diseño'!C4</f>
        <v>785 - Análisis y Diseño de Sistemas 2</v>
      </c>
      <c r="D4" s="34"/>
      <c r="E4" s="34"/>
      <c r="F4" s="34"/>
      <c r="G4" s="35"/>
    </row>
    <row r="5" ht="15.75" customHeight="1">
      <c r="B5" s="98" t="s">
        <v>159</v>
      </c>
      <c r="C5" s="80">
        <f>H9+H26+H43</f>
        <v>155</v>
      </c>
      <c r="D5" s="34"/>
      <c r="E5" s="34"/>
      <c r="F5" s="34"/>
      <c r="G5" s="35"/>
    </row>
    <row r="6" ht="15.75" customHeight="1">
      <c r="B6" s="98" t="s">
        <v>201</v>
      </c>
      <c r="C6" s="80">
        <f>F9+F26+F43</f>
        <v>60</v>
      </c>
      <c r="D6" s="34"/>
      <c r="E6" s="34"/>
      <c r="F6" s="34"/>
      <c r="G6" s="35"/>
    </row>
    <row r="7" ht="15.75" customHeight="1">
      <c r="B7" s="69" t="s">
        <v>290</v>
      </c>
    </row>
    <row r="8" ht="15.75" customHeight="1"/>
    <row r="9" ht="15.75" customHeight="1">
      <c r="A9" s="100" t="s">
        <v>291</v>
      </c>
      <c r="E9" s="94" t="s">
        <v>201</v>
      </c>
      <c r="F9" s="105">
        <v>25.0</v>
      </c>
      <c r="G9" s="94" t="s">
        <v>292</v>
      </c>
      <c r="H9" s="105">
        <v>30.0</v>
      </c>
    </row>
    <row r="10" ht="15.75" customHeight="1">
      <c r="A10" s="69" t="s">
        <v>225</v>
      </c>
    </row>
    <row r="11" ht="42.75" customHeight="1">
      <c r="A11" s="107" t="s">
        <v>213</v>
      </c>
      <c r="B11" s="126" t="s">
        <v>293</v>
      </c>
      <c r="C11" s="34"/>
      <c r="D11" s="34"/>
      <c r="E11" s="34"/>
      <c r="F11" s="34"/>
      <c r="G11" s="34"/>
      <c r="H11" s="35"/>
    </row>
    <row r="12" ht="27.75" customHeight="1">
      <c r="A12" s="107" t="s">
        <v>213</v>
      </c>
      <c r="B12" s="126" t="s">
        <v>294</v>
      </c>
      <c r="C12" s="34"/>
      <c r="D12" s="34"/>
      <c r="E12" s="34"/>
      <c r="F12" s="34"/>
      <c r="G12" s="34"/>
      <c r="H12" s="35"/>
    </row>
    <row r="13" ht="27.75" customHeight="1">
      <c r="A13" s="107" t="s">
        <v>213</v>
      </c>
      <c r="B13" s="126" t="s">
        <v>295</v>
      </c>
      <c r="C13" s="34"/>
      <c r="D13" s="34"/>
      <c r="E13" s="34"/>
      <c r="F13" s="34"/>
      <c r="G13" s="34"/>
      <c r="H13" s="35"/>
    </row>
    <row r="14" ht="15.75" customHeight="1">
      <c r="A14" s="107" t="s">
        <v>296</v>
      </c>
      <c r="B14" s="91" t="s">
        <v>297</v>
      </c>
      <c r="C14" s="34"/>
      <c r="D14" s="34"/>
      <c r="E14" s="34"/>
      <c r="F14" s="34"/>
      <c r="G14" s="34"/>
      <c r="H14" s="35"/>
    </row>
    <row r="15" ht="15.75" customHeight="1">
      <c r="A15" s="102" t="s">
        <v>298</v>
      </c>
      <c r="B15" s="34"/>
      <c r="C15" s="34"/>
      <c r="D15" s="34"/>
      <c r="E15" s="34"/>
      <c r="F15" s="34"/>
      <c r="G15" s="34"/>
      <c r="H15" s="35"/>
    </row>
    <row r="16" ht="15.75" customHeight="1">
      <c r="A16" s="127" t="s">
        <v>299</v>
      </c>
      <c r="B16" s="62"/>
      <c r="C16" s="62"/>
      <c r="D16" s="62"/>
      <c r="E16" s="62"/>
      <c r="F16" s="62"/>
      <c r="G16" s="62"/>
      <c r="H16" s="63"/>
    </row>
    <row r="17" ht="15.75" customHeight="1">
      <c r="A17" s="116"/>
      <c r="H17" s="117"/>
    </row>
    <row r="18" ht="58.5" customHeight="1">
      <c r="A18" s="64"/>
      <c r="B18" s="65"/>
      <c r="C18" s="65"/>
      <c r="D18" s="65"/>
      <c r="E18" s="65"/>
      <c r="F18" s="65"/>
      <c r="G18" s="65"/>
      <c r="H18" s="66"/>
    </row>
    <row r="19" ht="15.75" customHeight="1">
      <c r="A19" s="102" t="s">
        <v>300</v>
      </c>
      <c r="B19" s="34"/>
      <c r="C19" s="34"/>
      <c r="D19" s="34"/>
      <c r="E19" s="34"/>
      <c r="F19" s="34"/>
      <c r="G19" s="34"/>
      <c r="H19" s="35"/>
    </row>
    <row r="20" ht="15.75" customHeight="1">
      <c r="A20" s="120" t="s">
        <v>301</v>
      </c>
      <c r="B20" s="62"/>
      <c r="C20" s="62"/>
      <c r="D20" s="62"/>
      <c r="E20" s="62"/>
      <c r="F20" s="62"/>
      <c r="G20" s="62"/>
      <c r="H20" s="63"/>
    </row>
    <row r="21" ht="15.75" customHeight="1">
      <c r="A21" s="116"/>
      <c r="H21" s="117"/>
    </row>
    <row r="22" ht="15.75" customHeight="1">
      <c r="A22" s="116"/>
      <c r="H22" s="117"/>
    </row>
    <row r="23" ht="41.25" customHeight="1">
      <c r="A23" s="64"/>
      <c r="B23" s="65"/>
      <c r="C23" s="65"/>
      <c r="D23" s="65"/>
      <c r="E23" s="65"/>
      <c r="F23" s="65"/>
      <c r="G23" s="65"/>
      <c r="H23" s="66"/>
    </row>
    <row r="24" ht="15.75" customHeight="1"/>
    <row r="25" ht="15.75" customHeight="1"/>
    <row r="26" ht="15.75" customHeight="1">
      <c r="A26" s="100" t="s">
        <v>302</v>
      </c>
      <c r="E26" s="94" t="s">
        <v>201</v>
      </c>
      <c r="F26" s="105">
        <v>20.0</v>
      </c>
      <c r="G26" s="94" t="s">
        <v>292</v>
      </c>
      <c r="H26" s="105">
        <v>50.0</v>
      </c>
    </row>
    <row r="27" ht="15.75" customHeight="1">
      <c r="A27" s="69" t="s">
        <v>225</v>
      </c>
    </row>
    <row r="28" ht="15.75" customHeight="1">
      <c r="A28" s="107" t="s">
        <v>213</v>
      </c>
      <c r="B28" s="91" t="s">
        <v>303</v>
      </c>
      <c r="C28" s="34"/>
      <c r="D28" s="34"/>
      <c r="E28" s="34"/>
      <c r="F28" s="34"/>
      <c r="G28" s="34"/>
      <c r="H28" s="35"/>
    </row>
    <row r="29" ht="15.75" customHeight="1">
      <c r="A29" s="107" t="s">
        <v>213</v>
      </c>
      <c r="B29" s="91" t="s">
        <v>304</v>
      </c>
      <c r="C29" s="34"/>
      <c r="D29" s="34"/>
      <c r="E29" s="34"/>
      <c r="F29" s="34"/>
      <c r="G29" s="34"/>
      <c r="H29" s="35"/>
    </row>
    <row r="30" ht="15.75" customHeight="1">
      <c r="A30" s="107" t="s">
        <v>213</v>
      </c>
      <c r="B30" s="91" t="s">
        <v>305</v>
      </c>
      <c r="C30" s="34"/>
      <c r="D30" s="34"/>
      <c r="E30" s="34"/>
      <c r="F30" s="34"/>
      <c r="G30" s="34"/>
      <c r="H30" s="35"/>
    </row>
    <row r="31" ht="15.75" customHeight="1">
      <c r="A31" s="107" t="s">
        <v>296</v>
      </c>
      <c r="B31" s="91" t="s">
        <v>297</v>
      </c>
      <c r="C31" s="34"/>
      <c r="D31" s="34"/>
      <c r="E31" s="34"/>
      <c r="F31" s="34"/>
      <c r="G31" s="34"/>
      <c r="H31" s="35"/>
    </row>
    <row r="32" ht="15.75" customHeight="1">
      <c r="A32" s="102" t="s">
        <v>298</v>
      </c>
      <c r="B32" s="34"/>
      <c r="C32" s="34"/>
      <c r="D32" s="34"/>
      <c r="E32" s="34"/>
      <c r="F32" s="34"/>
      <c r="G32" s="34"/>
      <c r="H32" s="35"/>
    </row>
    <row r="33" ht="15.75" customHeight="1">
      <c r="A33" s="127" t="s">
        <v>306</v>
      </c>
      <c r="B33" s="62"/>
      <c r="C33" s="62"/>
      <c r="D33" s="62"/>
      <c r="E33" s="62"/>
      <c r="F33" s="62"/>
      <c r="G33" s="62"/>
      <c r="H33" s="63"/>
    </row>
    <row r="34" ht="15.75" customHeight="1">
      <c r="A34" s="116"/>
      <c r="H34" s="117"/>
    </row>
    <row r="35" ht="90.0" customHeight="1">
      <c r="A35" s="64"/>
      <c r="B35" s="65"/>
      <c r="C35" s="65"/>
      <c r="D35" s="65"/>
      <c r="E35" s="65"/>
      <c r="F35" s="65"/>
      <c r="G35" s="65"/>
      <c r="H35" s="66"/>
    </row>
    <row r="36" ht="15.75" customHeight="1">
      <c r="A36" s="102" t="s">
        <v>300</v>
      </c>
      <c r="B36" s="34"/>
      <c r="C36" s="34"/>
      <c r="D36" s="34"/>
      <c r="E36" s="34"/>
      <c r="F36" s="34"/>
      <c r="G36" s="34"/>
      <c r="H36" s="35"/>
    </row>
    <row r="37" ht="15.75" customHeight="1">
      <c r="A37" s="120" t="s">
        <v>307</v>
      </c>
      <c r="B37" s="62"/>
      <c r="C37" s="62"/>
      <c r="D37" s="62"/>
      <c r="E37" s="62"/>
      <c r="F37" s="62"/>
      <c r="G37" s="62"/>
      <c r="H37" s="63"/>
    </row>
    <row r="38" ht="15.75" customHeight="1">
      <c r="A38" s="116"/>
      <c r="H38" s="117"/>
    </row>
    <row r="39" ht="15.75" customHeight="1">
      <c r="A39" s="116"/>
      <c r="H39" s="117"/>
    </row>
    <row r="40" ht="36.75" customHeight="1">
      <c r="A40" s="64"/>
      <c r="B40" s="65"/>
      <c r="C40" s="65"/>
      <c r="D40" s="65"/>
      <c r="E40" s="65"/>
      <c r="F40" s="65"/>
      <c r="G40" s="65"/>
      <c r="H40" s="66"/>
    </row>
    <row r="41" ht="15.75" customHeight="1"/>
    <row r="42" ht="15.75" customHeight="1"/>
    <row r="43" ht="15.75" customHeight="1">
      <c r="A43" s="100" t="s">
        <v>308</v>
      </c>
      <c r="E43" s="94" t="s">
        <v>201</v>
      </c>
      <c r="F43" s="105">
        <v>15.0</v>
      </c>
      <c r="G43" s="94" t="s">
        <v>292</v>
      </c>
      <c r="H43" s="105">
        <v>75.0</v>
      </c>
    </row>
    <row r="44" ht="15.75" customHeight="1">
      <c r="A44" s="115" t="s">
        <v>309</v>
      </c>
    </row>
    <row r="45" ht="39.0" customHeight="1">
      <c r="A45" s="107" t="s">
        <v>213</v>
      </c>
      <c r="B45" s="126" t="s">
        <v>293</v>
      </c>
      <c r="C45" s="34"/>
      <c r="D45" s="34"/>
      <c r="E45" s="34"/>
      <c r="F45" s="34"/>
      <c r="G45" s="34"/>
      <c r="H45" s="35"/>
    </row>
    <row r="46" ht="33.75" customHeight="1">
      <c r="A46" s="107" t="s">
        <v>213</v>
      </c>
      <c r="B46" s="126" t="s">
        <v>310</v>
      </c>
      <c r="C46" s="34"/>
      <c r="D46" s="34"/>
      <c r="E46" s="34"/>
      <c r="F46" s="34"/>
      <c r="G46" s="34"/>
      <c r="H46" s="35"/>
    </row>
    <row r="47" ht="30.75" customHeight="1">
      <c r="A47" s="107" t="s">
        <v>213</v>
      </c>
      <c r="B47" s="126" t="s">
        <v>311</v>
      </c>
      <c r="C47" s="34"/>
      <c r="D47" s="34"/>
      <c r="E47" s="34"/>
      <c r="F47" s="34"/>
      <c r="G47" s="34"/>
      <c r="H47" s="35"/>
    </row>
    <row r="48" ht="15.75" customHeight="1">
      <c r="A48" s="107" t="s">
        <v>296</v>
      </c>
      <c r="B48" s="91" t="s">
        <v>297</v>
      </c>
      <c r="C48" s="34"/>
      <c r="D48" s="34"/>
      <c r="E48" s="34"/>
      <c r="F48" s="34"/>
      <c r="G48" s="34"/>
      <c r="H48" s="35"/>
    </row>
    <row r="49" ht="15.75" customHeight="1">
      <c r="A49" s="102" t="s">
        <v>298</v>
      </c>
      <c r="B49" s="34"/>
      <c r="C49" s="34"/>
      <c r="D49" s="34"/>
      <c r="E49" s="34"/>
      <c r="F49" s="34"/>
      <c r="G49" s="34"/>
      <c r="H49" s="35"/>
    </row>
    <row r="50" ht="15.75" customHeight="1">
      <c r="A50" s="127" t="s">
        <v>312</v>
      </c>
      <c r="B50" s="62"/>
      <c r="C50" s="62"/>
      <c r="D50" s="62"/>
      <c r="E50" s="62"/>
      <c r="F50" s="62"/>
      <c r="G50" s="62"/>
      <c r="H50" s="63"/>
    </row>
    <row r="51" ht="15.75" customHeight="1">
      <c r="A51" s="116"/>
      <c r="H51" s="117"/>
    </row>
    <row r="52" ht="132.75" customHeight="1">
      <c r="A52" s="64"/>
      <c r="B52" s="65"/>
      <c r="C52" s="65"/>
      <c r="D52" s="65"/>
      <c r="E52" s="65"/>
      <c r="F52" s="65"/>
      <c r="G52" s="65"/>
      <c r="H52" s="66"/>
    </row>
    <row r="53" ht="15.75" customHeight="1">
      <c r="A53" s="102" t="s">
        <v>300</v>
      </c>
      <c r="B53" s="34"/>
      <c r="C53" s="34"/>
      <c r="D53" s="34"/>
      <c r="E53" s="34"/>
      <c r="F53" s="34"/>
      <c r="G53" s="34"/>
      <c r="H53" s="35"/>
    </row>
    <row r="54" ht="15.75" customHeight="1">
      <c r="A54" s="128" t="s">
        <v>313</v>
      </c>
      <c r="B54" s="62"/>
      <c r="C54" s="62"/>
      <c r="D54" s="62"/>
      <c r="E54" s="62"/>
      <c r="F54" s="62"/>
      <c r="G54" s="62"/>
      <c r="H54" s="63"/>
    </row>
    <row r="55" ht="15.75" customHeight="1">
      <c r="A55" s="116"/>
      <c r="H55" s="117"/>
    </row>
    <row r="56" ht="15.75" customHeight="1">
      <c r="A56" s="116"/>
      <c r="H56" s="117"/>
    </row>
    <row r="57" ht="36.0" customHeight="1">
      <c r="A57" s="64"/>
      <c r="B57" s="65"/>
      <c r="C57" s="65"/>
      <c r="D57" s="65"/>
      <c r="E57" s="65"/>
      <c r="F57" s="65"/>
      <c r="G57" s="65"/>
      <c r="H57" s="66"/>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hyperlinks>
    <hyperlink r:id="rId1" ref="A16"/>
    <hyperlink r:id="rId2" ref="A33"/>
    <hyperlink r:id="rId3" ref="A50"/>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5" t="s">
        <v>314</v>
      </c>
    </row>
    <row r="3" ht="15.75" customHeight="1"/>
    <row r="4" ht="15.75" customHeight="1">
      <c r="B4" s="79" t="s">
        <v>1</v>
      </c>
      <c r="C4" s="80" t="str">
        <f>'Diseño'!C4</f>
        <v>785 - Análisis y Diseño de Sistemas 2</v>
      </c>
      <c r="D4" s="34"/>
      <c r="E4" s="34"/>
      <c r="F4" s="34"/>
      <c r="G4" s="35"/>
    </row>
    <row r="5" ht="15.75" customHeight="1">
      <c r="B5" s="98" t="s">
        <v>159</v>
      </c>
      <c r="C5" s="80">
        <f>H9+H26+H43+H60+H77+H94+H111</f>
        <v>40</v>
      </c>
      <c r="D5" s="34"/>
      <c r="E5" s="34"/>
      <c r="F5" s="34"/>
      <c r="G5" s="35"/>
    </row>
    <row r="6" ht="15.75" customHeight="1">
      <c r="B6" s="98" t="s">
        <v>201</v>
      </c>
      <c r="C6" s="80">
        <f>F9+F26+F43+F60+F77+F94+F111</f>
        <v>20</v>
      </c>
      <c r="D6" s="34"/>
      <c r="E6" s="34"/>
      <c r="F6" s="34"/>
      <c r="G6" s="35"/>
    </row>
    <row r="7" ht="15.75" customHeight="1">
      <c r="B7" s="69" t="s">
        <v>315</v>
      </c>
    </row>
    <row r="8" ht="15.75" customHeight="1"/>
    <row r="9" ht="15.75" customHeight="1">
      <c r="A9" s="100" t="s">
        <v>316</v>
      </c>
      <c r="E9" s="94" t="s">
        <v>201</v>
      </c>
      <c r="F9" s="105">
        <v>10.0</v>
      </c>
      <c r="G9" s="94" t="s">
        <v>292</v>
      </c>
      <c r="H9" s="105">
        <v>10.0</v>
      </c>
    </row>
    <row r="10" ht="15.75" customHeight="1">
      <c r="A10" s="69" t="s">
        <v>317</v>
      </c>
    </row>
    <row r="11" ht="15.75" customHeight="1">
      <c r="A11" s="107" t="s">
        <v>213</v>
      </c>
      <c r="B11" s="129" t="s">
        <v>318</v>
      </c>
      <c r="C11" s="65"/>
      <c r="D11" s="65"/>
      <c r="E11" s="65"/>
      <c r="F11" s="65"/>
      <c r="G11" s="65"/>
      <c r="H11" s="66"/>
    </row>
    <row r="12" ht="15.75" customHeight="1">
      <c r="A12" s="107" t="s">
        <v>213</v>
      </c>
      <c r="B12" s="129" t="s">
        <v>319</v>
      </c>
      <c r="C12" s="65"/>
      <c r="D12" s="65"/>
      <c r="E12" s="65"/>
      <c r="F12" s="65"/>
      <c r="G12" s="65"/>
      <c r="H12" s="66"/>
    </row>
    <row r="13" ht="15.75" customHeight="1">
      <c r="A13" s="107" t="s">
        <v>213</v>
      </c>
      <c r="B13" s="129" t="s">
        <v>320</v>
      </c>
      <c r="C13" s="65"/>
      <c r="D13" s="65"/>
      <c r="E13" s="65"/>
      <c r="F13" s="65"/>
      <c r="G13" s="65"/>
      <c r="H13" s="66"/>
    </row>
    <row r="14" ht="15.75" customHeight="1">
      <c r="A14" s="107" t="s">
        <v>296</v>
      </c>
      <c r="B14" s="73" t="s">
        <v>321</v>
      </c>
      <c r="C14" s="130"/>
      <c r="D14" s="130"/>
      <c r="E14" s="130"/>
      <c r="F14" s="130"/>
      <c r="G14" s="130"/>
      <c r="H14" s="122"/>
    </row>
    <row r="15" ht="15.75" customHeight="1">
      <c r="A15" s="102" t="s">
        <v>298</v>
      </c>
      <c r="B15" s="34"/>
      <c r="C15" s="34"/>
      <c r="D15" s="34"/>
      <c r="E15" s="34"/>
      <c r="F15" s="34"/>
      <c r="G15" s="34"/>
      <c r="H15" s="35"/>
    </row>
    <row r="16" ht="15.75" customHeight="1">
      <c r="A16" s="121" t="s">
        <v>322</v>
      </c>
      <c r="B16" s="62"/>
      <c r="C16" s="62"/>
      <c r="D16" s="62"/>
      <c r="E16" s="62"/>
      <c r="F16" s="62"/>
      <c r="G16" s="62"/>
      <c r="H16" s="63"/>
    </row>
    <row r="17" ht="15.75" customHeight="1">
      <c r="A17" s="116"/>
      <c r="H17" s="117"/>
    </row>
    <row r="18" ht="15.75" customHeight="1">
      <c r="A18" s="64"/>
      <c r="B18" s="65"/>
      <c r="C18" s="65"/>
      <c r="D18" s="65"/>
      <c r="E18" s="65"/>
      <c r="F18" s="65"/>
      <c r="G18" s="65"/>
      <c r="H18" s="66"/>
    </row>
    <row r="19" ht="15.75" customHeight="1">
      <c r="A19" s="102" t="s">
        <v>300</v>
      </c>
      <c r="B19" s="34"/>
      <c r="C19" s="34"/>
      <c r="D19" s="34"/>
      <c r="E19" s="34"/>
      <c r="F19" s="34"/>
      <c r="G19" s="34"/>
      <c r="H19" s="35"/>
    </row>
    <row r="20" ht="15.75" customHeight="1">
      <c r="A20" s="121" t="s">
        <v>323</v>
      </c>
      <c r="B20" s="62"/>
      <c r="C20" s="62"/>
      <c r="D20" s="62"/>
      <c r="E20" s="62"/>
      <c r="F20" s="62"/>
      <c r="G20" s="62"/>
      <c r="H20" s="63"/>
    </row>
    <row r="21" ht="15.75" customHeight="1">
      <c r="A21" s="116"/>
      <c r="H21" s="117"/>
    </row>
    <row r="22" ht="15.75" customHeight="1">
      <c r="A22" s="116"/>
      <c r="H22" s="117"/>
    </row>
    <row r="23" ht="15.75" customHeight="1">
      <c r="A23" s="64"/>
      <c r="B23" s="65"/>
      <c r="C23" s="65"/>
      <c r="D23" s="65"/>
      <c r="E23" s="65"/>
      <c r="F23" s="65"/>
      <c r="G23" s="65"/>
      <c r="H23" s="66"/>
    </row>
    <row r="24" ht="15.75" customHeight="1"/>
    <row r="25" ht="15.75" customHeight="1"/>
    <row r="26" ht="15.75" customHeight="1">
      <c r="A26" s="100" t="s">
        <v>324</v>
      </c>
      <c r="E26" s="94" t="s">
        <v>201</v>
      </c>
      <c r="F26" s="105">
        <v>10.0</v>
      </c>
      <c r="G26" s="94" t="s">
        <v>292</v>
      </c>
      <c r="H26" s="105">
        <v>30.0</v>
      </c>
    </row>
    <row r="27" ht="15.75" customHeight="1">
      <c r="A27" s="115" t="s">
        <v>309</v>
      </c>
    </row>
    <row r="28" ht="15.75" customHeight="1">
      <c r="A28" s="107" t="s">
        <v>213</v>
      </c>
      <c r="B28" s="88" t="s">
        <v>325</v>
      </c>
      <c r="C28" s="34"/>
      <c r="D28" s="34"/>
      <c r="E28" s="34"/>
      <c r="F28" s="34"/>
      <c r="G28" s="34"/>
      <c r="H28" s="35"/>
    </row>
    <row r="29" ht="15.75" customHeight="1">
      <c r="A29" s="107" t="s">
        <v>213</v>
      </c>
      <c r="B29" s="96" t="s">
        <v>326</v>
      </c>
      <c r="C29" s="34"/>
      <c r="D29" s="34"/>
      <c r="E29" s="34"/>
      <c r="F29" s="34"/>
      <c r="G29" s="34"/>
      <c r="H29" s="35"/>
    </row>
    <row r="30" ht="15.75" customHeight="1">
      <c r="A30" s="107" t="s">
        <v>213</v>
      </c>
      <c r="B30" s="96" t="s">
        <v>327</v>
      </c>
      <c r="C30" s="34"/>
      <c r="D30" s="34"/>
      <c r="E30" s="34"/>
      <c r="F30" s="34"/>
      <c r="G30" s="34"/>
      <c r="H30" s="35"/>
    </row>
    <row r="31" ht="15.75" customHeight="1">
      <c r="A31" s="107" t="s">
        <v>296</v>
      </c>
      <c r="B31" s="91" t="s">
        <v>328</v>
      </c>
      <c r="C31" s="34"/>
      <c r="D31" s="34"/>
      <c r="E31" s="34"/>
      <c r="F31" s="34"/>
      <c r="G31" s="34"/>
      <c r="H31" s="35"/>
    </row>
    <row r="32" ht="15.75" customHeight="1">
      <c r="A32" s="102" t="s">
        <v>298</v>
      </c>
      <c r="B32" s="34"/>
      <c r="C32" s="34"/>
      <c r="D32" s="34"/>
      <c r="E32" s="34"/>
      <c r="F32" s="34"/>
      <c r="G32" s="34"/>
      <c r="H32" s="35"/>
    </row>
    <row r="33" ht="15.75" customHeight="1">
      <c r="A33" s="124" t="s">
        <v>329</v>
      </c>
      <c r="B33" s="62"/>
      <c r="C33" s="62"/>
      <c r="D33" s="62"/>
      <c r="E33" s="62"/>
      <c r="F33" s="62"/>
      <c r="G33" s="62"/>
      <c r="H33" s="63"/>
    </row>
    <row r="34" ht="15.75" customHeight="1">
      <c r="A34" s="116"/>
      <c r="H34" s="117"/>
    </row>
    <row r="35" ht="15.75" customHeight="1">
      <c r="A35" s="64"/>
      <c r="B35" s="65"/>
      <c r="C35" s="65"/>
      <c r="D35" s="65"/>
      <c r="E35" s="65"/>
      <c r="F35" s="65"/>
      <c r="G35" s="65"/>
      <c r="H35" s="66"/>
    </row>
    <row r="36" ht="15.75" customHeight="1">
      <c r="A36" s="102" t="s">
        <v>300</v>
      </c>
      <c r="B36" s="34"/>
      <c r="C36" s="34"/>
      <c r="D36" s="34"/>
      <c r="E36" s="34"/>
      <c r="F36" s="34"/>
      <c r="G36" s="34"/>
      <c r="H36" s="35"/>
    </row>
    <row r="37" ht="15.75" customHeight="1">
      <c r="A37" s="124" t="s">
        <v>330</v>
      </c>
      <c r="B37" s="62"/>
      <c r="C37" s="62"/>
      <c r="D37" s="62"/>
      <c r="E37" s="62"/>
      <c r="F37" s="62"/>
      <c r="G37" s="62"/>
      <c r="H37" s="63"/>
    </row>
    <row r="38" ht="15.75" customHeight="1">
      <c r="A38" s="116"/>
      <c r="H38" s="117"/>
    </row>
    <row r="39" ht="15.75" customHeight="1">
      <c r="A39" s="116"/>
      <c r="H39" s="117"/>
    </row>
    <row r="40" ht="15.75" customHeight="1">
      <c r="A40" s="64"/>
      <c r="B40" s="65"/>
      <c r="C40" s="65"/>
      <c r="D40" s="65"/>
      <c r="E40" s="65"/>
      <c r="F40" s="65"/>
      <c r="G40" s="65"/>
      <c r="H40" s="66"/>
    </row>
    <row r="41" ht="15.75" customHeight="1"/>
    <row r="42" ht="15.75" customHeight="1"/>
    <row r="43" ht="15.75" customHeight="1">
      <c r="A43" s="100" t="s">
        <v>331</v>
      </c>
      <c r="E43" s="94" t="s">
        <v>201</v>
      </c>
      <c r="F43" s="101"/>
      <c r="G43" s="94" t="s">
        <v>292</v>
      </c>
      <c r="H43" s="101"/>
    </row>
    <row r="44" ht="15.75" customHeight="1">
      <c r="A44" s="115" t="s">
        <v>309</v>
      </c>
    </row>
    <row r="45" ht="15.75" customHeight="1">
      <c r="A45" s="107" t="s">
        <v>213</v>
      </c>
      <c r="B45" s="80"/>
      <c r="C45" s="34"/>
      <c r="D45" s="34"/>
      <c r="E45" s="34"/>
      <c r="F45" s="34"/>
      <c r="G45" s="34"/>
      <c r="H45" s="35"/>
    </row>
    <row r="46" ht="15.75" customHeight="1">
      <c r="A46" s="107" t="s">
        <v>213</v>
      </c>
      <c r="B46" s="80"/>
      <c r="C46" s="34"/>
      <c r="D46" s="34"/>
      <c r="E46" s="34"/>
      <c r="F46" s="34"/>
      <c r="G46" s="34"/>
      <c r="H46" s="35"/>
    </row>
    <row r="47" ht="15.75" customHeight="1">
      <c r="A47" s="107" t="s">
        <v>213</v>
      </c>
      <c r="B47" s="80"/>
      <c r="C47" s="34"/>
      <c r="D47" s="34"/>
      <c r="E47" s="34"/>
      <c r="F47" s="34"/>
      <c r="G47" s="34"/>
      <c r="H47" s="35"/>
    </row>
    <row r="48" ht="15.75" customHeight="1">
      <c r="A48" s="107" t="s">
        <v>296</v>
      </c>
      <c r="B48" s="80"/>
      <c r="C48" s="34"/>
      <c r="D48" s="34"/>
      <c r="E48" s="34"/>
      <c r="F48" s="34"/>
      <c r="G48" s="34"/>
      <c r="H48" s="35"/>
    </row>
    <row r="49" ht="15.75" customHeight="1">
      <c r="A49" s="102" t="s">
        <v>298</v>
      </c>
      <c r="B49" s="34"/>
      <c r="C49" s="34"/>
      <c r="D49" s="34"/>
      <c r="E49" s="34"/>
      <c r="F49" s="34"/>
      <c r="G49" s="34"/>
      <c r="H49" s="35"/>
    </row>
    <row r="50" ht="15.75" customHeight="1">
      <c r="A50" s="104"/>
      <c r="B50" s="62"/>
      <c r="C50" s="62"/>
      <c r="D50" s="62"/>
      <c r="E50" s="62"/>
      <c r="F50" s="62"/>
      <c r="G50" s="62"/>
      <c r="H50" s="63"/>
    </row>
    <row r="51" ht="15.75" customHeight="1">
      <c r="A51" s="116"/>
      <c r="H51" s="117"/>
    </row>
    <row r="52" ht="15.75" customHeight="1">
      <c r="A52" s="64"/>
      <c r="B52" s="65"/>
      <c r="C52" s="65"/>
      <c r="D52" s="65"/>
      <c r="E52" s="65"/>
      <c r="F52" s="65"/>
      <c r="G52" s="65"/>
      <c r="H52" s="66"/>
    </row>
    <row r="53" ht="15.75" customHeight="1">
      <c r="A53" s="102" t="s">
        <v>300</v>
      </c>
      <c r="B53" s="34"/>
      <c r="C53" s="34"/>
      <c r="D53" s="34"/>
      <c r="E53" s="34"/>
      <c r="F53" s="34"/>
      <c r="G53" s="34"/>
      <c r="H53" s="35"/>
    </row>
    <row r="54" ht="15.75" customHeight="1">
      <c r="A54" s="104"/>
      <c r="B54" s="62"/>
      <c r="C54" s="62"/>
      <c r="D54" s="62"/>
      <c r="E54" s="62"/>
      <c r="F54" s="62"/>
      <c r="G54" s="62"/>
      <c r="H54" s="63"/>
    </row>
    <row r="55" ht="15.75" customHeight="1">
      <c r="A55" s="116"/>
      <c r="H55" s="117"/>
    </row>
    <row r="56" ht="15.75" customHeight="1">
      <c r="A56" s="116"/>
      <c r="H56" s="117"/>
    </row>
    <row r="57" ht="15.75" customHeight="1">
      <c r="A57" s="64"/>
      <c r="B57" s="65"/>
      <c r="C57" s="65"/>
      <c r="D57" s="65"/>
      <c r="E57" s="65"/>
      <c r="F57" s="65"/>
      <c r="G57" s="65"/>
      <c r="H57" s="66"/>
    </row>
    <row r="58" ht="15.75" customHeight="1"/>
    <row r="59" ht="15.75" customHeight="1"/>
    <row r="60" ht="15.75" customHeight="1">
      <c r="A60" s="100" t="s">
        <v>332</v>
      </c>
      <c r="E60" s="94" t="s">
        <v>201</v>
      </c>
      <c r="F60" s="101"/>
      <c r="G60" s="94" t="s">
        <v>292</v>
      </c>
      <c r="H60" s="101"/>
    </row>
    <row r="61" ht="15.75" customHeight="1">
      <c r="A61" s="115" t="s">
        <v>309</v>
      </c>
    </row>
    <row r="62" ht="15.75" customHeight="1">
      <c r="A62" s="107" t="s">
        <v>213</v>
      </c>
      <c r="B62" s="80"/>
      <c r="C62" s="34"/>
      <c r="D62" s="34"/>
      <c r="E62" s="34"/>
      <c r="F62" s="34"/>
      <c r="G62" s="34"/>
      <c r="H62" s="35"/>
    </row>
    <row r="63" ht="15.75" customHeight="1">
      <c r="A63" s="107" t="s">
        <v>213</v>
      </c>
      <c r="B63" s="80"/>
      <c r="C63" s="34"/>
      <c r="D63" s="34"/>
      <c r="E63" s="34"/>
      <c r="F63" s="34"/>
      <c r="G63" s="34"/>
      <c r="H63" s="35"/>
    </row>
    <row r="64" ht="15.75" customHeight="1">
      <c r="A64" s="107" t="s">
        <v>213</v>
      </c>
      <c r="B64" s="80"/>
      <c r="C64" s="34"/>
      <c r="D64" s="34"/>
      <c r="E64" s="34"/>
      <c r="F64" s="34"/>
      <c r="G64" s="34"/>
      <c r="H64" s="35"/>
    </row>
    <row r="65" ht="15.75" customHeight="1">
      <c r="A65" s="107" t="s">
        <v>296</v>
      </c>
      <c r="B65" s="80"/>
      <c r="C65" s="34"/>
      <c r="D65" s="34"/>
      <c r="E65" s="34"/>
      <c r="F65" s="34"/>
      <c r="G65" s="34"/>
      <c r="H65" s="35"/>
    </row>
    <row r="66" ht="15.75" customHeight="1">
      <c r="A66" s="102" t="s">
        <v>298</v>
      </c>
      <c r="B66" s="34"/>
      <c r="C66" s="34"/>
      <c r="D66" s="34"/>
      <c r="E66" s="34"/>
      <c r="F66" s="34"/>
      <c r="G66" s="34"/>
      <c r="H66" s="35"/>
    </row>
    <row r="67" ht="15.75" customHeight="1">
      <c r="A67" s="104"/>
      <c r="B67" s="62"/>
      <c r="C67" s="62"/>
      <c r="D67" s="62"/>
      <c r="E67" s="62"/>
      <c r="F67" s="62"/>
      <c r="G67" s="62"/>
      <c r="H67" s="63"/>
    </row>
    <row r="68" ht="15.75" customHeight="1">
      <c r="A68" s="116"/>
      <c r="H68" s="117"/>
    </row>
    <row r="69" ht="15.75" customHeight="1">
      <c r="A69" s="64"/>
      <c r="B69" s="65"/>
      <c r="C69" s="65"/>
      <c r="D69" s="65"/>
      <c r="E69" s="65"/>
      <c r="F69" s="65"/>
      <c r="G69" s="65"/>
      <c r="H69" s="66"/>
    </row>
    <row r="70" ht="15.75" customHeight="1">
      <c r="A70" s="102" t="s">
        <v>300</v>
      </c>
      <c r="B70" s="34"/>
      <c r="C70" s="34"/>
      <c r="D70" s="34"/>
      <c r="E70" s="34"/>
      <c r="F70" s="34"/>
      <c r="G70" s="34"/>
      <c r="H70" s="35"/>
    </row>
    <row r="71" ht="15.75" customHeight="1">
      <c r="A71" s="104"/>
      <c r="B71" s="62"/>
      <c r="C71" s="62"/>
      <c r="D71" s="62"/>
      <c r="E71" s="62"/>
      <c r="F71" s="62"/>
      <c r="G71" s="62"/>
      <c r="H71" s="63"/>
    </row>
    <row r="72" ht="15.75" customHeight="1">
      <c r="A72" s="116"/>
      <c r="H72" s="117"/>
    </row>
    <row r="73" ht="15.75" customHeight="1">
      <c r="A73" s="116"/>
      <c r="H73" s="117"/>
    </row>
    <row r="74" ht="15.75" customHeight="1">
      <c r="A74" s="64"/>
      <c r="B74" s="65"/>
      <c r="C74" s="65"/>
      <c r="D74" s="65"/>
      <c r="E74" s="65"/>
      <c r="F74" s="65"/>
      <c r="G74" s="65"/>
      <c r="H74" s="66"/>
    </row>
    <row r="75" ht="15.75" customHeight="1"/>
    <row r="76" ht="15.75" customHeight="1"/>
    <row r="77" ht="15.75" customHeight="1">
      <c r="A77" s="100" t="s">
        <v>333</v>
      </c>
      <c r="E77" s="94" t="s">
        <v>201</v>
      </c>
      <c r="F77" s="101"/>
      <c r="G77" s="94" t="s">
        <v>292</v>
      </c>
      <c r="H77" s="101"/>
    </row>
    <row r="78" ht="15.75" customHeight="1">
      <c r="A78" s="115" t="s">
        <v>309</v>
      </c>
    </row>
    <row r="79" ht="15.75" customHeight="1">
      <c r="A79" s="107" t="s">
        <v>213</v>
      </c>
      <c r="B79" s="80"/>
      <c r="C79" s="34"/>
      <c r="D79" s="34"/>
      <c r="E79" s="34"/>
      <c r="F79" s="34"/>
      <c r="G79" s="34"/>
      <c r="H79" s="35"/>
    </row>
    <row r="80" ht="15.75" customHeight="1">
      <c r="A80" s="107" t="s">
        <v>213</v>
      </c>
      <c r="B80" s="80"/>
      <c r="C80" s="34"/>
      <c r="D80" s="34"/>
      <c r="E80" s="34"/>
      <c r="F80" s="34"/>
      <c r="G80" s="34"/>
      <c r="H80" s="35"/>
    </row>
    <row r="81" ht="15.75" customHeight="1">
      <c r="A81" s="107" t="s">
        <v>213</v>
      </c>
      <c r="B81" s="80"/>
      <c r="C81" s="34"/>
      <c r="D81" s="34"/>
      <c r="E81" s="34"/>
      <c r="F81" s="34"/>
      <c r="G81" s="34"/>
      <c r="H81" s="35"/>
    </row>
    <row r="82" ht="15.75" customHeight="1">
      <c r="A82" s="107" t="s">
        <v>296</v>
      </c>
      <c r="B82" s="80"/>
      <c r="C82" s="34"/>
      <c r="D82" s="34"/>
      <c r="E82" s="34"/>
      <c r="F82" s="34"/>
      <c r="G82" s="34"/>
      <c r="H82" s="35"/>
    </row>
    <row r="83" ht="15.75" customHeight="1">
      <c r="A83" s="102" t="s">
        <v>298</v>
      </c>
      <c r="B83" s="34"/>
      <c r="C83" s="34"/>
      <c r="D83" s="34"/>
      <c r="E83" s="34"/>
      <c r="F83" s="34"/>
      <c r="G83" s="34"/>
      <c r="H83" s="35"/>
    </row>
    <row r="84" ht="15.75" customHeight="1">
      <c r="A84" s="104"/>
      <c r="B84" s="62"/>
      <c r="C84" s="62"/>
      <c r="D84" s="62"/>
      <c r="E84" s="62"/>
      <c r="F84" s="62"/>
      <c r="G84" s="62"/>
      <c r="H84" s="63"/>
    </row>
    <row r="85" ht="15.75" customHeight="1">
      <c r="A85" s="116"/>
      <c r="H85" s="117"/>
    </row>
    <row r="86" ht="15.75" customHeight="1">
      <c r="A86" s="64"/>
      <c r="B86" s="65"/>
      <c r="C86" s="65"/>
      <c r="D86" s="65"/>
      <c r="E86" s="65"/>
      <c r="F86" s="65"/>
      <c r="G86" s="65"/>
      <c r="H86" s="66"/>
    </row>
    <row r="87" ht="15.75" customHeight="1">
      <c r="A87" s="102" t="s">
        <v>300</v>
      </c>
      <c r="B87" s="34"/>
      <c r="C87" s="34"/>
      <c r="D87" s="34"/>
      <c r="E87" s="34"/>
      <c r="F87" s="34"/>
      <c r="G87" s="34"/>
      <c r="H87" s="35"/>
    </row>
    <row r="88" ht="15.75" customHeight="1">
      <c r="A88" s="104"/>
      <c r="B88" s="62"/>
      <c r="C88" s="62"/>
      <c r="D88" s="62"/>
      <c r="E88" s="62"/>
      <c r="F88" s="62"/>
      <c r="G88" s="62"/>
      <c r="H88" s="63"/>
    </row>
    <row r="89" ht="15.75" customHeight="1">
      <c r="A89" s="116"/>
      <c r="H89" s="117"/>
    </row>
    <row r="90" ht="15.75" customHeight="1">
      <c r="A90" s="116"/>
      <c r="H90" s="117"/>
    </row>
    <row r="91" ht="15.75" customHeight="1">
      <c r="A91" s="64"/>
      <c r="B91" s="65"/>
      <c r="C91" s="65"/>
      <c r="D91" s="65"/>
      <c r="E91" s="65"/>
      <c r="F91" s="65"/>
      <c r="G91" s="65"/>
      <c r="H91" s="66"/>
    </row>
    <row r="92" ht="15.75" customHeight="1"/>
    <row r="93" ht="15.75" customHeight="1"/>
    <row r="94" ht="15.75" customHeight="1">
      <c r="A94" s="100" t="s">
        <v>334</v>
      </c>
      <c r="E94" s="94" t="s">
        <v>201</v>
      </c>
      <c r="F94" s="101"/>
      <c r="G94" s="94" t="s">
        <v>292</v>
      </c>
      <c r="H94" s="101"/>
    </row>
    <row r="95" ht="15.75" customHeight="1">
      <c r="A95" s="115" t="s">
        <v>309</v>
      </c>
    </row>
    <row r="96" ht="15.75" customHeight="1">
      <c r="A96" s="107" t="s">
        <v>213</v>
      </c>
      <c r="B96" s="80"/>
      <c r="C96" s="34"/>
      <c r="D96" s="34"/>
      <c r="E96" s="34"/>
      <c r="F96" s="34"/>
      <c r="G96" s="34"/>
      <c r="H96" s="35"/>
    </row>
    <row r="97" ht="15.75" customHeight="1">
      <c r="A97" s="107" t="s">
        <v>213</v>
      </c>
      <c r="B97" s="80"/>
      <c r="C97" s="34"/>
      <c r="D97" s="34"/>
      <c r="E97" s="34"/>
      <c r="F97" s="34"/>
      <c r="G97" s="34"/>
      <c r="H97" s="35"/>
    </row>
    <row r="98" ht="15.75" customHeight="1">
      <c r="A98" s="107" t="s">
        <v>213</v>
      </c>
      <c r="B98" s="80"/>
      <c r="C98" s="34"/>
      <c r="D98" s="34"/>
      <c r="E98" s="34"/>
      <c r="F98" s="34"/>
      <c r="G98" s="34"/>
      <c r="H98" s="35"/>
    </row>
    <row r="99" ht="15.75" customHeight="1">
      <c r="A99" s="107" t="s">
        <v>296</v>
      </c>
      <c r="B99" s="80"/>
      <c r="C99" s="34"/>
      <c r="D99" s="34"/>
      <c r="E99" s="34"/>
      <c r="F99" s="34"/>
      <c r="G99" s="34"/>
      <c r="H99" s="35"/>
    </row>
    <row r="100" ht="15.75" customHeight="1">
      <c r="A100" s="102" t="s">
        <v>298</v>
      </c>
      <c r="B100" s="34"/>
      <c r="C100" s="34"/>
      <c r="D100" s="34"/>
      <c r="E100" s="34"/>
      <c r="F100" s="34"/>
      <c r="G100" s="34"/>
      <c r="H100" s="35"/>
    </row>
    <row r="101" ht="15.75" customHeight="1">
      <c r="A101" s="104"/>
      <c r="B101" s="62"/>
      <c r="C101" s="62"/>
      <c r="D101" s="62"/>
      <c r="E101" s="62"/>
      <c r="F101" s="62"/>
      <c r="G101" s="62"/>
      <c r="H101" s="63"/>
    </row>
    <row r="102" ht="15.75" customHeight="1">
      <c r="A102" s="116"/>
      <c r="H102" s="117"/>
    </row>
    <row r="103" ht="15.75" customHeight="1">
      <c r="A103" s="64"/>
      <c r="B103" s="65"/>
      <c r="C103" s="65"/>
      <c r="D103" s="65"/>
      <c r="E103" s="65"/>
      <c r="F103" s="65"/>
      <c r="G103" s="65"/>
      <c r="H103" s="66"/>
    </row>
    <row r="104" ht="15.75" customHeight="1">
      <c r="A104" s="102" t="s">
        <v>300</v>
      </c>
      <c r="B104" s="34"/>
      <c r="C104" s="34"/>
      <c r="D104" s="34"/>
      <c r="E104" s="34"/>
      <c r="F104" s="34"/>
      <c r="G104" s="34"/>
      <c r="H104" s="35"/>
    </row>
    <row r="105" ht="15.75" customHeight="1">
      <c r="A105" s="104"/>
      <c r="B105" s="62"/>
      <c r="C105" s="62"/>
      <c r="D105" s="62"/>
      <c r="E105" s="62"/>
      <c r="F105" s="62"/>
      <c r="G105" s="62"/>
      <c r="H105" s="63"/>
    </row>
    <row r="106" ht="15.75" customHeight="1">
      <c r="A106" s="116"/>
      <c r="H106" s="117"/>
    </row>
    <row r="107" ht="15.75" customHeight="1">
      <c r="A107" s="116"/>
      <c r="H107" s="117"/>
    </row>
    <row r="108" ht="15.75" customHeight="1">
      <c r="A108" s="64"/>
      <c r="B108" s="65"/>
      <c r="C108" s="65"/>
      <c r="D108" s="65"/>
      <c r="E108" s="65"/>
      <c r="F108" s="65"/>
      <c r="G108" s="65"/>
      <c r="H108" s="66"/>
    </row>
    <row r="109" ht="15.75" customHeight="1"/>
    <row r="110" ht="15.75" customHeight="1"/>
    <row r="111" ht="15.75" customHeight="1">
      <c r="A111" s="100" t="s">
        <v>335</v>
      </c>
      <c r="E111" s="94" t="s">
        <v>201</v>
      </c>
      <c r="F111" s="101"/>
      <c r="G111" s="94" t="s">
        <v>292</v>
      </c>
      <c r="H111" s="101"/>
    </row>
    <row r="112" ht="15.75" customHeight="1">
      <c r="A112" s="115" t="s">
        <v>309</v>
      </c>
    </row>
    <row r="113" ht="15.75" customHeight="1">
      <c r="A113" s="107" t="s">
        <v>213</v>
      </c>
      <c r="B113" s="80"/>
      <c r="C113" s="34"/>
      <c r="D113" s="34"/>
      <c r="E113" s="34"/>
      <c r="F113" s="34"/>
      <c r="G113" s="34"/>
      <c r="H113" s="35"/>
    </row>
    <row r="114" ht="15.75" customHeight="1">
      <c r="A114" s="107" t="s">
        <v>213</v>
      </c>
      <c r="B114" s="80"/>
      <c r="C114" s="34"/>
      <c r="D114" s="34"/>
      <c r="E114" s="34"/>
      <c r="F114" s="34"/>
      <c r="G114" s="34"/>
      <c r="H114" s="35"/>
    </row>
    <row r="115" ht="15.75" customHeight="1">
      <c r="A115" s="107" t="s">
        <v>213</v>
      </c>
      <c r="B115" s="80"/>
      <c r="C115" s="34"/>
      <c r="D115" s="34"/>
      <c r="E115" s="34"/>
      <c r="F115" s="34"/>
      <c r="G115" s="34"/>
      <c r="H115" s="35"/>
    </row>
    <row r="116" ht="15.75" customHeight="1">
      <c r="A116" s="107" t="s">
        <v>296</v>
      </c>
      <c r="B116" s="80"/>
      <c r="C116" s="34"/>
      <c r="D116" s="34"/>
      <c r="E116" s="34"/>
      <c r="F116" s="34"/>
      <c r="G116" s="34"/>
      <c r="H116" s="35"/>
    </row>
    <row r="117" ht="15.75" customHeight="1">
      <c r="A117" s="102" t="s">
        <v>298</v>
      </c>
      <c r="B117" s="34"/>
      <c r="C117" s="34"/>
      <c r="D117" s="34"/>
      <c r="E117" s="34"/>
      <c r="F117" s="34"/>
      <c r="G117" s="34"/>
      <c r="H117" s="35"/>
    </row>
    <row r="118" ht="15.75" customHeight="1">
      <c r="A118" s="104"/>
      <c r="B118" s="62"/>
      <c r="C118" s="62"/>
      <c r="D118" s="62"/>
      <c r="E118" s="62"/>
      <c r="F118" s="62"/>
      <c r="G118" s="62"/>
      <c r="H118" s="63"/>
    </row>
    <row r="119" ht="15.75" customHeight="1">
      <c r="A119" s="116"/>
      <c r="H119" s="117"/>
    </row>
    <row r="120" ht="15.75" customHeight="1">
      <c r="A120" s="64"/>
      <c r="B120" s="65"/>
      <c r="C120" s="65"/>
      <c r="D120" s="65"/>
      <c r="E120" s="65"/>
      <c r="F120" s="65"/>
      <c r="G120" s="65"/>
      <c r="H120" s="66"/>
    </row>
    <row r="121" ht="15.75" customHeight="1">
      <c r="A121" s="102" t="s">
        <v>300</v>
      </c>
      <c r="B121" s="34"/>
      <c r="C121" s="34"/>
      <c r="D121" s="34"/>
      <c r="E121" s="34"/>
      <c r="F121" s="34"/>
      <c r="G121" s="34"/>
      <c r="H121" s="35"/>
    </row>
    <row r="122" ht="15.75" customHeight="1">
      <c r="A122" s="104"/>
      <c r="B122" s="62"/>
      <c r="C122" s="62"/>
      <c r="D122" s="62"/>
      <c r="E122" s="62"/>
      <c r="F122" s="62"/>
      <c r="G122" s="62"/>
      <c r="H122" s="63"/>
    </row>
    <row r="123" ht="15.75" customHeight="1">
      <c r="A123" s="116"/>
      <c r="H123" s="117"/>
    </row>
    <row r="124" ht="15.75" customHeight="1">
      <c r="A124" s="116"/>
      <c r="H124" s="117"/>
    </row>
    <row r="125" ht="15.75" customHeight="1">
      <c r="A125" s="64"/>
      <c r="B125" s="65"/>
      <c r="C125" s="65"/>
      <c r="D125" s="65"/>
      <c r="E125" s="65"/>
      <c r="F125" s="65"/>
      <c r="G125" s="65"/>
      <c r="H125" s="66"/>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B2:H2"/>
    <mergeCell ref="C4:G4"/>
    <mergeCell ref="C5:G5"/>
    <mergeCell ref="C6:G6"/>
    <mergeCell ref="A9:D9"/>
    <mergeCell ref="B11:H11"/>
    <mergeCell ref="B12:H12"/>
    <mergeCell ref="B13:H13"/>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5" t="s">
        <v>16</v>
      </c>
    </row>
    <row r="3" ht="15.75" customHeight="1"/>
    <row r="4" ht="15.75" customHeight="1">
      <c r="B4" s="79" t="s">
        <v>1</v>
      </c>
      <c r="C4" s="80" t="str">
        <f>'Diseño'!C4</f>
        <v>785 - Análisis y Diseño de Sistemas 2</v>
      </c>
      <c r="D4" s="34"/>
      <c r="E4" s="34"/>
      <c r="F4" s="34"/>
      <c r="G4" s="35"/>
    </row>
    <row r="5" ht="15.75" customHeight="1">
      <c r="B5" s="98" t="s">
        <v>159</v>
      </c>
      <c r="C5" s="80">
        <f>H9+H26+H43+H60+H77+H94+H111+H128</f>
        <v>5</v>
      </c>
      <c r="D5" s="34"/>
      <c r="E5" s="34"/>
      <c r="F5" s="34"/>
      <c r="G5" s="35"/>
    </row>
    <row r="6" ht="15.75" customHeight="1">
      <c r="B6" s="98" t="s">
        <v>201</v>
      </c>
      <c r="C6" s="80">
        <f>F9+F26+F43+F60+F77+F94+F111+F128</f>
        <v>10</v>
      </c>
      <c r="D6" s="34"/>
      <c r="E6" s="34"/>
      <c r="F6" s="34"/>
      <c r="G6" s="35"/>
    </row>
    <row r="7" ht="15.75" customHeight="1">
      <c r="B7" s="69" t="s">
        <v>336</v>
      </c>
    </row>
    <row r="8" ht="15.75" customHeight="1"/>
    <row r="9" ht="15.75" customHeight="1">
      <c r="A9" s="100" t="s">
        <v>337</v>
      </c>
      <c r="E9" s="94" t="s">
        <v>201</v>
      </c>
      <c r="F9" s="105">
        <v>10.0</v>
      </c>
      <c r="G9" s="94" t="s">
        <v>292</v>
      </c>
      <c r="H9" s="105">
        <v>5.0</v>
      </c>
    </row>
    <row r="10" ht="15.75" customHeight="1">
      <c r="A10" s="131" t="s">
        <v>338</v>
      </c>
    </row>
    <row r="11" ht="15.75" customHeight="1">
      <c r="A11" s="107" t="s">
        <v>213</v>
      </c>
      <c r="B11" s="132" t="s">
        <v>339</v>
      </c>
      <c r="C11" s="34"/>
      <c r="D11" s="34"/>
      <c r="E11" s="34"/>
      <c r="F11" s="34"/>
      <c r="G11" s="34"/>
      <c r="H11" s="35"/>
    </row>
    <row r="12" ht="15.75" customHeight="1">
      <c r="A12" s="107" t="s">
        <v>213</v>
      </c>
      <c r="B12" s="91" t="s">
        <v>340</v>
      </c>
      <c r="C12" s="34"/>
      <c r="D12" s="34"/>
      <c r="E12" s="34"/>
      <c r="F12" s="34"/>
      <c r="G12" s="34"/>
      <c r="H12" s="35"/>
    </row>
    <row r="13" ht="15.75" customHeight="1">
      <c r="A13" s="107" t="s">
        <v>213</v>
      </c>
      <c r="B13" s="80"/>
      <c r="C13" s="34"/>
      <c r="D13" s="34"/>
      <c r="E13" s="34"/>
      <c r="F13" s="34"/>
      <c r="G13" s="34"/>
      <c r="H13" s="35"/>
    </row>
    <row r="14" ht="15.75" customHeight="1">
      <c r="A14" s="107" t="s">
        <v>296</v>
      </c>
      <c r="B14" s="91" t="s">
        <v>341</v>
      </c>
      <c r="C14" s="34"/>
      <c r="D14" s="34"/>
      <c r="E14" s="34"/>
      <c r="F14" s="34"/>
      <c r="G14" s="34"/>
      <c r="H14" s="35"/>
    </row>
    <row r="15" ht="15.75" customHeight="1">
      <c r="A15" s="102" t="s">
        <v>298</v>
      </c>
      <c r="B15" s="34"/>
      <c r="C15" s="34"/>
      <c r="D15" s="34"/>
      <c r="E15" s="34"/>
      <c r="F15" s="34"/>
      <c r="G15" s="34"/>
      <c r="H15" s="35"/>
    </row>
    <row r="16" ht="15.75" customHeight="1">
      <c r="A16" s="133" t="s">
        <v>342</v>
      </c>
      <c r="B16" s="62"/>
      <c r="C16" s="62"/>
      <c r="D16" s="62"/>
      <c r="E16" s="62"/>
      <c r="F16" s="62"/>
      <c r="G16" s="62"/>
      <c r="H16" s="63"/>
    </row>
    <row r="17" ht="15.75" customHeight="1">
      <c r="A17" s="116"/>
      <c r="H17" s="117"/>
    </row>
    <row r="18" ht="15.75" customHeight="1">
      <c r="A18" s="64"/>
      <c r="B18" s="65"/>
      <c r="C18" s="65"/>
      <c r="D18" s="65"/>
      <c r="E18" s="65"/>
      <c r="F18" s="65"/>
      <c r="G18" s="65"/>
      <c r="H18" s="66"/>
    </row>
    <row r="19" ht="15.75" customHeight="1">
      <c r="A19" s="102" t="s">
        <v>343</v>
      </c>
      <c r="B19" s="34"/>
      <c r="C19" s="34"/>
      <c r="D19" s="34"/>
      <c r="E19" s="34"/>
      <c r="F19" s="34"/>
      <c r="G19" s="34"/>
      <c r="H19" s="35"/>
    </row>
    <row r="20" ht="15.75" customHeight="1">
      <c r="A20" s="120" t="s">
        <v>344</v>
      </c>
      <c r="B20" s="62"/>
      <c r="C20" s="62"/>
      <c r="D20" s="62"/>
      <c r="E20" s="62"/>
      <c r="F20" s="62"/>
      <c r="G20" s="62"/>
      <c r="H20" s="63"/>
    </row>
    <row r="21" ht="15.75" customHeight="1">
      <c r="A21" s="116"/>
      <c r="H21" s="117"/>
    </row>
    <row r="22" ht="15.75" customHeight="1">
      <c r="A22" s="116"/>
      <c r="H22" s="117"/>
    </row>
    <row r="23" ht="72.0" customHeight="1">
      <c r="A23" s="64"/>
      <c r="B23" s="65"/>
      <c r="C23" s="65"/>
      <c r="D23" s="65"/>
      <c r="E23" s="65"/>
      <c r="F23" s="65"/>
      <c r="G23" s="65"/>
      <c r="H23" s="66"/>
    </row>
    <row r="24" ht="15.75" customHeight="1">
      <c r="A24" s="100"/>
      <c r="B24" s="100"/>
      <c r="C24" s="100"/>
      <c r="D24" s="100"/>
      <c r="E24" s="94"/>
      <c r="F24" s="134"/>
      <c r="G24" s="94"/>
      <c r="H24" s="134"/>
    </row>
    <row r="25" ht="15.75" customHeight="1">
      <c r="A25" s="100"/>
      <c r="B25" s="100"/>
      <c r="C25" s="100"/>
      <c r="D25" s="100"/>
      <c r="E25" s="94"/>
      <c r="F25" s="134"/>
      <c r="G25" s="94"/>
      <c r="H25" s="134"/>
    </row>
    <row r="26" ht="15.75" customHeight="1">
      <c r="A26" s="100" t="s">
        <v>345</v>
      </c>
      <c r="E26" s="94" t="s">
        <v>201</v>
      </c>
      <c r="F26" s="101"/>
      <c r="G26" s="94" t="s">
        <v>292</v>
      </c>
      <c r="H26" s="101"/>
    </row>
    <row r="27" ht="15.75" customHeight="1">
      <c r="A27" s="69" t="s">
        <v>317</v>
      </c>
    </row>
    <row r="28" ht="15.75" customHeight="1">
      <c r="A28" s="107" t="s">
        <v>213</v>
      </c>
      <c r="B28" s="80"/>
      <c r="C28" s="34"/>
      <c r="D28" s="34"/>
      <c r="E28" s="34"/>
      <c r="F28" s="34"/>
      <c r="G28" s="34"/>
      <c r="H28" s="35"/>
    </row>
    <row r="29" ht="15.75" customHeight="1">
      <c r="A29" s="107" t="s">
        <v>213</v>
      </c>
      <c r="B29" s="80"/>
      <c r="C29" s="34"/>
      <c r="D29" s="34"/>
      <c r="E29" s="34"/>
      <c r="F29" s="34"/>
      <c r="G29" s="34"/>
      <c r="H29" s="35"/>
    </row>
    <row r="30" ht="15.75" customHeight="1">
      <c r="A30" s="107" t="s">
        <v>213</v>
      </c>
      <c r="B30" s="80"/>
      <c r="C30" s="34"/>
      <c r="D30" s="34"/>
      <c r="E30" s="34"/>
      <c r="F30" s="34"/>
      <c r="G30" s="34"/>
      <c r="H30" s="35"/>
    </row>
    <row r="31" ht="15.75" customHeight="1">
      <c r="A31" s="107" t="s">
        <v>296</v>
      </c>
      <c r="B31" s="80"/>
      <c r="C31" s="34"/>
      <c r="D31" s="34"/>
      <c r="E31" s="34"/>
      <c r="F31" s="34"/>
      <c r="G31" s="34"/>
      <c r="H31" s="35"/>
    </row>
    <row r="32" ht="15.75" customHeight="1">
      <c r="A32" s="102" t="s">
        <v>298</v>
      </c>
      <c r="B32" s="34"/>
      <c r="C32" s="34"/>
      <c r="D32" s="34"/>
      <c r="E32" s="34"/>
      <c r="F32" s="34"/>
      <c r="G32" s="34"/>
      <c r="H32" s="35"/>
    </row>
    <row r="33" ht="15.75" customHeight="1">
      <c r="A33" s="104"/>
      <c r="B33" s="62"/>
      <c r="C33" s="62"/>
      <c r="D33" s="62"/>
      <c r="E33" s="62"/>
      <c r="F33" s="62"/>
      <c r="G33" s="62"/>
      <c r="H33" s="63"/>
    </row>
    <row r="34" ht="15.75" customHeight="1">
      <c r="A34" s="116"/>
      <c r="H34" s="117"/>
    </row>
    <row r="35" ht="15.75" customHeight="1">
      <c r="A35" s="64"/>
      <c r="B35" s="65"/>
      <c r="C35" s="65"/>
      <c r="D35" s="65"/>
      <c r="E35" s="65"/>
      <c r="F35" s="65"/>
      <c r="G35" s="65"/>
      <c r="H35" s="66"/>
    </row>
    <row r="36" ht="15.75" customHeight="1">
      <c r="A36" s="102" t="s">
        <v>300</v>
      </c>
      <c r="B36" s="34"/>
      <c r="C36" s="34"/>
      <c r="D36" s="34"/>
      <c r="E36" s="34"/>
      <c r="F36" s="34"/>
      <c r="G36" s="34"/>
      <c r="H36" s="35"/>
    </row>
    <row r="37" ht="15.75" customHeight="1">
      <c r="A37" s="104"/>
      <c r="B37" s="62"/>
      <c r="C37" s="62"/>
      <c r="D37" s="62"/>
      <c r="E37" s="62"/>
      <c r="F37" s="62"/>
      <c r="G37" s="62"/>
      <c r="H37" s="63"/>
    </row>
    <row r="38" ht="15.75" customHeight="1">
      <c r="A38" s="116"/>
      <c r="H38" s="117"/>
    </row>
    <row r="39" ht="15.75" customHeight="1">
      <c r="A39" s="116"/>
      <c r="H39" s="117"/>
    </row>
    <row r="40" ht="15.75" customHeight="1">
      <c r="A40" s="64"/>
      <c r="B40" s="65"/>
      <c r="C40" s="65"/>
      <c r="D40" s="65"/>
      <c r="E40" s="65"/>
      <c r="F40" s="65"/>
      <c r="G40" s="65"/>
      <c r="H40" s="66"/>
    </row>
    <row r="41" ht="15.75" customHeight="1"/>
    <row r="42" ht="15.75" customHeight="1"/>
    <row r="43" ht="15.75" customHeight="1">
      <c r="A43" s="100" t="s">
        <v>346</v>
      </c>
      <c r="E43" s="94" t="s">
        <v>201</v>
      </c>
      <c r="F43" s="101"/>
      <c r="G43" s="94" t="s">
        <v>292</v>
      </c>
      <c r="H43" s="101"/>
    </row>
    <row r="44" ht="15.75" customHeight="1">
      <c r="A44" s="69" t="s">
        <v>317</v>
      </c>
    </row>
    <row r="45" ht="15.75" customHeight="1">
      <c r="A45" s="107" t="s">
        <v>213</v>
      </c>
      <c r="B45" s="80"/>
      <c r="C45" s="34"/>
      <c r="D45" s="34"/>
      <c r="E45" s="34"/>
      <c r="F45" s="34"/>
      <c r="G45" s="34"/>
      <c r="H45" s="35"/>
    </row>
    <row r="46" ht="15.75" customHeight="1">
      <c r="A46" s="107" t="s">
        <v>213</v>
      </c>
      <c r="B46" s="80"/>
      <c r="C46" s="34"/>
      <c r="D46" s="34"/>
      <c r="E46" s="34"/>
      <c r="F46" s="34"/>
      <c r="G46" s="34"/>
      <c r="H46" s="35"/>
    </row>
    <row r="47" ht="15.75" customHeight="1">
      <c r="A47" s="107" t="s">
        <v>213</v>
      </c>
      <c r="B47" s="80"/>
      <c r="C47" s="34"/>
      <c r="D47" s="34"/>
      <c r="E47" s="34"/>
      <c r="F47" s="34"/>
      <c r="G47" s="34"/>
      <c r="H47" s="35"/>
    </row>
    <row r="48" ht="15.75" customHeight="1">
      <c r="A48" s="107" t="s">
        <v>296</v>
      </c>
      <c r="B48" s="80"/>
      <c r="C48" s="34"/>
      <c r="D48" s="34"/>
      <c r="E48" s="34"/>
      <c r="F48" s="34"/>
      <c r="G48" s="34"/>
      <c r="H48" s="35"/>
    </row>
    <row r="49" ht="15.75" customHeight="1">
      <c r="A49" s="102" t="s">
        <v>298</v>
      </c>
      <c r="B49" s="34"/>
      <c r="C49" s="34"/>
      <c r="D49" s="34"/>
      <c r="E49" s="34"/>
      <c r="F49" s="34"/>
      <c r="G49" s="34"/>
      <c r="H49" s="35"/>
    </row>
    <row r="50" ht="15.75" customHeight="1">
      <c r="A50" s="104"/>
      <c r="B50" s="62"/>
      <c r="C50" s="62"/>
      <c r="D50" s="62"/>
      <c r="E50" s="62"/>
      <c r="F50" s="62"/>
      <c r="G50" s="62"/>
      <c r="H50" s="63"/>
    </row>
    <row r="51" ht="15.75" customHeight="1">
      <c r="A51" s="116"/>
      <c r="H51" s="117"/>
    </row>
    <row r="52" ht="15.75" customHeight="1">
      <c r="A52" s="64"/>
      <c r="B52" s="65"/>
      <c r="C52" s="65"/>
      <c r="D52" s="65"/>
      <c r="E52" s="65"/>
      <c r="F52" s="65"/>
      <c r="G52" s="65"/>
      <c r="H52" s="66"/>
    </row>
    <row r="53" ht="15.75" customHeight="1">
      <c r="A53" s="102" t="s">
        <v>300</v>
      </c>
      <c r="B53" s="34"/>
      <c r="C53" s="34"/>
      <c r="D53" s="34"/>
      <c r="E53" s="34"/>
      <c r="F53" s="34"/>
      <c r="G53" s="34"/>
      <c r="H53" s="35"/>
    </row>
    <row r="54" ht="15.75" customHeight="1">
      <c r="A54" s="104"/>
      <c r="B54" s="62"/>
      <c r="C54" s="62"/>
      <c r="D54" s="62"/>
      <c r="E54" s="62"/>
      <c r="F54" s="62"/>
      <c r="G54" s="62"/>
      <c r="H54" s="63"/>
    </row>
    <row r="55" ht="15.75" customHeight="1">
      <c r="A55" s="116"/>
      <c r="H55" s="117"/>
    </row>
    <row r="56" ht="15.75" customHeight="1">
      <c r="A56" s="116"/>
      <c r="H56" s="117"/>
    </row>
    <row r="57" ht="15.75" customHeight="1">
      <c r="A57" s="64"/>
      <c r="B57" s="65"/>
      <c r="C57" s="65"/>
      <c r="D57" s="65"/>
      <c r="E57" s="65"/>
      <c r="F57" s="65"/>
      <c r="G57" s="65"/>
      <c r="H57" s="66"/>
    </row>
    <row r="58" ht="15.75" customHeight="1"/>
    <row r="59" ht="15.75" customHeight="1"/>
    <row r="60" ht="15.75" customHeight="1">
      <c r="A60" s="100" t="s">
        <v>347</v>
      </c>
      <c r="E60" s="94" t="s">
        <v>201</v>
      </c>
      <c r="F60" s="101"/>
      <c r="G60" s="94" t="s">
        <v>292</v>
      </c>
      <c r="H60" s="101"/>
    </row>
    <row r="61" ht="15.75" customHeight="1">
      <c r="A61" s="115" t="s">
        <v>309</v>
      </c>
    </row>
    <row r="62" ht="15.75" customHeight="1">
      <c r="A62" s="107" t="s">
        <v>213</v>
      </c>
      <c r="B62" s="80"/>
      <c r="C62" s="34"/>
      <c r="D62" s="34"/>
      <c r="E62" s="34"/>
      <c r="F62" s="34"/>
      <c r="G62" s="34"/>
      <c r="H62" s="35"/>
    </row>
    <row r="63" ht="15.75" customHeight="1">
      <c r="A63" s="107" t="s">
        <v>213</v>
      </c>
      <c r="B63" s="80"/>
      <c r="C63" s="34"/>
      <c r="D63" s="34"/>
      <c r="E63" s="34"/>
      <c r="F63" s="34"/>
      <c r="G63" s="34"/>
      <c r="H63" s="35"/>
    </row>
    <row r="64" ht="15.75" customHeight="1">
      <c r="A64" s="107" t="s">
        <v>213</v>
      </c>
      <c r="B64" s="80"/>
      <c r="C64" s="34"/>
      <c r="D64" s="34"/>
      <c r="E64" s="34"/>
      <c r="F64" s="34"/>
      <c r="G64" s="34"/>
      <c r="H64" s="35"/>
    </row>
    <row r="65" ht="15.75" customHeight="1">
      <c r="A65" s="107" t="s">
        <v>296</v>
      </c>
      <c r="B65" s="80"/>
      <c r="C65" s="34"/>
      <c r="D65" s="34"/>
      <c r="E65" s="34"/>
      <c r="F65" s="34"/>
      <c r="G65" s="34"/>
      <c r="H65" s="35"/>
    </row>
    <row r="66" ht="15.75" customHeight="1">
      <c r="A66" s="102" t="s">
        <v>298</v>
      </c>
      <c r="B66" s="34"/>
      <c r="C66" s="34"/>
      <c r="D66" s="34"/>
      <c r="E66" s="34"/>
      <c r="F66" s="34"/>
      <c r="G66" s="34"/>
      <c r="H66" s="35"/>
    </row>
    <row r="67" ht="15.75" customHeight="1">
      <c r="A67" s="104"/>
      <c r="B67" s="62"/>
      <c r="C67" s="62"/>
      <c r="D67" s="62"/>
      <c r="E67" s="62"/>
      <c r="F67" s="62"/>
      <c r="G67" s="62"/>
      <c r="H67" s="63"/>
    </row>
    <row r="68" ht="15.75" customHeight="1">
      <c r="A68" s="116"/>
      <c r="H68" s="117"/>
    </row>
    <row r="69" ht="15.75" customHeight="1">
      <c r="A69" s="64"/>
      <c r="B69" s="65"/>
      <c r="C69" s="65"/>
      <c r="D69" s="65"/>
      <c r="E69" s="65"/>
      <c r="F69" s="65"/>
      <c r="G69" s="65"/>
      <c r="H69" s="66"/>
    </row>
    <row r="70" ht="15.75" customHeight="1">
      <c r="A70" s="102" t="s">
        <v>300</v>
      </c>
      <c r="B70" s="34"/>
      <c r="C70" s="34"/>
      <c r="D70" s="34"/>
      <c r="E70" s="34"/>
      <c r="F70" s="34"/>
      <c r="G70" s="34"/>
      <c r="H70" s="35"/>
    </row>
    <row r="71" ht="15.75" customHeight="1">
      <c r="A71" s="104"/>
      <c r="B71" s="62"/>
      <c r="C71" s="62"/>
      <c r="D71" s="62"/>
      <c r="E71" s="62"/>
      <c r="F71" s="62"/>
      <c r="G71" s="62"/>
      <c r="H71" s="63"/>
    </row>
    <row r="72" ht="15.75" customHeight="1">
      <c r="A72" s="116"/>
      <c r="H72" s="117"/>
    </row>
    <row r="73" ht="15.75" customHeight="1">
      <c r="A73" s="116"/>
      <c r="H73" s="117"/>
    </row>
    <row r="74" ht="15.75" customHeight="1">
      <c r="A74" s="64"/>
      <c r="B74" s="65"/>
      <c r="C74" s="65"/>
      <c r="D74" s="65"/>
      <c r="E74" s="65"/>
      <c r="F74" s="65"/>
      <c r="G74" s="65"/>
      <c r="H74" s="66"/>
    </row>
    <row r="75" ht="15.75" customHeight="1"/>
    <row r="76" ht="15.75" customHeight="1"/>
    <row r="77" ht="15.75" customHeight="1">
      <c r="A77" s="100" t="s">
        <v>348</v>
      </c>
      <c r="E77" s="94" t="s">
        <v>201</v>
      </c>
      <c r="F77" s="101"/>
      <c r="G77" s="94" t="s">
        <v>292</v>
      </c>
      <c r="H77" s="101"/>
    </row>
    <row r="78" ht="15.75" customHeight="1">
      <c r="A78" s="115" t="s">
        <v>309</v>
      </c>
    </row>
    <row r="79" ht="15.75" customHeight="1">
      <c r="A79" s="107" t="s">
        <v>213</v>
      </c>
      <c r="B79" s="80"/>
      <c r="C79" s="34"/>
      <c r="D79" s="34"/>
      <c r="E79" s="34"/>
      <c r="F79" s="34"/>
      <c r="G79" s="34"/>
      <c r="H79" s="35"/>
    </row>
    <row r="80" ht="15.75" customHeight="1">
      <c r="A80" s="107" t="s">
        <v>213</v>
      </c>
      <c r="B80" s="80"/>
      <c r="C80" s="34"/>
      <c r="D80" s="34"/>
      <c r="E80" s="34"/>
      <c r="F80" s="34"/>
      <c r="G80" s="34"/>
      <c r="H80" s="35"/>
    </row>
    <row r="81" ht="15.75" customHeight="1">
      <c r="A81" s="107" t="s">
        <v>213</v>
      </c>
      <c r="B81" s="80"/>
      <c r="C81" s="34"/>
      <c r="D81" s="34"/>
      <c r="E81" s="34"/>
      <c r="F81" s="34"/>
      <c r="G81" s="34"/>
      <c r="H81" s="35"/>
    </row>
    <row r="82" ht="15.75" customHeight="1">
      <c r="A82" s="107" t="s">
        <v>296</v>
      </c>
      <c r="B82" s="80"/>
      <c r="C82" s="34"/>
      <c r="D82" s="34"/>
      <c r="E82" s="34"/>
      <c r="F82" s="34"/>
      <c r="G82" s="34"/>
      <c r="H82" s="35"/>
    </row>
    <row r="83" ht="15.75" customHeight="1">
      <c r="A83" s="102" t="s">
        <v>298</v>
      </c>
      <c r="B83" s="34"/>
      <c r="C83" s="34"/>
      <c r="D83" s="34"/>
      <c r="E83" s="34"/>
      <c r="F83" s="34"/>
      <c r="G83" s="34"/>
      <c r="H83" s="35"/>
    </row>
    <row r="84" ht="15.75" customHeight="1">
      <c r="A84" s="104"/>
      <c r="B84" s="62"/>
      <c r="C84" s="62"/>
      <c r="D84" s="62"/>
      <c r="E84" s="62"/>
      <c r="F84" s="62"/>
      <c r="G84" s="62"/>
      <c r="H84" s="63"/>
    </row>
    <row r="85" ht="15.75" customHeight="1">
      <c r="A85" s="116"/>
      <c r="H85" s="117"/>
    </row>
    <row r="86" ht="15.75" customHeight="1">
      <c r="A86" s="64"/>
      <c r="B86" s="65"/>
      <c r="C86" s="65"/>
      <c r="D86" s="65"/>
      <c r="E86" s="65"/>
      <c r="F86" s="65"/>
      <c r="G86" s="65"/>
      <c r="H86" s="66"/>
    </row>
    <row r="87" ht="15.75" customHeight="1">
      <c r="A87" s="102" t="s">
        <v>300</v>
      </c>
      <c r="B87" s="34"/>
      <c r="C87" s="34"/>
      <c r="D87" s="34"/>
      <c r="E87" s="34"/>
      <c r="F87" s="34"/>
      <c r="G87" s="34"/>
      <c r="H87" s="35"/>
    </row>
    <row r="88" ht="15.75" customHeight="1">
      <c r="A88" s="104"/>
      <c r="B88" s="62"/>
      <c r="C88" s="62"/>
      <c r="D88" s="62"/>
      <c r="E88" s="62"/>
      <c r="F88" s="62"/>
      <c r="G88" s="62"/>
      <c r="H88" s="63"/>
    </row>
    <row r="89" ht="15.75" customHeight="1">
      <c r="A89" s="116"/>
      <c r="H89" s="117"/>
    </row>
    <row r="90" ht="15.75" customHeight="1">
      <c r="A90" s="116"/>
      <c r="H90" s="117"/>
    </row>
    <row r="91" ht="15.75" customHeight="1">
      <c r="A91" s="64"/>
      <c r="B91" s="65"/>
      <c r="C91" s="65"/>
      <c r="D91" s="65"/>
      <c r="E91" s="65"/>
      <c r="F91" s="65"/>
      <c r="G91" s="65"/>
      <c r="H91" s="66"/>
    </row>
    <row r="92" ht="15.75" customHeight="1"/>
    <row r="93" ht="15.75" customHeight="1"/>
    <row r="94" ht="15.75" customHeight="1">
      <c r="A94" s="100" t="s">
        <v>349</v>
      </c>
      <c r="E94" s="94" t="s">
        <v>201</v>
      </c>
      <c r="F94" s="101"/>
      <c r="G94" s="94" t="s">
        <v>292</v>
      </c>
      <c r="H94" s="101"/>
    </row>
    <row r="95" ht="15.75" customHeight="1">
      <c r="A95" s="115" t="s">
        <v>309</v>
      </c>
    </row>
    <row r="96" ht="15.75" customHeight="1">
      <c r="A96" s="107" t="s">
        <v>213</v>
      </c>
      <c r="B96" s="80"/>
      <c r="C96" s="34"/>
      <c r="D96" s="34"/>
      <c r="E96" s="34"/>
      <c r="F96" s="34"/>
      <c r="G96" s="34"/>
      <c r="H96" s="35"/>
    </row>
    <row r="97" ht="15.75" customHeight="1">
      <c r="A97" s="107" t="s">
        <v>213</v>
      </c>
      <c r="B97" s="80"/>
      <c r="C97" s="34"/>
      <c r="D97" s="34"/>
      <c r="E97" s="34"/>
      <c r="F97" s="34"/>
      <c r="G97" s="34"/>
      <c r="H97" s="35"/>
    </row>
    <row r="98" ht="15.75" customHeight="1">
      <c r="A98" s="107" t="s">
        <v>213</v>
      </c>
      <c r="B98" s="80"/>
      <c r="C98" s="34"/>
      <c r="D98" s="34"/>
      <c r="E98" s="34"/>
      <c r="F98" s="34"/>
      <c r="G98" s="34"/>
      <c r="H98" s="35"/>
    </row>
    <row r="99" ht="15.75" customHeight="1">
      <c r="A99" s="107" t="s">
        <v>296</v>
      </c>
      <c r="B99" s="80"/>
      <c r="C99" s="34"/>
      <c r="D99" s="34"/>
      <c r="E99" s="34"/>
      <c r="F99" s="34"/>
      <c r="G99" s="34"/>
      <c r="H99" s="35"/>
    </row>
    <row r="100" ht="15.75" customHeight="1">
      <c r="A100" s="102" t="s">
        <v>298</v>
      </c>
      <c r="B100" s="34"/>
      <c r="C100" s="34"/>
      <c r="D100" s="34"/>
      <c r="E100" s="34"/>
      <c r="F100" s="34"/>
      <c r="G100" s="34"/>
      <c r="H100" s="35"/>
    </row>
    <row r="101" ht="15.75" customHeight="1">
      <c r="A101" s="104"/>
      <c r="B101" s="62"/>
      <c r="C101" s="62"/>
      <c r="D101" s="62"/>
      <c r="E101" s="62"/>
      <c r="F101" s="62"/>
      <c r="G101" s="62"/>
      <c r="H101" s="63"/>
    </row>
    <row r="102" ht="15.75" customHeight="1">
      <c r="A102" s="116"/>
      <c r="H102" s="117"/>
    </row>
    <row r="103" ht="15.75" customHeight="1">
      <c r="A103" s="64"/>
      <c r="B103" s="65"/>
      <c r="C103" s="65"/>
      <c r="D103" s="65"/>
      <c r="E103" s="65"/>
      <c r="F103" s="65"/>
      <c r="G103" s="65"/>
      <c r="H103" s="66"/>
    </row>
    <row r="104" ht="15.75" customHeight="1">
      <c r="A104" s="102" t="s">
        <v>300</v>
      </c>
      <c r="B104" s="34"/>
      <c r="C104" s="34"/>
      <c r="D104" s="34"/>
      <c r="E104" s="34"/>
      <c r="F104" s="34"/>
      <c r="G104" s="34"/>
      <c r="H104" s="35"/>
    </row>
    <row r="105" ht="15.75" customHeight="1">
      <c r="A105" s="104"/>
      <c r="B105" s="62"/>
      <c r="C105" s="62"/>
      <c r="D105" s="62"/>
      <c r="E105" s="62"/>
      <c r="F105" s="62"/>
      <c r="G105" s="62"/>
      <c r="H105" s="63"/>
    </row>
    <row r="106" ht="15.75" customHeight="1">
      <c r="A106" s="116"/>
      <c r="H106" s="117"/>
    </row>
    <row r="107" ht="15.75" customHeight="1">
      <c r="A107" s="116"/>
      <c r="H107" s="117"/>
    </row>
    <row r="108" ht="15.75" customHeight="1">
      <c r="A108" s="64"/>
      <c r="B108" s="65"/>
      <c r="C108" s="65"/>
      <c r="D108" s="65"/>
      <c r="E108" s="65"/>
      <c r="F108" s="65"/>
      <c r="G108" s="65"/>
      <c r="H108" s="66"/>
    </row>
    <row r="109" ht="15.75" customHeight="1"/>
    <row r="110" ht="15.75" customHeight="1"/>
    <row r="111" ht="15.75" customHeight="1">
      <c r="A111" s="100" t="s">
        <v>350</v>
      </c>
      <c r="E111" s="94" t="s">
        <v>201</v>
      </c>
      <c r="F111" s="101"/>
      <c r="G111" s="94" t="s">
        <v>292</v>
      </c>
      <c r="H111" s="101"/>
    </row>
    <row r="112" ht="15.75" customHeight="1">
      <c r="A112" s="115" t="s">
        <v>309</v>
      </c>
    </row>
    <row r="113" ht="15.75" customHeight="1">
      <c r="A113" s="107" t="s">
        <v>213</v>
      </c>
      <c r="B113" s="80"/>
      <c r="C113" s="34"/>
      <c r="D113" s="34"/>
      <c r="E113" s="34"/>
      <c r="F113" s="34"/>
      <c r="G113" s="34"/>
      <c r="H113" s="35"/>
    </row>
    <row r="114" ht="15.75" customHeight="1">
      <c r="A114" s="107" t="s">
        <v>213</v>
      </c>
      <c r="B114" s="80"/>
      <c r="C114" s="34"/>
      <c r="D114" s="34"/>
      <c r="E114" s="34"/>
      <c r="F114" s="34"/>
      <c r="G114" s="34"/>
      <c r="H114" s="35"/>
    </row>
    <row r="115" ht="15.75" customHeight="1">
      <c r="A115" s="107" t="s">
        <v>213</v>
      </c>
      <c r="B115" s="80"/>
      <c r="C115" s="34"/>
      <c r="D115" s="34"/>
      <c r="E115" s="34"/>
      <c r="F115" s="34"/>
      <c r="G115" s="34"/>
      <c r="H115" s="35"/>
    </row>
    <row r="116" ht="15.75" customHeight="1">
      <c r="A116" s="107" t="s">
        <v>296</v>
      </c>
      <c r="B116" s="80"/>
      <c r="C116" s="34"/>
      <c r="D116" s="34"/>
      <c r="E116" s="34"/>
      <c r="F116" s="34"/>
      <c r="G116" s="34"/>
      <c r="H116" s="35"/>
    </row>
    <row r="117" ht="15.75" customHeight="1">
      <c r="A117" s="102" t="s">
        <v>298</v>
      </c>
      <c r="B117" s="34"/>
      <c r="C117" s="34"/>
      <c r="D117" s="34"/>
      <c r="E117" s="34"/>
      <c r="F117" s="34"/>
      <c r="G117" s="34"/>
      <c r="H117" s="35"/>
    </row>
    <row r="118" ht="15.75" customHeight="1">
      <c r="A118" s="104"/>
      <c r="B118" s="62"/>
      <c r="C118" s="62"/>
      <c r="D118" s="62"/>
      <c r="E118" s="62"/>
      <c r="F118" s="62"/>
      <c r="G118" s="62"/>
      <c r="H118" s="63"/>
    </row>
    <row r="119" ht="15.75" customHeight="1">
      <c r="A119" s="116"/>
      <c r="H119" s="117"/>
    </row>
    <row r="120" ht="15.75" customHeight="1">
      <c r="A120" s="64"/>
      <c r="B120" s="65"/>
      <c r="C120" s="65"/>
      <c r="D120" s="65"/>
      <c r="E120" s="65"/>
      <c r="F120" s="65"/>
      <c r="G120" s="65"/>
      <c r="H120" s="66"/>
    </row>
    <row r="121" ht="15.75" customHeight="1">
      <c r="A121" s="102" t="s">
        <v>300</v>
      </c>
      <c r="B121" s="34"/>
      <c r="C121" s="34"/>
      <c r="D121" s="34"/>
      <c r="E121" s="34"/>
      <c r="F121" s="34"/>
      <c r="G121" s="34"/>
      <c r="H121" s="35"/>
    </row>
    <row r="122" ht="15.75" customHeight="1">
      <c r="A122" s="104"/>
      <c r="B122" s="62"/>
      <c r="C122" s="62"/>
      <c r="D122" s="62"/>
      <c r="E122" s="62"/>
      <c r="F122" s="62"/>
      <c r="G122" s="62"/>
      <c r="H122" s="63"/>
    </row>
    <row r="123" ht="15.75" customHeight="1">
      <c r="A123" s="116"/>
      <c r="H123" s="117"/>
    </row>
    <row r="124" ht="15.75" customHeight="1">
      <c r="A124" s="116"/>
      <c r="H124" s="117"/>
    </row>
    <row r="125" ht="15.75" customHeight="1">
      <c r="A125" s="64"/>
      <c r="B125" s="65"/>
      <c r="C125" s="65"/>
      <c r="D125" s="65"/>
      <c r="E125" s="65"/>
      <c r="F125" s="65"/>
      <c r="G125" s="65"/>
      <c r="H125" s="66"/>
    </row>
    <row r="126" ht="15.75" customHeight="1"/>
    <row r="127" ht="15.75" customHeight="1"/>
    <row r="128" ht="15.75" customHeight="1">
      <c r="A128" s="100" t="s">
        <v>351</v>
      </c>
      <c r="E128" s="94" t="s">
        <v>201</v>
      </c>
      <c r="F128" s="101"/>
      <c r="G128" s="94" t="s">
        <v>292</v>
      </c>
      <c r="H128" s="101"/>
    </row>
    <row r="129" ht="15.75" customHeight="1">
      <c r="A129" s="115" t="s">
        <v>309</v>
      </c>
    </row>
    <row r="130" ht="15.75" customHeight="1">
      <c r="A130" s="107" t="s">
        <v>213</v>
      </c>
      <c r="B130" s="80"/>
      <c r="C130" s="34"/>
      <c r="D130" s="34"/>
      <c r="E130" s="34"/>
      <c r="F130" s="34"/>
      <c r="G130" s="34"/>
      <c r="H130" s="35"/>
    </row>
    <row r="131" ht="15.75" customHeight="1">
      <c r="A131" s="107" t="s">
        <v>213</v>
      </c>
      <c r="B131" s="80"/>
      <c r="C131" s="34"/>
      <c r="D131" s="34"/>
      <c r="E131" s="34"/>
      <c r="F131" s="34"/>
      <c r="G131" s="34"/>
      <c r="H131" s="35"/>
    </row>
    <row r="132" ht="15.75" customHeight="1">
      <c r="A132" s="107" t="s">
        <v>213</v>
      </c>
      <c r="B132" s="80"/>
      <c r="C132" s="34"/>
      <c r="D132" s="34"/>
      <c r="E132" s="34"/>
      <c r="F132" s="34"/>
      <c r="G132" s="34"/>
      <c r="H132" s="35"/>
    </row>
    <row r="133" ht="15.75" customHeight="1">
      <c r="A133" s="107" t="s">
        <v>296</v>
      </c>
      <c r="B133" s="80"/>
      <c r="C133" s="34"/>
      <c r="D133" s="34"/>
      <c r="E133" s="34"/>
      <c r="F133" s="34"/>
      <c r="G133" s="34"/>
      <c r="H133" s="35"/>
    </row>
    <row r="134" ht="15.75" customHeight="1">
      <c r="A134" s="102" t="s">
        <v>298</v>
      </c>
      <c r="B134" s="34"/>
      <c r="C134" s="34"/>
      <c r="D134" s="34"/>
      <c r="E134" s="34"/>
      <c r="F134" s="34"/>
      <c r="G134" s="34"/>
      <c r="H134" s="35"/>
    </row>
    <row r="135" ht="15.75" customHeight="1">
      <c r="A135" s="104"/>
      <c r="B135" s="62"/>
      <c r="C135" s="62"/>
      <c r="D135" s="62"/>
      <c r="E135" s="62"/>
      <c r="F135" s="62"/>
      <c r="G135" s="62"/>
      <c r="H135" s="63"/>
    </row>
    <row r="136" ht="15.75" customHeight="1">
      <c r="A136" s="116"/>
      <c r="H136" s="117"/>
    </row>
    <row r="137" ht="15.75" customHeight="1">
      <c r="A137" s="64"/>
      <c r="B137" s="65"/>
      <c r="C137" s="65"/>
      <c r="D137" s="65"/>
      <c r="E137" s="65"/>
      <c r="F137" s="65"/>
      <c r="G137" s="65"/>
      <c r="H137" s="66"/>
    </row>
    <row r="138" ht="15.75" customHeight="1">
      <c r="A138" s="102" t="s">
        <v>300</v>
      </c>
      <c r="B138" s="34"/>
      <c r="C138" s="34"/>
      <c r="D138" s="34"/>
      <c r="E138" s="34"/>
      <c r="F138" s="34"/>
      <c r="G138" s="34"/>
      <c r="H138" s="35"/>
    </row>
    <row r="139" ht="15.75" customHeight="1">
      <c r="A139" s="104"/>
      <c r="B139" s="62"/>
      <c r="C139" s="62"/>
      <c r="D139" s="62"/>
      <c r="E139" s="62"/>
      <c r="F139" s="62"/>
      <c r="G139" s="62"/>
      <c r="H139" s="63"/>
    </row>
    <row r="140" ht="15.75" customHeight="1">
      <c r="A140" s="116"/>
      <c r="H140" s="117"/>
    </row>
    <row r="141" ht="15.75" customHeight="1">
      <c r="A141" s="116"/>
      <c r="H141" s="117"/>
    </row>
    <row r="142" ht="15.75" customHeight="1">
      <c r="A142" s="64"/>
      <c r="B142" s="65"/>
      <c r="C142" s="65"/>
      <c r="D142" s="65"/>
      <c r="E142" s="65"/>
      <c r="F142" s="65"/>
      <c r="G142" s="65"/>
      <c r="H142" s="66"/>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6" t="s">
        <v>352</v>
      </c>
      <c r="B1" s="6" t="s">
        <v>353</v>
      </c>
      <c r="C1" s="6" t="s">
        <v>20</v>
      </c>
      <c r="D1" s="6" t="s">
        <v>21</v>
      </c>
    </row>
    <row r="2">
      <c r="A2" s="6" t="s">
        <v>354</v>
      </c>
      <c r="B2" s="6" t="str">
        <f>Competencias!C13</f>
        <v>Define conceptos de frameworks de desarrollo por medio de especificaciones técnicas para proporcionar un entendimiento preciso de su estructura, componentes y funcionamiento.</v>
      </c>
      <c r="C2" s="31" t="s">
        <v>22</v>
      </c>
      <c r="D2" s="31" t="s">
        <v>27</v>
      </c>
    </row>
    <row r="3">
      <c r="A3" s="6" t="s">
        <v>355</v>
      </c>
      <c r="B3" s="6" t="str">
        <f>Competencias!C15</f>
        <v>Identifica patrones de diseño por medio del análisis de las diferentes necesidades para resolver un problema específico que se adapta a la solución propuesta por el patrón seleccionado. </v>
      </c>
      <c r="C3" s="31" t="s">
        <v>356</v>
      </c>
      <c r="D3" s="31" t="s">
        <v>23</v>
      </c>
    </row>
    <row r="4">
      <c r="A4" s="6" t="s">
        <v>357</v>
      </c>
      <c r="B4" s="6" t="str">
        <f>Competencias!C17</f>
        <v>Integra catalogos de estilo mediante aspectos relacionados con la identidad de la marca u organización para crear interfaces adecuadas dentro del sistema. </v>
      </c>
      <c r="C4" s="31" t="s">
        <v>358</v>
      </c>
      <c r="D4" s="31" t="s">
        <v>359</v>
      </c>
    </row>
    <row r="5">
      <c r="A5" s="6" t="s">
        <v>360</v>
      </c>
      <c r="B5" s="6" t="str">
        <f>Competencias!C19</f>
        <v>Organiza la información del sistema mediante esquemas jerárquicos y categorizados  para facilitar la navegación y la comprensión por parte del usuario. </v>
      </c>
      <c r="C5" s="31" t="s">
        <v>24</v>
      </c>
      <c r="D5" s="31" t="s">
        <v>361</v>
      </c>
    </row>
    <row r="6">
      <c r="A6" s="6" t="s">
        <v>362</v>
      </c>
      <c r="B6" s="6" t="str">
        <f>Competencias!C21</f>
        <v>Diseña arquitecturas de software  mediante la definición de componentes, conexiones y capas del sistema para asegurar la funcionalidad, rendimiento y escalabilidad del producto final </v>
      </c>
      <c r="C6" s="31" t="s">
        <v>26</v>
      </c>
      <c r="D6" s="31" t="s">
        <v>363</v>
      </c>
    </row>
    <row r="7">
      <c r="A7" s="6" t="s">
        <v>364</v>
      </c>
      <c r="B7" s="6" t="str">
        <f>Competencias!C23</f>
        <v>Aplica principios y técnicas de análisis y diseño de sistemas mediante metodologías, modelos y herramientas de ingeniería de software para desarrollar sistemas eficientes, mantenibles y alineados con los requisitos del usuario </v>
      </c>
      <c r="C7" s="31" t="s">
        <v>365</v>
      </c>
      <c r="D7" s="31" t="s">
        <v>25</v>
      </c>
    </row>
    <row r="8">
      <c r="A8" s="6" t="s">
        <v>366</v>
      </c>
      <c r="B8" s="6" t="str">
        <f>Competencias!C25</f>
        <v>Recuerda la importancia de las decisiones de diseño y arquitectura mediante el análisis de casos prácticos y ejemplos de sistemas reales para fortalecer la capacidad de aplicar soluciones coherentes y efectivas en proyectos de software </v>
      </c>
      <c r="C8" s="31" t="s">
        <v>367</v>
      </c>
      <c r="D8" s="31" t="s">
        <v>368</v>
      </c>
    </row>
    <row r="9">
      <c r="A9" s="6" t="s">
        <v>369</v>
      </c>
      <c r="C9" s="31" t="s">
        <v>370</v>
      </c>
    </row>
    <row r="10">
      <c r="A10" s="6" t="s">
        <v>371</v>
      </c>
      <c r="C10" s="31" t="s">
        <v>372</v>
      </c>
    </row>
    <row r="11">
      <c r="A11" s="6" t="s">
        <v>373</v>
      </c>
    </row>
    <row r="12">
      <c r="A12" s="6" t="s">
        <v>374</v>
      </c>
    </row>
    <row r="13">
      <c r="A13" s="6" t="s">
        <v>375</v>
      </c>
    </row>
    <row r="14">
      <c r="A14" s="6" t="s">
        <v>376</v>
      </c>
    </row>
    <row r="15">
      <c r="A15" s="6" t="s">
        <v>377</v>
      </c>
    </row>
    <row r="16">
      <c r="A16" s="6" t="s">
        <v>378</v>
      </c>
    </row>
    <row r="17">
      <c r="A17" s="6" t="s">
        <v>379</v>
      </c>
    </row>
    <row r="18">
      <c r="A18" s="6" t="s">
        <v>380</v>
      </c>
    </row>
    <row r="19">
      <c r="A19" s="6" t="s">
        <v>381</v>
      </c>
    </row>
    <row r="20">
      <c r="A20" s="6" t="s">
        <v>382</v>
      </c>
    </row>
    <row r="21">
      <c r="A21" s="6" t="s">
        <v>383</v>
      </c>
    </row>
    <row r="22">
      <c r="A22" s="6" t="s">
        <v>384</v>
      </c>
    </row>
    <row r="23">
      <c r="A23" s="6" t="s">
        <v>385</v>
      </c>
    </row>
    <row r="24">
      <c r="A24" s="6" t="s">
        <v>386</v>
      </c>
    </row>
    <row r="25">
      <c r="A25" s="6" t="s">
        <v>387</v>
      </c>
    </row>
    <row r="26">
      <c r="A26" s="6" t="s">
        <v>388</v>
      </c>
    </row>
    <row r="27">
      <c r="A27" s="6" t="s">
        <v>389</v>
      </c>
    </row>
    <row r="28">
      <c r="A28" s="6" t="s">
        <v>390</v>
      </c>
    </row>
    <row r="29">
      <c r="A29" s="6" t="s">
        <v>391</v>
      </c>
    </row>
    <row r="30">
      <c r="A30" s="6" t="s">
        <v>392</v>
      </c>
    </row>
    <row r="31">
      <c r="A31" s="6" t="s">
        <v>393</v>
      </c>
    </row>
    <row r="32">
      <c r="A32" s="6" t="s">
        <v>394</v>
      </c>
    </row>
    <row r="33">
      <c r="A33" s="6" t="s">
        <v>395</v>
      </c>
    </row>
    <row r="34">
      <c r="A34" s="6" t="s">
        <v>396</v>
      </c>
    </row>
    <row r="35">
      <c r="A35" s="6" t="s">
        <v>397</v>
      </c>
    </row>
    <row r="36">
      <c r="A36" s="6" t="s">
        <v>398</v>
      </c>
    </row>
    <row r="37">
      <c r="A37" s="6" t="s">
        <v>399</v>
      </c>
    </row>
    <row r="38">
      <c r="A38" s="6" t="s">
        <v>400</v>
      </c>
    </row>
    <row r="39">
      <c r="A39" s="6" t="s">
        <v>401</v>
      </c>
    </row>
    <row r="40">
      <c r="A40" s="6" t="s">
        <v>402</v>
      </c>
    </row>
    <row r="41">
      <c r="A41" s="6" t="s">
        <v>403</v>
      </c>
    </row>
    <row r="42">
      <c r="A42" s="6" t="s">
        <v>404</v>
      </c>
    </row>
    <row r="43">
      <c r="A43" s="6" t="s">
        <v>405</v>
      </c>
    </row>
    <row r="44">
      <c r="A44" s="6" t="s">
        <v>406</v>
      </c>
    </row>
    <row r="45">
      <c r="A45" s="6" t="s">
        <v>407</v>
      </c>
    </row>
    <row r="46">
      <c r="A46" s="6" t="s">
        <v>408</v>
      </c>
    </row>
    <row r="47">
      <c r="A47" s="6" t="s">
        <v>409</v>
      </c>
    </row>
    <row r="48">
      <c r="A48" s="6" t="s">
        <v>410</v>
      </c>
    </row>
    <row r="49">
      <c r="A49" s="6" t="s">
        <v>411</v>
      </c>
    </row>
    <row r="50">
      <c r="A50" s="6" t="s">
        <v>412</v>
      </c>
    </row>
    <row r="51">
      <c r="A51" s="6" t="s">
        <v>413</v>
      </c>
    </row>
    <row r="52">
      <c r="A52" s="6" t="s">
        <v>414</v>
      </c>
    </row>
    <row r="53">
      <c r="A53" s="6" t="s">
        <v>415</v>
      </c>
    </row>
    <row r="54">
      <c r="A54" s="6" t="s">
        <v>416</v>
      </c>
    </row>
    <row r="55">
      <c r="A55" s="6" t="s">
        <v>417</v>
      </c>
    </row>
    <row r="56">
      <c r="A56" s="6" t="s">
        <v>418</v>
      </c>
    </row>
    <row r="57">
      <c r="A57" s="6" t="s">
        <v>419</v>
      </c>
    </row>
    <row r="58">
      <c r="A58" s="6" t="s">
        <v>420</v>
      </c>
    </row>
    <row r="59">
      <c r="A59" s="6" t="s">
        <v>421</v>
      </c>
    </row>
    <row r="60">
      <c r="A60" s="6" t="s">
        <v>422</v>
      </c>
    </row>
    <row r="61">
      <c r="A61" s="6" t="s">
        <v>423</v>
      </c>
    </row>
    <row r="62">
      <c r="A62" s="6" t="s">
        <v>2</v>
      </c>
    </row>
    <row r="63">
      <c r="A63" s="6" t="s">
        <v>424</v>
      </c>
    </row>
    <row r="64">
      <c r="A64" s="6" t="s">
        <v>425</v>
      </c>
    </row>
    <row r="65">
      <c r="A65" s="6" t="s">
        <v>426</v>
      </c>
    </row>
    <row r="66">
      <c r="A66" s="6" t="s">
        <v>427</v>
      </c>
    </row>
    <row r="67">
      <c r="A67" s="6" t="s">
        <v>428</v>
      </c>
    </row>
    <row r="68">
      <c r="A68" s="6" t="s">
        <v>429</v>
      </c>
    </row>
    <row r="69">
      <c r="A69" s="6" t="s">
        <v>430</v>
      </c>
    </row>
    <row r="70">
      <c r="A70" s="6" t="s">
        <v>431</v>
      </c>
    </row>
    <row r="71">
      <c r="A71" s="6" t="s">
        <v>432</v>
      </c>
    </row>
    <row r="72">
      <c r="A72" s="6" t="s">
        <v>433</v>
      </c>
    </row>
    <row r="73">
      <c r="A73" s="6" t="s">
        <v>434</v>
      </c>
    </row>
    <row r="74">
      <c r="A74" s="6" t="s">
        <v>435</v>
      </c>
    </row>
    <row r="75">
      <c r="A75" s="6" t="s">
        <v>436</v>
      </c>
    </row>
    <row r="76">
      <c r="A76" s="6" t="s">
        <v>437</v>
      </c>
    </row>
    <row r="77">
      <c r="A77" s="6" t="s">
        <v>438</v>
      </c>
    </row>
    <row r="78">
      <c r="A78" s="6" t="s">
        <v>439</v>
      </c>
    </row>
    <row r="79">
      <c r="A79" s="6" t="s">
        <v>440</v>
      </c>
    </row>
    <row r="80">
      <c r="A80" s="6" t="s">
        <v>441</v>
      </c>
    </row>
    <row r="81">
      <c r="A81" s="6" t="s">
        <v>442</v>
      </c>
    </row>
  </sheetData>
  <drawing r:id="rId1"/>
</worksheet>
</file>